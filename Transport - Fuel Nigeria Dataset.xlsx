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110" activeTab="1"/>
  </bookViews>
  <sheets>
    <sheet name="Raw Dataset" sheetId="1" r:id="rId1"/>
    <sheet name="Working Dataset" sheetId="2" r:id="rId2"/>
  </sheets>
  <definedNames>
    <definedName name="_xlnm._FilterDatabase" localSheetId="1" hidden="1">'Working Dataset'!$A$1:$T$1001</definedName>
  </definedNames>
  <calcPr calcId="124519"/>
</workbook>
</file>

<file path=xl/calcChain.xml><?xml version="1.0" encoding="utf-8"?>
<calcChain xmlns="http://schemas.openxmlformats.org/spreadsheetml/2006/main">
  <c r="X1001" i="2"/>
  <c r="X1000"/>
  <c r="X999"/>
  <c r="X998"/>
  <c r="X997"/>
  <c r="X996"/>
  <c r="X995"/>
  <c r="X994"/>
  <c r="X993"/>
  <c r="X992"/>
  <c r="X991"/>
  <c r="X990"/>
  <c r="X989"/>
  <c r="X988"/>
  <c r="X987"/>
  <c r="X986"/>
  <c r="X985"/>
  <c r="X984"/>
  <c r="X983"/>
  <c r="X982"/>
  <c r="X981"/>
  <c r="X980"/>
  <c r="X979"/>
  <c r="X978"/>
  <c r="X977"/>
  <c r="X976"/>
  <c r="X975"/>
  <c r="X974"/>
  <c r="X973"/>
  <c r="X972"/>
  <c r="X971"/>
  <c r="X970"/>
  <c r="X969"/>
  <c r="X968"/>
  <c r="X967"/>
  <c r="X966"/>
  <c r="X965"/>
  <c r="X964"/>
  <c r="X963"/>
  <c r="X962"/>
  <c r="X961"/>
  <c r="X960"/>
  <c r="X959"/>
  <c r="X958"/>
  <c r="X957"/>
  <c r="X956"/>
  <c r="X955"/>
  <c r="X954"/>
  <c r="X953"/>
  <c r="X952"/>
  <c r="X951"/>
  <c r="X950"/>
  <c r="X949"/>
  <c r="X948"/>
  <c r="X947"/>
  <c r="X946"/>
  <c r="X945"/>
  <c r="X944"/>
  <c r="X943"/>
  <c r="X942"/>
  <c r="X941"/>
  <c r="X940"/>
  <c r="X939"/>
  <c r="X938"/>
  <c r="X937"/>
  <c r="X936"/>
  <c r="X935"/>
  <c r="X934"/>
  <c r="X933"/>
  <c r="X932"/>
  <c r="X931"/>
  <c r="X930"/>
  <c r="X929"/>
  <c r="X928"/>
  <c r="X927"/>
  <c r="X926"/>
  <c r="X925"/>
  <c r="X924"/>
  <c r="X923"/>
  <c r="X922"/>
  <c r="X921"/>
  <c r="X920"/>
  <c r="X919"/>
  <c r="X918"/>
  <c r="X917"/>
  <c r="X916"/>
  <c r="X915"/>
  <c r="X914"/>
  <c r="X913"/>
  <c r="X912"/>
  <c r="X911"/>
  <c r="X910"/>
  <c r="X909"/>
  <c r="X908"/>
  <c r="X907"/>
  <c r="X906"/>
  <c r="X905"/>
  <c r="X904"/>
  <c r="X903"/>
  <c r="X902"/>
  <c r="X901"/>
  <c r="X900"/>
  <c r="X899"/>
  <c r="X898"/>
  <c r="X897"/>
  <c r="X896"/>
  <c r="X895"/>
  <c r="X894"/>
  <c r="X893"/>
  <c r="X891"/>
  <c r="X890"/>
  <c r="X889"/>
  <c r="X888"/>
  <c r="X887"/>
  <c r="X886"/>
  <c r="X885"/>
  <c r="X884"/>
  <c r="X883"/>
  <c r="X882"/>
  <c r="X881"/>
  <c r="X880"/>
  <c r="X879"/>
  <c r="X878"/>
  <c r="X877"/>
  <c r="X876"/>
  <c r="X875"/>
  <c r="X874"/>
  <c r="X873"/>
  <c r="X872"/>
  <c r="X871"/>
  <c r="X870"/>
  <c r="X869"/>
  <c r="X868"/>
  <c r="X867"/>
  <c r="X866"/>
  <c r="X865"/>
  <c r="X864"/>
  <c r="X863"/>
  <c r="X862"/>
  <c r="X861"/>
  <c r="X860"/>
  <c r="X859"/>
  <c r="X858"/>
  <c r="X857"/>
  <c r="X856"/>
  <c r="X855"/>
  <c r="X854"/>
  <c r="X853"/>
  <c r="X852"/>
  <c r="X851"/>
  <c r="X850"/>
  <c r="X849"/>
  <c r="X848"/>
  <c r="X847"/>
  <c r="X846"/>
  <c r="X845"/>
  <c r="X844"/>
  <c r="X843"/>
  <c r="X842"/>
  <c r="X841"/>
  <c r="X840"/>
  <c r="X839"/>
  <c r="X838"/>
  <c r="X837"/>
  <c r="X836"/>
  <c r="X835"/>
  <c r="X834"/>
  <c r="X833"/>
  <c r="X832"/>
  <c r="X831"/>
  <c r="X830"/>
  <c r="X829"/>
  <c r="X828"/>
  <c r="X827"/>
  <c r="X826"/>
  <c r="X825"/>
  <c r="X824"/>
  <c r="X823"/>
  <c r="X822"/>
  <c r="X821"/>
  <c r="X820"/>
  <c r="X819"/>
  <c r="X818"/>
  <c r="X817"/>
  <c r="X816"/>
  <c r="X815"/>
  <c r="X814"/>
  <c r="X813"/>
  <c r="X812"/>
  <c r="X811"/>
  <c r="X810"/>
  <c r="X809"/>
  <c r="X808"/>
  <c r="X807"/>
  <c r="X806"/>
  <c r="X805"/>
  <c r="X804"/>
  <c r="X803"/>
  <c r="X802"/>
  <c r="X801"/>
  <c r="X800"/>
  <c r="X799"/>
  <c r="X798"/>
  <c r="X797"/>
  <c r="X796"/>
  <c r="X795"/>
  <c r="X794"/>
  <c r="X793"/>
  <c r="X792"/>
  <c r="X791"/>
  <c r="X790"/>
  <c r="X789"/>
  <c r="X788"/>
  <c r="X787"/>
  <c r="X786"/>
  <c r="X785"/>
  <c r="X784"/>
  <c r="X783"/>
  <c r="X782"/>
  <c r="X781"/>
  <c r="X780"/>
  <c r="X779"/>
  <c r="X778"/>
  <c r="X777"/>
  <c r="X776"/>
  <c r="X775"/>
  <c r="X774"/>
  <c r="X773"/>
  <c r="X772"/>
  <c r="X771"/>
  <c r="X770"/>
  <c r="X769"/>
  <c r="X768"/>
  <c r="X767"/>
  <c r="X766"/>
  <c r="X765"/>
  <c r="X764"/>
  <c r="X763"/>
  <c r="X762"/>
  <c r="X761"/>
  <c r="X760"/>
  <c r="X759"/>
  <c r="X758"/>
  <c r="X757"/>
  <c r="X756"/>
  <c r="X755"/>
  <c r="X754"/>
  <c r="X753"/>
  <c r="X752"/>
  <c r="X751"/>
  <c r="X750"/>
  <c r="X749"/>
  <c r="X748"/>
  <c r="X747"/>
  <c r="X746"/>
  <c r="X745"/>
  <c r="X744"/>
  <c r="X743"/>
  <c r="X742"/>
  <c r="X741"/>
  <c r="X740"/>
  <c r="X739"/>
  <c r="X738"/>
  <c r="X737"/>
  <c r="X736"/>
  <c r="X735"/>
  <c r="X734"/>
  <c r="X733"/>
  <c r="X732"/>
  <c r="X731"/>
  <c r="X730"/>
  <c r="X729"/>
  <c r="X728"/>
  <c r="X727"/>
  <c r="X726"/>
  <c r="X725"/>
  <c r="X724"/>
  <c r="X723"/>
  <c r="X722"/>
  <c r="X721"/>
  <c r="X720"/>
  <c r="X719"/>
  <c r="X718"/>
  <c r="X717"/>
  <c r="X716"/>
  <c r="X715"/>
  <c r="X714"/>
  <c r="X713"/>
  <c r="X712"/>
  <c r="X711"/>
  <c r="X710"/>
  <c r="X709"/>
  <c r="X708"/>
  <c r="X707"/>
  <c r="X706"/>
  <c r="X705"/>
  <c r="X704"/>
  <c r="X703"/>
  <c r="X702"/>
  <c r="X701"/>
  <c r="X700"/>
  <c r="X699"/>
  <c r="X698"/>
  <c r="X697"/>
  <c r="X696"/>
  <c r="X695"/>
  <c r="X694"/>
  <c r="X693"/>
  <c r="X692"/>
  <c r="X691"/>
  <c r="X690"/>
  <c r="X689"/>
  <c r="X688"/>
  <c r="X687"/>
  <c r="X686"/>
  <c r="X685"/>
  <c r="X684"/>
  <c r="X683"/>
  <c r="X682"/>
  <c r="X681"/>
  <c r="X680"/>
  <c r="X679"/>
  <c r="X678"/>
  <c r="X677"/>
  <c r="X676"/>
  <c r="X675"/>
  <c r="X674"/>
  <c r="X673"/>
  <c r="X672"/>
  <c r="X671"/>
  <c r="X670"/>
  <c r="X669"/>
  <c r="X668"/>
  <c r="X667"/>
  <c r="X666"/>
  <c r="X665"/>
  <c r="X664"/>
  <c r="X663"/>
  <c r="X662"/>
  <c r="X661"/>
  <c r="X660"/>
  <c r="X659"/>
  <c r="X658"/>
  <c r="X657"/>
  <c r="X656"/>
  <c r="X655"/>
  <c r="X654"/>
  <c r="X653"/>
  <c r="X652"/>
  <c r="X651"/>
  <c r="X650"/>
  <c r="X649"/>
  <c r="X648"/>
  <c r="X647"/>
  <c r="X646"/>
  <c r="X645"/>
  <c r="X644"/>
  <c r="X643"/>
  <c r="X642"/>
  <c r="X641"/>
  <c r="X640"/>
  <c r="X639"/>
  <c r="X638"/>
  <c r="X637"/>
  <c r="X636"/>
  <c r="X635"/>
  <c r="X634"/>
  <c r="X633"/>
  <c r="X632"/>
  <c r="X631"/>
  <c r="X630"/>
  <c r="X629"/>
  <c r="X628"/>
  <c r="X627"/>
  <c r="X626"/>
  <c r="X625"/>
  <c r="X624"/>
  <c r="X623"/>
  <c r="X622"/>
  <c r="X621"/>
  <c r="X620"/>
  <c r="X619"/>
  <c r="X618"/>
  <c r="X617"/>
  <c r="X616"/>
  <c r="X615"/>
  <c r="X614"/>
  <c r="X613"/>
  <c r="X612"/>
  <c r="X611"/>
  <c r="X610"/>
  <c r="X609"/>
  <c r="X608"/>
  <c r="X607"/>
  <c r="X606"/>
  <c r="X605"/>
  <c r="X604"/>
  <c r="X603"/>
  <c r="X602"/>
  <c r="X601"/>
  <c r="X600"/>
  <c r="X599"/>
  <c r="X598"/>
  <c r="X597"/>
  <c r="X596"/>
  <c r="X595"/>
  <c r="X594"/>
  <c r="X593"/>
  <c r="X592"/>
  <c r="X591"/>
  <c r="X590"/>
  <c r="X589"/>
  <c r="X588"/>
  <c r="X587"/>
  <c r="X586"/>
  <c r="X585"/>
  <c r="X584"/>
  <c r="X583"/>
  <c r="X582"/>
  <c r="X581"/>
  <c r="X580"/>
  <c r="X579"/>
  <c r="X578"/>
  <c r="X577"/>
  <c r="X576"/>
  <c r="X575"/>
  <c r="X574"/>
  <c r="X573"/>
  <c r="X572"/>
  <c r="X571"/>
  <c r="X570"/>
  <c r="X569"/>
  <c r="X568"/>
  <c r="X567"/>
  <c r="X566"/>
  <c r="X565"/>
  <c r="X564"/>
  <c r="X563"/>
  <c r="X562"/>
  <c r="X561"/>
  <c r="X560"/>
  <c r="X559"/>
  <c r="X558"/>
  <c r="X557"/>
  <c r="X556"/>
  <c r="X555"/>
  <c r="X554"/>
  <c r="X553"/>
  <c r="X552"/>
  <c r="X551"/>
  <c r="X550"/>
  <c r="X549"/>
  <c r="X548"/>
  <c r="X547"/>
  <c r="X546"/>
  <c r="X545"/>
  <c r="X544"/>
  <c r="X543"/>
  <c r="X542"/>
  <c r="X541"/>
  <c r="X540"/>
  <c r="X539"/>
  <c r="X538"/>
  <c r="X537"/>
  <c r="X536"/>
  <c r="X535"/>
  <c r="X534"/>
  <c r="X533"/>
  <c r="X532"/>
  <c r="X531"/>
  <c r="X530"/>
  <c r="X529"/>
  <c r="X528"/>
  <c r="X527"/>
  <c r="X526"/>
  <c r="X525"/>
  <c r="X524"/>
  <c r="X523"/>
  <c r="X522"/>
  <c r="X521"/>
  <c r="X520"/>
  <c r="X519"/>
  <c r="X518"/>
  <c r="X517"/>
  <c r="X516"/>
  <c r="X515"/>
  <c r="X514"/>
  <c r="X513"/>
  <c r="X512"/>
  <c r="X511"/>
  <c r="X510"/>
  <c r="X509"/>
  <c r="X508"/>
  <c r="X507"/>
  <c r="X506"/>
  <c r="X505"/>
  <c r="X504"/>
  <c r="X503"/>
  <c r="X502"/>
  <c r="X501"/>
  <c r="X500"/>
  <c r="X499"/>
  <c r="X498"/>
  <c r="X497"/>
  <c r="X496"/>
  <c r="X495"/>
  <c r="X494"/>
  <c r="X493"/>
  <c r="X492"/>
  <c r="X491"/>
  <c r="X490"/>
  <c r="X489"/>
  <c r="X488"/>
  <c r="X487"/>
  <c r="X486"/>
  <c r="X485"/>
  <c r="X484"/>
  <c r="X483"/>
  <c r="X482"/>
  <c r="X481"/>
  <c r="X480"/>
  <c r="X479"/>
  <c r="X478"/>
  <c r="X477"/>
  <c r="X476"/>
  <c r="X475"/>
  <c r="X474"/>
  <c r="X473"/>
  <c r="X472"/>
  <c r="X471"/>
  <c r="X470"/>
  <c r="X469"/>
  <c r="X468"/>
  <c r="X467"/>
  <c r="X466"/>
  <c r="X465"/>
  <c r="X464"/>
  <c r="X463"/>
  <c r="X462"/>
  <c r="X461"/>
  <c r="X460"/>
  <c r="X459"/>
  <c r="X458"/>
  <c r="X457"/>
  <c r="X456"/>
  <c r="X455"/>
  <c r="X454"/>
  <c r="X453"/>
  <c r="X452"/>
  <c r="X451"/>
  <c r="X450"/>
  <c r="X449"/>
  <c r="X448"/>
  <c r="X447"/>
  <c r="X446"/>
  <c r="X445"/>
  <c r="X444"/>
  <c r="X443"/>
  <c r="X442"/>
  <c r="X441"/>
  <c r="X440"/>
  <c r="X439"/>
  <c r="X438"/>
  <c r="X437"/>
  <c r="X436"/>
  <c r="X435"/>
  <c r="X434"/>
  <c r="X433"/>
  <c r="X432"/>
  <c r="X431"/>
  <c r="X430"/>
  <c r="X429"/>
  <c r="X428"/>
  <c r="X427"/>
  <c r="X426"/>
  <c r="X425"/>
  <c r="X424"/>
  <c r="X423"/>
  <c r="X422"/>
  <c r="X421"/>
  <c r="X420"/>
  <c r="X419"/>
  <c r="X418"/>
  <c r="X417"/>
  <c r="X415"/>
  <c r="X414"/>
  <c r="X413"/>
  <c r="X412"/>
  <c r="X411"/>
  <c r="X410"/>
  <c r="X409"/>
  <c r="X408"/>
  <c r="X407"/>
  <c r="X406"/>
  <c r="X405"/>
  <c r="X404"/>
  <c r="X403"/>
  <c r="X402"/>
  <c r="X401"/>
  <c r="X400"/>
  <c r="X399"/>
  <c r="X398"/>
  <c r="X397"/>
  <c r="X396"/>
  <c r="X395"/>
  <c r="X394"/>
  <c r="X393"/>
  <c r="X392"/>
  <c r="X391"/>
  <c r="X390"/>
  <c r="X389"/>
  <c r="X388"/>
  <c r="X387"/>
  <c r="X386"/>
  <c r="X385"/>
  <c r="X384"/>
  <c r="X383"/>
  <c r="X382"/>
  <c r="X381"/>
  <c r="X380"/>
  <c r="X379"/>
  <c r="X378"/>
  <c r="X377"/>
  <c r="X376"/>
  <c r="X375"/>
  <c r="X374"/>
  <c r="X373"/>
  <c r="X372"/>
  <c r="X371"/>
  <c r="X370"/>
  <c r="X369"/>
  <c r="X368"/>
  <c r="X367"/>
  <c r="X366"/>
  <c r="X365"/>
  <c r="X364"/>
  <c r="X363"/>
  <c r="X362"/>
  <c r="X361"/>
  <c r="X360"/>
  <c r="X359"/>
  <c r="X358"/>
  <c r="X357"/>
  <c r="X356"/>
  <c r="X355"/>
  <c r="X354"/>
  <c r="X353"/>
  <c r="X352"/>
  <c r="X351"/>
  <c r="X350"/>
  <c r="X349"/>
  <c r="X348"/>
  <c r="X347"/>
  <c r="X346"/>
  <c r="X345"/>
  <c r="X344"/>
  <c r="X343"/>
  <c r="X342"/>
  <c r="X341"/>
  <c r="X340"/>
  <c r="X339"/>
  <c r="X338"/>
  <c r="X337"/>
  <c r="X336"/>
  <c r="X335"/>
  <c r="X334"/>
  <c r="X333"/>
  <c r="X332"/>
  <c r="X331"/>
  <c r="X330"/>
  <c r="X329"/>
  <c r="X328"/>
  <c r="X327"/>
  <c r="X326"/>
  <c r="X325"/>
  <c r="X324"/>
  <c r="X323"/>
  <c r="X322"/>
  <c r="X321"/>
  <c r="X320"/>
  <c r="X319"/>
  <c r="X318"/>
  <c r="X317"/>
  <c r="X316"/>
  <c r="X315"/>
  <c r="X314"/>
  <c r="X313"/>
  <c r="X312"/>
  <c r="X311"/>
  <c r="X310"/>
  <c r="X309"/>
  <c r="X308"/>
  <c r="X307"/>
  <c r="X306"/>
  <c r="X305"/>
  <c r="X304"/>
  <c r="X303"/>
  <c r="X302"/>
  <c r="X301"/>
  <c r="X300"/>
  <c r="X299"/>
  <c r="X298"/>
  <c r="X297"/>
  <c r="X296"/>
  <c r="X295"/>
  <c r="X294"/>
  <c r="X293"/>
  <c r="X292"/>
  <c r="X291"/>
  <c r="X290"/>
  <c r="X289"/>
  <c r="X288"/>
  <c r="X287"/>
  <c r="X286"/>
  <c r="X285"/>
  <c r="X284"/>
  <c r="X283"/>
  <c r="X282"/>
  <c r="X281"/>
  <c r="X280"/>
  <c r="X279"/>
  <c r="X278"/>
  <c r="X277"/>
  <c r="X276"/>
  <c r="X275"/>
  <c r="X274"/>
  <c r="X273"/>
  <c r="X272"/>
  <c r="X271"/>
  <c r="X270"/>
  <c r="X269"/>
  <c r="X268"/>
  <c r="X267"/>
  <c r="X266"/>
  <c r="X265"/>
  <c r="X264"/>
  <c r="X263"/>
  <c r="X262"/>
  <c r="X261"/>
  <c r="X260"/>
  <c r="X259"/>
  <c r="X258"/>
  <c r="X257"/>
  <c r="X256"/>
  <c r="X255"/>
  <c r="X254"/>
  <c r="X253"/>
  <c r="X252"/>
  <c r="X251"/>
  <c r="X250"/>
  <c r="X249"/>
  <c r="X248"/>
  <c r="X247"/>
  <c r="X246"/>
  <c r="X245"/>
  <c r="X244"/>
  <c r="X243"/>
  <c r="X242"/>
  <c r="X241"/>
  <c r="X240"/>
  <c r="X239"/>
  <c r="X238"/>
  <c r="X237"/>
  <c r="X236"/>
  <c r="X235"/>
  <c r="X234"/>
  <c r="X233"/>
  <c r="X232"/>
  <c r="X231"/>
  <c r="X230"/>
  <c r="X229"/>
  <c r="X228"/>
  <c r="X227"/>
  <c r="X226"/>
  <c r="X225"/>
  <c r="X224"/>
  <c r="X223"/>
  <c r="X222"/>
  <c r="X221"/>
  <c r="X220"/>
  <c r="X219"/>
  <c r="X218"/>
  <c r="X217"/>
  <c r="X216"/>
  <c r="X215"/>
  <c r="X214"/>
  <c r="X213"/>
  <c r="X212"/>
  <c r="X211"/>
  <c r="X210"/>
  <c r="X209"/>
  <c r="X208"/>
  <c r="X207"/>
  <c r="X206"/>
  <c r="X205"/>
  <c r="X204"/>
  <c r="X203"/>
  <c r="X202"/>
  <c r="X201"/>
  <c r="X200"/>
  <c r="X199"/>
  <c r="X198"/>
  <c r="X197"/>
  <c r="X196"/>
  <c r="X195"/>
  <c r="X194"/>
  <c r="X193"/>
  <c r="X192"/>
  <c r="X191"/>
  <c r="X190"/>
  <c r="X189"/>
  <c r="X188"/>
  <c r="X187"/>
  <c r="X186"/>
  <c r="X185"/>
  <c r="X184"/>
  <c r="X183"/>
  <c r="X182"/>
  <c r="X181"/>
  <c r="X180"/>
  <c r="X179"/>
  <c r="X178"/>
  <c r="X177"/>
  <c r="X176"/>
  <c r="X175"/>
  <c r="X174"/>
  <c r="X173"/>
  <c r="X172"/>
  <c r="X171"/>
  <c r="X170"/>
  <c r="X169"/>
  <c r="X168"/>
  <c r="X167"/>
  <c r="X166"/>
  <c r="X165"/>
  <c r="X164"/>
  <c r="X163"/>
  <c r="X162"/>
  <c r="X161"/>
  <c r="X160"/>
  <c r="X159"/>
  <c r="X158"/>
  <c r="X157"/>
  <c r="X156"/>
  <c r="X155"/>
  <c r="X154"/>
  <c r="X153"/>
  <c r="X152"/>
  <c r="X151"/>
  <c r="X150"/>
  <c r="X149"/>
  <c r="X148"/>
  <c r="X147"/>
  <c r="X146"/>
  <c r="X145"/>
  <c r="X144"/>
  <c r="X143"/>
  <c r="X142"/>
  <c r="X141"/>
  <c r="X140"/>
  <c r="X139"/>
  <c r="X138"/>
  <c r="X137"/>
  <c r="X136"/>
  <c r="X135"/>
  <c r="X134"/>
  <c r="X133"/>
  <c r="X132"/>
  <c r="X131"/>
  <c r="X130"/>
  <c r="X129"/>
  <c r="X128"/>
  <c r="X127"/>
  <c r="X126"/>
  <c r="X125"/>
  <c r="X124"/>
  <c r="X123"/>
  <c r="X122"/>
  <c r="X121"/>
  <c r="X120"/>
  <c r="X119"/>
  <c r="X118"/>
  <c r="X117"/>
  <c r="X116"/>
  <c r="X115"/>
  <c r="X114"/>
  <c r="X113"/>
  <c r="X112"/>
  <c r="X111"/>
  <c r="X110"/>
  <c r="X109"/>
  <c r="X108"/>
  <c r="X107"/>
  <c r="X106"/>
  <c r="X105"/>
  <c r="X104"/>
  <c r="X103"/>
  <c r="X102"/>
  <c r="X26"/>
  <c r="X25"/>
  <c r="X24"/>
  <c r="X23"/>
  <c r="X22"/>
  <c r="X21"/>
  <c r="X20"/>
  <c r="X19"/>
  <c r="X18"/>
  <c r="X17"/>
  <c r="X16"/>
  <c r="X15"/>
  <c r="X14"/>
  <c r="X13"/>
  <c r="X12"/>
  <c r="X10"/>
  <c r="X8"/>
  <c r="X7"/>
  <c r="X6"/>
  <c r="X5"/>
  <c r="X4"/>
  <c r="X3"/>
  <c r="X2"/>
  <c r="W1001"/>
  <c r="W1000"/>
  <c r="W999"/>
  <c r="W998"/>
  <c r="W997"/>
  <c r="W996"/>
  <c r="W995"/>
  <c r="W994"/>
  <c r="W993"/>
  <c r="W992"/>
  <c r="W991"/>
  <c r="W990"/>
  <c r="W989"/>
  <c r="W988"/>
  <c r="W987"/>
  <c r="W986"/>
  <c r="W985"/>
  <c r="W984"/>
  <c r="W983"/>
  <c r="W982"/>
  <c r="W981"/>
  <c r="W980"/>
  <c r="W979"/>
  <c r="W978"/>
  <c r="W977"/>
  <c r="W976"/>
  <c r="W975"/>
  <c r="W974"/>
  <c r="W973"/>
  <c r="W972"/>
  <c r="W971"/>
  <c r="W970"/>
  <c r="W969"/>
  <c r="W968"/>
  <c r="W967"/>
  <c r="W966"/>
  <c r="W965"/>
  <c r="W964"/>
  <c r="W963"/>
  <c r="W962"/>
  <c r="W961"/>
  <c r="W960"/>
  <c r="W959"/>
  <c r="W958"/>
  <c r="W957"/>
  <c r="W956"/>
  <c r="W955"/>
  <c r="W954"/>
  <c r="W953"/>
  <c r="W952"/>
  <c r="W951"/>
  <c r="W950"/>
  <c r="W949"/>
  <c r="W948"/>
  <c r="W947"/>
  <c r="W946"/>
  <c r="W945"/>
  <c r="W944"/>
  <c r="W943"/>
  <c r="W942"/>
  <c r="W941"/>
  <c r="W940"/>
  <c r="W939"/>
  <c r="W938"/>
  <c r="W937"/>
  <c r="W936"/>
  <c r="W935"/>
  <c r="W934"/>
  <c r="W933"/>
  <c r="W932"/>
  <c r="W931"/>
  <c r="W930"/>
  <c r="W929"/>
  <c r="W928"/>
  <c r="W927"/>
  <c r="W926"/>
  <c r="W925"/>
  <c r="W924"/>
  <c r="W923"/>
  <c r="W922"/>
  <c r="W921"/>
  <c r="W920"/>
  <c r="W919"/>
  <c r="W918"/>
  <c r="W917"/>
  <c r="W916"/>
  <c r="W915"/>
  <c r="W914"/>
  <c r="W913"/>
  <c r="W912"/>
  <c r="W911"/>
  <c r="W910"/>
  <c r="W909"/>
  <c r="W908"/>
  <c r="W907"/>
  <c r="W906"/>
  <c r="W905"/>
  <c r="W904"/>
  <c r="W903"/>
  <c r="W902"/>
  <c r="W901"/>
  <c r="W900"/>
  <c r="W899"/>
  <c r="W898"/>
  <c r="W897"/>
  <c r="W896"/>
  <c r="W895"/>
  <c r="W894"/>
  <c r="W893"/>
  <c r="W891"/>
  <c r="W890"/>
  <c r="W889"/>
  <c r="W888"/>
  <c r="W887"/>
  <c r="W886"/>
  <c r="W885"/>
  <c r="W884"/>
  <c r="W883"/>
  <c r="W882"/>
  <c r="W881"/>
  <c r="W880"/>
  <c r="W879"/>
  <c r="W878"/>
  <c r="W877"/>
  <c r="W876"/>
  <c r="W875"/>
  <c r="W874"/>
  <c r="W873"/>
  <c r="W872"/>
  <c r="W871"/>
  <c r="W870"/>
  <c r="W869"/>
  <c r="W868"/>
  <c r="W867"/>
  <c r="W866"/>
  <c r="W865"/>
  <c r="W864"/>
  <c r="W863"/>
  <c r="W862"/>
  <c r="W861"/>
  <c r="W860"/>
  <c r="W859"/>
  <c r="W858"/>
  <c r="W857"/>
  <c r="W856"/>
  <c r="W855"/>
  <c r="W854"/>
  <c r="W853"/>
  <c r="W852"/>
  <c r="W851"/>
  <c r="W850"/>
  <c r="W849"/>
  <c r="W848"/>
  <c r="W847"/>
  <c r="W846"/>
  <c r="W845"/>
  <c r="W844"/>
  <c r="W843"/>
  <c r="W842"/>
  <c r="W841"/>
  <c r="W840"/>
  <c r="W839"/>
  <c r="W838"/>
  <c r="W837"/>
  <c r="W836"/>
  <c r="W835"/>
  <c r="W834"/>
  <c r="W833"/>
  <c r="W832"/>
  <c r="W831"/>
  <c r="W830"/>
  <c r="W829"/>
  <c r="W828"/>
  <c r="W827"/>
  <c r="W826"/>
  <c r="W825"/>
  <c r="W824"/>
  <c r="W823"/>
  <c r="W822"/>
  <c r="W821"/>
  <c r="W820"/>
  <c r="W819"/>
  <c r="W818"/>
  <c r="W817"/>
  <c r="W816"/>
  <c r="W815"/>
  <c r="W814"/>
  <c r="W813"/>
  <c r="W812"/>
  <c r="W811"/>
  <c r="W810"/>
  <c r="W809"/>
  <c r="W808"/>
  <c r="W807"/>
  <c r="W806"/>
  <c r="W805"/>
  <c r="W804"/>
  <c r="W803"/>
  <c r="W802"/>
  <c r="W801"/>
  <c r="W800"/>
  <c r="W799"/>
  <c r="W798"/>
  <c r="W797"/>
  <c r="W796"/>
  <c r="W795"/>
  <c r="W794"/>
  <c r="W793"/>
  <c r="W792"/>
  <c r="W791"/>
  <c r="W790"/>
  <c r="W789"/>
  <c r="W788"/>
  <c r="W787"/>
  <c r="W786"/>
  <c r="W785"/>
  <c r="W784"/>
  <c r="W783"/>
  <c r="W782"/>
  <c r="W781"/>
  <c r="W780"/>
  <c r="W779"/>
  <c r="W778"/>
  <c r="W777"/>
  <c r="W776"/>
  <c r="W775"/>
  <c r="W774"/>
  <c r="W773"/>
  <c r="W772"/>
  <c r="W771"/>
  <c r="W770"/>
  <c r="W769"/>
  <c r="W768"/>
  <c r="W767"/>
  <c r="W766"/>
  <c r="W765"/>
  <c r="W764"/>
  <c r="W763"/>
  <c r="W762"/>
  <c r="W761"/>
  <c r="W760"/>
  <c r="W759"/>
  <c r="W758"/>
  <c r="W757"/>
  <c r="W756"/>
  <c r="W755"/>
  <c r="W754"/>
  <c r="W753"/>
  <c r="W752"/>
  <c r="W751"/>
  <c r="W750"/>
  <c r="W749"/>
  <c r="W748"/>
  <c r="W747"/>
  <c r="W746"/>
  <c r="W745"/>
  <c r="W744"/>
  <c r="W743"/>
  <c r="W742"/>
  <c r="W741"/>
  <c r="W740"/>
  <c r="W739"/>
  <c r="W738"/>
  <c r="W737"/>
  <c r="W736"/>
  <c r="W735"/>
  <c r="W734"/>
  <c r="W733"/>
  <c r="W732"/>
  <c r="W731"/>
  <c r="W730"/>
  <c r="W729"/>
  <c r="W728"/>
  <c r="W727"/>
  <c r="W726"/>
  <c r="W725"/>
  <c r="W724"/>
  <c r="W723"/>
  <c r="W722"/>
  <c r="W721"/>
  <c r="W720"/>
  <c r="W719"/>
  <c r="W718"/>
  <c r="W717"/>
  <c r="W716"/>
  <c r="W715"/>
  <c r="W714"/>
  <c r="W713"/>
  <c r="W712"/>
  <c r="W711"/>
  <c r="W710"/>
  <c r="W709"/>
  <c r="W708"/>
  <c r="W707"/>
  <c r="W706"/>
  <c r="W705"/>
  <c r="W704"/>
  <c r="W703"/>
  <c r="W702"/>
  <c r="W701"/>
  <c r="W700"/>
  <c r="W699"/>
  <c r="W698"/>
  <c r="W697"/>
  <c r="W696"/>
  <c r="W695"/>
  <c r="W694"/>
  <c r="W693"/>
  <c r="W692"/>
  <c r="W691"/>
  <c r="W690"/>
  <c r="W689"/>
  <c r="W688"/>
  <c r="W687"/>
  <c r="W686"/>
  <c r="W685"/>
  <c r="W684"/>
  <c r="W683"/>
  <c r="W682"/>
  <c r="W681"/>
  <c r="W680"/>
  <c r="W679"/>
  <c r="W678"/>
  <c r="W677"/>
  <c r="W676"/>
  <c r="W675"/>
  <c r="W674"/>
  <c r="W673"/>
  <c r="W672"/>
  <c r="W671"/>
  <c r="W670"/>
  <c r="W669"/>
  <c r="W668"/>
  <c r="W667"/>
  <c r="W666"/>
  <c r="W665"/>
  <c r="W664"/>
  <c r="W663"/>
  <c r="W662"/>
  <c r="W661"/>
  <c r="W660"/>
  <c r="W659"/>
  <c r="W658"/>
  <c r="W657"/>
  <c r="W656"/>
  <c r="W655"/>
  <c r="W654"/>
  <c r="W653"/>
  <c r="W652"/>
  <c r="W651"/>
  <c r="W650"/>
  <c r="W649"/>
  <c r="W648"/>
  <c r="W647"/>
  <c r="W646"/>
  <c r="W645"/>
  <c r="W644"/>
  <c r="W643"/>
  <c r="W642"/>
  <c r="W641"/>
  <c r="W640"/>
  <c r="W639"/>
  <c r="W638"/>
  <c r="W637"/>
  <c r="W636"/>
  <c r="W635"/>
  <c r="W634"/>
  <c r="W633"/>
  <c r="W632"/>
  <c r="W631"/>
  <c r="W630"/>
  <c r="W629"/>
  <c r="W628"/>
  <c r="W627"/>
  <c r="W626"/>
  <c r="W625"/>
  <c r="W624"/>
  <c r="W623"/>
  <c r="W622"/>
  <c r="W621"/>
  <c r="W620"/>
  <c r="W619"/>
  <c r="W618"/>
  <c r="W617"/>
  <c r="W616"/>
  <c r="W615"/>
  <c r="W614"/>
  <c r="W613"/>
  <c r="W612"/>
  <c r="W611"/>
  <c r="W610"/>
  <c r="W609"/>
  <c r="W608"/>
  <c r="W607"/>
  <c r="W606"/>
  <c r="W605"/>
  <c r="W604"/>
  <c r="W603"/>
  <c r="W602"/>
  <c r="W601"/>
  <c r="W600"/>
  <c r="W599"/>
  <c r="W598"/>
  <c r="W597"/>
  <c r="W596"/>
  <c r="W595"/>
  <c r="W594"/>
  <c r="W593"/>
  <c r="W592"/>
  <c r="W591"/>
  <c r="W590"/>
  <c r="W589"/>
  <c r="W588"/>
  <c r="W587"/>
  <c r="W586"/>
  <c r="W585"/>
  <c r="W584"/>
  <c r="W583"/>
  <c r="W582"/>
  <c r="W581"/>
  <c r="W580"/>
  <c r="W579"/>
  <c r="W578"/>
  <c r="W577"/>
  <c r="W576"/>
  <c r="W575"/>
  <c r="W574"/>
  <c r="W573"/>
  <c r="W572"/>
  <c r="W571"/>
  <c r="W570"/>
  <c r="W569"/>
  <c r="W568"/>
  <c r="W567"/>
  <c r="W566"/>
  <c r="W565"/>
  <c r="W564"/>
  <c r="W563"/>
  <c r="W562"/>
  <c r="W561"/>
  <c r="W560"/>
  <c r="W559"/>
  <c r="W558"/>
  <c r="W557"/>
  <c r="W556"/>
  <c r="W555"/>
  <c r="W554"/>
  <c r="W553"/>
  <c r="W552"/>
  <c r="W551"/>
  <c r="W550"/>
  <c r="W549"/>
  <c r="W548"/>
  <c r="W547"/>
  <c r="W546"/>
  <c r="W545"/>
  <c r="W544"/>
  <c r="W543"/>
  <c r="W542"/>
  <c r="W541"/>
  <c r="W540"/>
  <c r="W539"/>
  <c r="W538"/>
  <c r="W537"/>
  <c r="W536"/>
  <c r="W535"/>
  <c r="W534"/>
  <c r="W533"/>
  <c r="W532"/>
  <c r="W531"/>
  <c r="W530"/>
  <c r="W529"/>
  <c r="W528"/>
  <c r="W527"/>
  <c r="W526"/>
  <c r="W525"/>
  <c r="W524"/>
  <c r="W523"/>
  <c r="W522"/>
  <c r="W521"/>
  <c r="W520"/>
  <c r="W519"/>
  <c r="W518"/>
  <c r="W517"/>
  <c r="W516"/>
  <c r="W515"/>
  <c r="W514"/>
  <c r="W513"/>
  <c r="W512"/>
  <c r="W511"/>
  <c r="W510"/>
  <c r="W509"/>
  <c r="W508"/>
  <c r="W507"/>
  <c r="W506"/>
  <c r="W505"/>
  <c r="W504"/>
  <c r="W503"/>
  <c r="W502"/>
  <c r="W501"/>
  <c r="W500"/>
  <c r="W499"/>
  <c r="W498"/>
  <c r="W497"/>
  <c r="W496"/>
  <c r="W495"/>
  <c r="W494"/>
  <c r="W493"/>
  <c r="W492"/>
  <c r="W491"/>
  <c r="W490"/>
  <c r="W489"/>
  <c r="W488"/>
  <c r="W487"/>
  <c r="W486"/>
  <c r="W485"/>
  <c r="W484"/>
  <c r="W483"/>
  <c r="W482"/>
  <c r="W481"/>
  <c r="W480"/>
  <c r="W479"/>
  <c r="W478"/>
  <c r="W477"/>
  <c r="W476"/>
  <c r="W475"/>
  <c r="W474"/>
  <c r="W473"/>
  <c r="W472"/>
  <c r="W471"/>
  <c r="W470"/>
  <c r="W469"/>
  <c r="W468"/>
  <c r="W467"/>
  <c r="W466"/>
  <c r="W465"/>
  <c r="W464"/>
  <c r="W463"/>
  <c r="W462"/>
  <c r="W461"/>
  <c r="W460"/>
  <c r="W459"/>
  <c r="W458"/>
  <c r="W457"/>
  <c r="W456"/>
  <c r="W455"/>
  <c r="W454"/>
  <c r="W453"/>
  <c r="W452"/>
  <c r="W451"/>
  <c r="W450"/>
  <c r="W449"/>
  <c r="W448"/>
  <c r="W447"/>
  <c r="W446"/>
  <c r="W445"/>
  <c r="W444"/>
  <c r="W443"/>
  <c r="W442"/>
  <c r="W441"/>
  <c r="W440"/>
  <c r="W439"/>
  <c r="W438"/>
  <c r="W437"/>
  <c r="W436"/>
  <c r="W435"/>
  <c r="W434"/>
  <c r="W433"/>
  <c r="W432"/>
  <c r="W431"/>
  <c r="W430"/>
  <c r="W429"/>
  <c r="W428"/>
  <c r="W427"/>
  <c r="W426"/>
  <c r="W425"/>
  <c r="W424"/>
  <c r="W423"/>
  <c r="W422"/>
  <c r="W421"/>
  <c r="W420"/>
  <c r="W419"/>
  <c r="W418"/>
  <c r="W417"/>
  <c r="W415"/>
  <c r="W414"/>
  <c r="W413"/>
  <c r="W412"/>
  <c r="W411"/>
  <c r="W410"/>
  <c r="W409"/>
  <c r="W408"/>
  <c r="W407"/>
  <c r="W406"/>
  <c r="W405"/>
  <c r="W404"/>
  <c r="W403"/>
  <c r="W402"/>
  <c r="W401"/>
  <c r="W400"/>
  <c r="W399"/>
  <c r="W398"/>
  <c r="W397"/>
  <c r="W396"/>
  <c r="W395"/>
  <c r="W394"/>
  <c r="W393"/>
  <c r="W392"/>
  <c r="W391"/>
  <c r="W390"/>
  <c r="W389"/>
  <c r="W388"/>
  <c r="W387"/>
  <c r="W386"/>
  <c r="W385"/>
  <c r="W384"/>
  <c r="W383"/>
  <c r="W382"/>
  <c r="W381"/>
  <c r="W380"/>
  <c r="W379"/>
  <c r="W378"/>
  <c r="W377"/>
  <c r="W376"/>
  <c r="W375"/>
  <c r="W374"/>
  <c r="W373"/>
  <c r="W372"/>
  <c r="W371"/>
  <c r="W370"/>
  <c r="W369"/>
  <c r="W368"/>
  <c r="W367"/>
  <c r="W366"/>
  <c r="W365"/>
  <c r="W364"/>
  <c r="W363"/>
  <c r="W362"/>
  <c r="W361"/>
  <c r="W360"/>
  <c r="W359"/>
  <c r="W358"/>
  <c r="W357"/>
  <c r="W356"/>
  <c r="W355"/>
  <c r="W354"/>
  <c r="W353"/>
  <c r="W352"/>
  <c r="W351"/>
  <c r="W350"/>
  <c r="W349"/>
  <c r="W348"/>
  <c r="W347"/>
  <c r="W346"/>
  <c r="W345"/>
  <c r="W344"/>
  <c r="W343"/>
  <c r="W342"/>
  <c r="W341"/>
  <c r="W340"/>
  <c r="W339"/>
  <c r="W338"/>
  <c r="W337"/>
  <c r="W336"/>
  <c r="W335"/>
  <c r="W334"/>
  <c r="W333"/>
  <c r="W332"/>
  <c r="W331"/>
  <c r="W330"/>
  <c r="W329"/>
  <c r="W328"/>
  <c r="W327"/>
  <c r="W326"/>
  <c r="W325"/>
  <c r="W324"/>
  <c r="W323"/>
  <c r="W322"/>
  <c r="W321"/>
  <c r="W320"/>
  <c r="W319"/>
  <c r="W318"/>
  <c r="W317"/>
  <c r="W316"/>
  <c r="W315"/>
  <c r="W314"/>
  <c r="W313"/>
  <c r="W312"/>
  <c r="W311"/>
  <c r="W310"/>
  <c r="W309"/>
  <c r="W308"/>
  <c r="W307"/>
  <c r="W306"/>
  <c r="W305"/>
  <c r="W304"/>
  <c r="W303"/>
  <c r="W302"/>
  <c r="W301"/>
  <c r="W300"/>
  <c r="W299"/>
  <c r="W298"/>
  <c r="W297"/>
  <c r="W296"/>
  <c r="W295"/>
  <c r="W294"/>
  <c r="W293"/>
  <c r="W292"/>
  <c r="W291"/>
  <c r="W290"/>
  <c r="W289"/>
  <c r="W288"/>
  <c r="W287"/>
  <c r="W286"/>
  <c r="W285"/>
  <c r="W284"/>
  <c r="W283"/>
  <c r="W282"/>
  <c r="W281"/>
  <c r="W280"/>
  <c r="W279"/>
  <c r="W278"/>
  <c r="W277"/>
  <c r="W276"/>
  <c r="W275"/>
  <c r="W274"/>
  <c r="W273"/>
  <c r="W272"/>
  <c r="W271"/>
  <c r="W270"/>
  <c r="W269"/>
  <c r="W268"/>
  <c r="W267"/>
  <c r="W266"/>
  <c r="W265"/>
  <c r="W264"/>
  <c r="W263"/>
  <c r="W262"/>
  <c r="W261"/>
  <c r="W260"/>
  <c r="W259"/>
  <c r="W258"/>
  <c r="W257"/>
  <c r="W256"/>
  <c r="W255"/>
  <c r="W254"/>
  <c r="W253"/>
  <c r="W252"/>
  <c r="W251"/>
  <c r="W250"/>
  <c r="W249"/>
  <c r="W248"/>
  <c r="W247"/>
  <c r="W246"/>
  <c r="W245"/>
  <c r="W244"/>
  <c r="W243"/>
  <c r="W242"/>
  <c r="W241"/>
  <c r="W240"/>
  <c r="W239"/>
  <c r="W238"/>
  <c r="W237"/>
  <c r="W236"/>
  <c r="W235"/>
  <c r="W234"/>
  <c r="W233"/>
  <c r="W232"/>
  <c r="W231"/>
  <c r="W230"/>
  <c r="W229"/>
  <c r="W228"/>
  <c r="W227"/>
  <c r="W226"/>
  <c r="W225"/>
  <c r="W224"/>
  <c r="W223"/>
  <c r="W222"/>
  <c r="W221"/>
  <c r="W220"/>
  <c r="W219"/>
  <c r="W218"/>
  <c r="W217"/>
  <c r="W216"/>
  <c r="W215"/>
  <c r="W214"/>
  <c r="W213"/>
  <c r="W212"/>
  <c r="W211"/>
  <c r="W210"/>
  <c r="W209"/>
  <c r="W208"/>
  <c r="W207"/>
  <c r="W206"/>
  <c r="W205"/>
  <c r="W204"/>
  <c r="W203"/>
  <c r="W202"/>
  <c r="W201"/>
  <c r="W200"/>
  <c r="W199"/>
  <c r="W198"/>
  <c r="W197"/>
  <c r="W196"/>
  <c r="W195"/>
  <c r="W194"/>
  <c r="W193"/>
  <c r="W192"/>
  <c r="W191"/>
  <c r="W190"/>
  <c r="W189"/>
  <c r="W188"/>
  <c r="W187"/>
  <c r="W186"/>
  <c r="W185"/>
  <c r="W184"/>
  <c r="W183"/>
  <c r="W182"/>
  <c r="W181"/>
  <c r="W180"/>
  <c r="W179"/>
  <c r="W178"/>
  <c r="W177"/>
  <c r="W176"/>
  <c r="W175"/>
  <c r="W174"/>
  <c r="W173"/>
  <c r="W172"/>
  <c r="W171"/>
  <c r="W170"/>
  <c r="W169"/>
  <c r="W168"/>
  <c r="W167"/>
  <c r="W166"/>
  <c r="W165"/>
  <c r="W164"/>
  <c r="W163"/>
  <c r="W162"/>
  <c r="W161"/>
  <c r="W160"/>
  <c r="W159"/>
  <c r="W158"/>
  <c r="W157"/>
  <c r="W156"/>
  <c r="W155"/>
  <c r="W154"/>
  <c r="W153"/>
  <c r="W152"/>
  <c r="W151"/>
  <c r="W150"/>
  <c r="W149"/>
  <c r="W148"/>
  <c r="W147"/>
  <c r="W146"/>
  <c r="W145"/>
  <c r="W144"/>
  <c r="W143"/>
  <c r="W142"/>
  <c r="W141"/>
  <c r="W140"/>
  <c r="W139"/>
  <c r="W138"/>
  <c r="W137"/>
  <c r="W136"/>
  <c r="W135"/>
  <c r="W134"/>
  <c r="W133"/>
  <c r="W132"/>
  <c r="W131"/>
  <c r="W130"/>
  <c r="W129"/>
  <c r="W128"/>
  <c r="W127"/>
  <c r="W126"/>
  <c r="W125"/>
  <c r="W124"/>
  <c r="W123"/>
  <c r="W122"/>
  <c r="W121"/>
  <c r="W120"/>
  <c r="W119"/>
  <c r="W118"/>
  <c r="W117"/>
  <c r="W116"/>
  <c r="W115"/>
  <c r="W114"/>
  <c r="W113"/>
  <c r="W112"/>
  <c r="W111"/>
  <c r="W110"/>
  <c r="W109"/>
  <c r="W108"/>
  <c r="W107"/>
  <c r="W106"/>
  <c r="W105"/>
  <c r="W104"/>
  <c r="W103"/>
  <c r="W102"/>
  <c r="W26"/>
  <c r="W25"/>
  <c r="W24"/>
  <c r="W23"/>
  <c r="W22"/>
  <c r="W21"/>
  <c r="W20"/>
  <c r="W19"/>
  <c r="W18"/>
  <c r="W17"/>
  <c r="W16"/>
  <c r="W15"/>
  <c r="W14"/>
  <c r="W13"/>
  <c r="W12"/>
  <c r="W10"/>
  <c r="W8"/>
  <c r="W7"/>
  <c r="W6"/>
  <c r="W5"/>
  <c r="W4"/>
  <c r="W3"/>
  <c r="W2"/>
  <c r="V1001"/>
  <c r="V1000"/>
  <c r="V999"/>
  <c r="V998"/>
  <c r="V997"/>
  <c r="V996"/>
  <c r="V995"/>
  <c r="V994"/>
  <c r="V993"/>
  <c r="V992"/>
  <c r="V991"/>
  <c r="V990"/>
  <c r="V989"/>
  <c r="V988"/>
  <c r="V987"/>
  <c r="V986"/>
  <c r="V985"/>
  <c r="V984"/>
  <c r="V983"/>
  <c r="V982"/>
  <c r="V981"/>
  <c r="V980"/>
  <c r="V979"/>
  <c r="V978"/>
  <c r="V977"/>
  <c r="V976"/>
  <c r="V975"/>
  <c r="V974"/>
  <c r="V973"/>
  <c r="V972"/>
  <c r="V971"/>
  <c r="V970"/>
  <c r="V969"/>
  <c r="V968"/>
  <c r="V967"/>
  <c r="V966"/>
  <c r="V965"/>
  <c r="V964"/>
  <c r="V963"/>
  <c r="V962"/>
  <c r="V961"/>
  <c r="V960"/>
  <c r="V959"/>
  <c r="V958"/>
  <c r="V957"/>
  <c r="V956"/>
  <c r="V955"/>
  <c r="V954"/>
  <c r="V953"/>
  <c r="V952"/>
  <c r="V951"/>
  <c r="V950"/>
  <c r="V949"/>
  <c r="V948"/>
  <c r="V947"/>
  <c r="V946"/>
  <c r="V945"/>
  <c r="V944"/>
  <c r="V943"/>
  <c r="V942"/>
  <c r="V941"/>
  <c r="V940"/>
  <c r="V939"/>
  <c r="V938"/>
  <c r="V937"/>
  <c r="V936"/>
  <c r="V935"/>
  <c r="V934"/>
  <c r="V933"/>
  <c r="V932"/>
  <c r="V931"/>
  <c r="V930"/>
  <c r="V929"/>
  <c r="V928"/>
  <c r="V927"/>
  <c r="V926"/>
  <c r="V925"/>
  <c r="V924"/>
  <c r="V923"/>
  <c r="V922"/>
  <c r="V921"/>
  <c r="V920"/>
  <c r="V919"/>
  <c r="V918"/>
  <c r="V917"/>
  <c r="V916"/>
  <c r="V915"/>
  <c r="V914"/>
  <c r="V913"/>
  <c r="V912"/>
  <c r="V911"/>
  <c r="V910"/>
  <c r="V909"/>
  <c r="V908"/>
  <c r="V907"/>
  <c r="V906"/>
  <c r="V905"/>
  <c r="V904"/>
  <c r="V903"/>
  <c r="V902"/>
  <c r="V901"/>
  <c r="V900"/>
  <c r="V899"/>
  <c r="V898"/>
  <c r="V897"/>
  <c r="V896"/>
  <c r="V895"/>
  <c r="V894"/>
  <c r="V893"/>
  <c r="V891"/>
  <c r="V890"/>
  <c r="V889"/>
  <c r="V888"/>
  <c r="V887"/>
  <c r="V886"/>
  <c r="V885"/>
  <c r="V884"/>
  <c r="V883"/>
  <c r="V882"/>
  <c r="V881"/>
  <c r="V880"/>
  <c r="V879"/>
  <c r="V878"/>
  <c r="V877"/>
  <c r="V876"/>
  <c r="V875"/>
  <c r="V874"/>
  <c r="V873"/>
  <c r="V872"/>
  <c r="V871"/>
  <c r="V870"/>
  <c r="V869"/>
  <c r="V868"/>
  <c r="V867"/>
  <c r="V866"/>
  <c r="V865"/>
  <c r="V864"/>
  <c r="V863"/>
  <c r="V862"/>
  <c r="V861"/>
  <c r="V860"/>
  <c r="V859"/>
  <c r="V858"/>
  <c r="V857"/>
  <c r="V856"/>
  <c r="V855"/>
  <c r="V854"/>
  <c r="V853"/>
  <c r="V852"/>
  <c r="V851"/>
  <c r="V850"/>
  <c r="V849"/>
  <c r="V848"/>
  <c r="V847"/>
  <c r="V846"/>
  <c r="V845"/>
  <c r="V844"/>
  <c r="V843"/>
  <c r="V842"/>
  <c r="V841"/>
  <c r="V840"/>
  <c r="V839"/>
  <c r="V838"/>
  <c r="V837"/>
  <c r="V836"/>
  <c r="V835"/>
  <c r="V834"/>
  <c r="V833"/>
  <c r="V832"/>
  <c r="V831"/>
  <c r="V830"/>
  <c r="V829"/>
  <c r="V828"/>
  <c r="V827"/>
  <c r="V826"/>
  <c r="V825"/>
  <c r="V824"/>
  <c r="V823"/>
  <c r="V822"/>
  <c r="V821"/>
  <c r="V820"/>
  <c r="V819"/>
  <c r="V818"/>
  <c r="V817"/>
  <c r="V816"/>
  <c r="V815"/>
  <c r="V814"/>
  <c r="V813"/>
  <c r="V812"/>
  <c r="V811"/>
  <c r="V810"/>
  <c r="V809"/>
  <c r="V808"/>
  <c r="V807"/>
  <c r="V806"/>
  <c r="V805"/>
  <c r="V804"/>
  <c r="V803"/>
  <c r="V802"/>
  <c r="V801"/>
  <c r="V800"/>
  <c r="V799"/>
  <c r="V798"/>
  <c r="V797"/>
  <c r="V796"/>
  <c r="V795"/>
  <c r="V794"/>
  <c r="V793"/>
  <c r="V792"/>
  <c r="V791"/>
  <c r="V790"/>
  <c r="V789"/>
  <c r="V788"/>
  <c r="V787"/>
  <c r="V786"/>
  <c r="V785"/>
  <c r="V784"/>
  <c r="V783"/>
  <c r="V782"/>
  <c r="V781"/>
  <c r="V780"/>
  <c r="V779"/>
  <c r="V778"/>
  <c r="V777"/>
  <c r="V776"/>
  <c r="V775"/>
  <c r="V774"/>
  <c r="V773"/>
  <c r="V772"/>
  <c r="V771"/>
  <c r="V770"/>
  <c r="V769"/>
  <c r="V768"/>
  <c r="V767"/>
  <c r="V766"/>
  <c r="V765"/>
  <c r="V764"/>
  <c r="V763"/>
  <c r="V762"/>
  <c r="V761"/>
  <c r="V760"/>
  <c r="V759"/>
  <c r="V758"/>
  <c r="V757"/>
  <c r="V756"/>
  <c r="V755"/>
  <c r="V754"/>
  <c r="V753"/>
  <c r="V752"/>
  <c r="V751"/>
  <c r="V750"/>
  <c r="V749"/>
  <c r="V748"/>
  <c r="V747"/>
  <c r="V746"/>
  <c r="V745"/>
  <c r="V744"/>
  <c r="V743"/>
  <c r="V742"/>
  <c r="V741"/>
  <c r="V740"/>
  <c r="V739"/>
  <c r="V738"/>
  <c r="V737"/>
  <c r="V736"/>
  <c r="V735"/>
  <c r="V734"/>
  <c r="V733"/>
  <c r="V732"/>
  <c r="V731"/>
  <c r="V730"/>
  <c r="V729"/>
  <c r="V728"/>
  <c r="V727"/>
  <c r="V726"/>
  <c r="V725"/>
  <c r="V724"/>
  <c r="V723"/>
  <c r="V722"/>
  <c r="V721"/>
  <c r="V720"/>
  <c r="V719"/>
  <c r="V718"/>
  <c r="V717"/>
  <c r="V716"/>
  <c r="V715"/>
  <c r="V714"/>
  <c r="V713"/>
  <c r="V712"/>
  <c r="V711"/>
  <c r="V710"/>
  <c r="V709"/>
  <c r="V708"/>
  <c r="V707"/>
  <c r="V706"/>
  <c r="V705"/>
  <c r="V704"/>
  <c r="V703"/>
  <c r="V702"/>
  <c r="V701"/>
  <c r="V700"/>
  <c r="V699"/>
  <c r="V698"/>
  <c r="V697"/>
  <c r="V696"/>
  <c r="V695"/>
  <c r="V694"/>
  <c r="V693"/>
  <c r="V692"/>
  <c r="V691"/>
  <c r="V690"/>
  <c r="V689"/>
  <c r="V688"/>
  <c r="V687"/>
  <c r="V686"/>
  <c r="V685"/>
  <c r="V684"/>
  <c r="V683"/>
  <c r="V682"/>
  <c r="V681"/>
  <c r="V680"/>
  <c r="V679"/>
  <c r="V678"/>
  <c r="V677"/>
  <c r="V676"/>
  <c r="V675"/>
  <c r="V674"/>
  <c r="V673"/>
  <c r="V672"/>
  <c r="V671"/>
  <c r="V670"/>
  <c r="V669"/>
  <c r="V668"/>
  <c r="V667"/>
  <c r="V666"/>
  <c r="V665"/>
  <c r="V664"/>
  <c r="V663"/>
  <c r="V662"/>
  <c r="V661"/>
  <c r="V660"/>
  <c r="V659"/>
  <c r="V658"/>
  <c r="V657"/>
  <c r="V656"/>
  <c r="V655"/>
  <c r="V654"/>
  <c r="V653"/>
  <c r="V652"/>
  <c r="V651"/>
  <c r="V650"/>
  <c r="V649"/>
  <c r="V648"/>
  <c r="V647"/>
  <c r="V646"/>
  <c r="V645"/>
  <c r="V644"/>
  <c r="V643"/>
  <c r="V642"/>
  <c r="V641"/>
  <c r="V640"/>
  <c r="V639"/>
  <c r="V638"/>
  <c r="V637"/>
  <c r="V636"/>
  <c r="V635"/>
  <c r="V634"/>
  <c r="V633"/>
  <c r="V632"/>
  <c r="V631"/>
  <c r="V630"/>
  <c r="V629"/>
  <c r="V628"/>
  <c r="V627"/>
  <c r="V626"/>
  <c r="V625"/>
  <c r="V624"/>
  <c r="V623"/>
  <c r="V622"/>
  <c r="V621"/>
  <c r="V620"/>
  <c r="V619"/>
  <c r="V618"/>
  <c r="V617"/>
  <c r="V616"/>
  <c r="V615"/>
  <c r="V614"/>
  <c r="V613"/>
  <c r="V612"/>
  <c r="V611"/>
  <c r="V610"/>
  <c r="V609"/>
  <c r="V608"/>
  <c r="V607"/>
  <c r="V606"/>
  <c r="V605"/>
  <c r="V604"/>
  <c r="V603"/>
  <c r="V602"/>
  <c r="V601"/>
  <c r="V600"/>
  <c r="V599"/>
  <c r="V598"/>
  <c r="V597"/>
  <c r="V596"/>
  <c r="V595"/>
  <c r="V594"/>
  <c r="V593"/>
  <c r="V592"/>
  <c r="V591"/>
  <c r="V590"/>
  <c r="V589"/>
  <c r="V588"/>
  <c r="V587"/>
  <c r="V586"/>
  <c r="V585"/>
  <c r="V584"/>
  <c r="V583"/>
  <c r="V582"/>
  <c r="V581"/>
  <c r="V580"/>
  <c r="V579"/>
  <c r="V578"/>
  <c r="V577"/>
  <c r="V576"/>
  <c r="V575"/>
  <c r="V574"/>
  <c r="V573"/>
  <c r="V572"/>
  <c r="V571"/>
  <c r="V570"/>
  <c r="V569"/>
  <c r="V568"/>
  <c r="V567"/>
  <c r="V566"/>
  <c r="V565"/>
  <c r="V564"/>
  <c r="V563"/>
  <c r="V562"/>
  <c r="V561"/>
  <c r="V560"/>
  <c r="V559"/>
  <c r="V558"/>
  <c r="V557"/>
  <c r="V556"/>
  <c r="V555"/>
  <c r="V554"/>
  <c r="V553"/>
  <c r="V552"/>
  <c r="V551"/>
  <c r="V550"/>
  <c r="V549"/>
  <c r="V548"/>
  <c r="V547"/>
  <c r="V546"/>
  <c r="V545"/>
  <c r="V544"/>
  <c r="V543"/>
  <c r="V542"/>
  <c r="V541"/>
  <c r="V540"/>
  <c r="V539"/>
  <c r="V538"/>
  <c r="V537"/>
  <c r="V536"/>
  <c r="V535"/>
  <c r="V534"/>
  <c r="V533"/>
  <c r="V532"/>
  <c r="V531"/>
  <c r="V530"/>
  <c r="V529"/>
  <c r="V528"/>
  <c r="V527"/>
  <c r="V526"/>
  <c r="V525"/>
  <c r="V524"/>
  <c r="V523"/>
  <c r="V522"/>
  <c r="V521"/>
  <c r="V520"/>
  <c r="V519"/>
  <c r="V518"/>
  <c r="V517"/>
  <c r="V516"/>
  <c r="V515"/>
  <c r="V514"/>
  <c r="V513"/>
  <c r="V512"/>
  <c r="V511"/>
  <c r="V510"/>
  <c r="V509"/>
  <c r="V508"/>
  <c r="V507"/>
  <c r="V506"/>
  <c r="V505"/>
  <c r="V504"/>
  <c r="V503"/>
  <c r="V502"/>
  <c r="V501"/>
  <c r="V500"/>
  <c r="V499"/>
  <c r="V498"/>
  <c r="V497"/>
  <c r="V496"/>
  <c r="V495"/>
  <c r="V494"/>
  <c r="V493"/>
  <c r="V492"/>
  <c r="V491"/>
  <c r="V490"/>
  <c r="V489"/>
  <c r="V488"/>
  <c r="V487"/>
  <c r="V486"/>
  <c r="V485"/>
  <c r="V484"/>
  <c r="V483"/>
  <c r="V482"/>
  <c r="V481"/>
  <c r="V480"/>
  <c r="V479"/>
  <c r="V478"/>
  <c r="V477"/>
  <c r="V476"/>
  <c r="V475"/>
  <c r="V474"/>
  <c r="V473"/>
  <c r="V472"/>
  <c r="V471"/>
  <c r="V470"/>
  <c r="V469"/>
  <c r="V468"/>
  <c r="V467"/>
  <c r="V466"/>
  <c r="V465"/>
  <c r="V464"/>
  <c r="V463"/>
  <c r="V462"/>
  <c r="V461"/>
  <c r="V460"/>
  <c r="V459"/>
  <c r="V458"/>
  <c r="V457"/>
  <c r="V456"/>
  <c r="V455"/>
  <c r="V454"/>
  <c r="V453"/>
  <c r="V452"/>
  <c r="V451"/>
  <c r="V450"/>
  <c r="V449"/>
  <c r="V448"/>
  <c r="V447"/>
  <c r="V446"/>
  <c r="V445"/>
  <c r="V444"/>
  <c r="V443"/>
  <c r="V442"/>
  <c r="V441"/>
  <c r="V440"/>
  <c r="V439"/>
  <c r="V438"/>
  <c r="V437"/>
  <c r="V436"/>
  <c r="V435"/>
  <c r="V434"/>
  <c r="V433"/>
  <c r="V432"/>
  <c r="V431"/>
  <c r="V430"/>
  <c r="V429"/>
  <c r="V428"/>
  <c r="V427"/>
  <c r="V426"/>
  <c r="V425"/>
  <c r="V424"/>
  <c r="V423"/>
  <c r="V422"/>
  <c r="V421"/>
  <c r="V420"/>
  <c r="V419"/>
  <c r="V418"/>
  <c r="V417"/>
  <c r="V415"/>
  <c r="V414"/>
  <c r="V413"/>
  <c r="V412"/>
  <c r="V411"/>
  <c r="V410"/>
  <c r="V409"/>
  <c r="V408"/>
  <c r="V407"/>
  <c r="V406"/>
  <c r="V405"/>
  <c r="V404"/>
  <c r="V403"/>
  <c r="V402"/>
  <c r="V401"/>
  <c r="V400"/>
  <c r="V399"/>
  <c r="V398"/>
  <c r="V397"/>
  <c r="V396"/>
  <c r="V395"/>
  <c r="V394"/>
  <c r="V393"/>
  <c r="V392"/>
  <c r="V391"/>
  <c r="V390"/>
  <c r="V389"/>
  <c r="V388"/>
  <c r="V387"/>
  <c r="V386"/>
  <c r="V385"/>
  <c r="V384"/>
  <c r="V383"/>
  <c r="V382"/>
  <c r="V381"/>
  <c r="V380"/>
  <c r="V379"/>
  <c r="V378"/>
  <c r="V377"/>
  <c r="V376"/>
  <c r="V375"/>
  <c r="V374"/>
  <c r="V373"/>
  <c r="V372"/>
  <c r="V371"/>
  <c r="V370"/>
  <c r="V369"/>
  <c r="V368"/>
  <c r="V367"/>
  <c r="V366"/>
  <c r="V365"/>
  <c r="V364"/>
  <c r="V363"/>
  <c r="V362"/>
  <c r="V361"/>
  <c r="V360"/>
  <c r="V359"/>
  <c r="V358"/>
  <c r="V357"/>
  <c r="V356"/>
  <c r="V355"/>
  <c r="V354"/>
  <c r="V353"/>
  <c r="V352"/>
  <c r="V351"/>
  <c r="V350"/>
  <c r="V349"/>
  <c r="V348"/>
  <c r="V347"/>
  <c r="V346"/>
  <c r="V345"/>
  <c r="V344"/>
  <c r="V343"/>
  <c r="V342"/>
  <c r="V341"/>
  <c r="V340"/>
  <c r="V339"/>
  <c r="V338"/>
  <c r="V337"/>
  <c r="V336"/>
  <c r="V335"/>
  <c r="V334"/>
  <c r="V333"/>
  <c r="V332"/>
  <c r="V331"/>
  <c r="V330"/>
  <c r="V329"/>
  <c r="V328"/>
  <c r="V327"/>
  <c r="V326"/>
  <c r="V325"/>
  <c r="V324"/>
  <c r="V323"/>
  <c r="V322"/>
  <c r="V321"/>
  <c r="V320"/>
  <c r="V319"/>
  <c r="V318"/>
  <c r="V317"/>
  <c r="V316"/>
  <c r="V315"/>
  <c r="V314"/>
  <c r="V313"/>
  <c r="V312"/>
  <c r="V311"/>
  <c r="V310"/>
  <c r="V309"/>
  <c r="V308"/>
  <c r="V307"/>
  <c r="V306"/>
  <c r="V305"/>
  <c r="V304"/>
  <c r="V303"/>
  <c r="V302"/>
  <c r="V301"/>
  <c r="V300"/>
  <c r="V299"/>
  <c r="V298"/>
  <c r="V297"/>
  <c r="V296"/>
  <c r="V295"/>
  <c r="V294"/>
  <c r="V293"/>
  <c r="V292"/>
  <c r="V291"/>
  <c r="V290"/>
  <c r="V289"/>
  <c r="V288"/>
  <c r="V287"/>
  <c r="V286"/>
  <c r="V285"/>
  <c r="V284"/>
  <c r="V283"/>
  <c r="V282"/>
  <c r="V281"/>
  <c r="V280"/>
  <c r="V279"/>
  <c r="V278"/>
  <c r="V277"/>
  <c r="V276"/>
  <c r="V275"/>
  <c r="V274"/>
  <c r="V273"/>
  <c r="V272"/>
  <c r="V271"/>
  <c r="V270"/>
  <c r="V269"/>
  <c r="V268"/>
  <c r="V267"/>
  <c r="V266"/>
  <c r="V265"/>
  <c r="V264"/>
  <c r="V263"/>
  <c r="V262"/>
  <c r="V261"/>
  <c r="V260"/>
  <c r="V259"/>
  <c r="V258"/>
  <c r="V257"/>
  <c r="V256"/>
  <c r="V255"/>
  <c r="V254"/>
  <c r="V253"/>
  <c r="V252"/>
  <c r="V251"/>
  <c r="V250"/>
  <c r="V249"/>
  <c r="V248"/>
  <c r="V247"/>
  <c r="V246"/>
  <c r="V245"/>
  <c r="V244"/>
  <c r="V243"/>
  <c r="V242"/>
  <c r="V241"/>
  <c r="V240"/>
  <c r="V239"/>
  <c r="V238"/>
  <c r="V237"/>
  <c r="V236"/>
  <c r="V235"/>
  <c r="V234"/>
  <c r="V233"/>
  <c r="V232"/>
  <c r="V231"/>
  <c r="V230"/>
  <c r="V229"/>
  <c r="V228"/>
  <c r="V227"/>
  <c r="V226"/>
  <c r="V225"/>
  <c r="V224"/>
  <c r="V223"/>
  <c r="V222"/>
  <c r="V221"/>
  <c r="V220"/>
  <c r="V219"/>
  <c r="V218"/>
  <c r="V217"/>
  <c r="V216"/>
  <c r="V215"/>
  <c r="V214"/>
  <c r="V213"/>
  <c r="V212"/>
  <c r="V211"/>
  <c r="V210"/>
  <c r="V209"/>
  <c r="V208"/>
  <c r="V207"/>
  <c r="V206"/>
  <c r="V205"/>
  <c r="V204"/>
  <c r="V203"/>
  <c r="V202"/>
  <c r="V201"/>
  <c r="V200"/>
  <c r="V199"/>
  <c r="V198"/>
  <c r="V197"/>
  <c r="V196"/>
  <c r="V195"/>
  <c r="V194"/>
  <c r="V193"/>
  <c r="V192"/>
  <c r="V191"/>
  <c r="V190"/>
  <c r="V189"/>
  <c r="V188"/>
  <c r="V187"/>
  <c r="V186"/>
  <c r="V185"/>
  <c r="V184"/>
  <c r="V183"/>
  <c r="V182"/>
  <c r="V181"/>
  <c r="V180"/>
  <c r="V179"/>
  <c r="V178"/>
  <c r="V177"/>
  <c r="V176"/>
  <c r="V175"/>
  <c r="V174"/>
  <c r="V173"/>
  <c r="V172"/>
  <c r="V171"/>
  <c r="V170"/>
  <c r="V169"/>
  <c r="V168"/>
  <c r="V167"/>
  <c r="V166"/>
  <c r="V165"/>
  <c r="V164"/>
  <c r="V163"/>
  <c r="V162"/>
  <c r="V161"/>
  <c r="V160"/>
  <c r="V159"/>
  <c r="V158"/>
  <c r="V157"/>
  <c r="V156"/>
  <c r="V155"/>
  <c r="V154"/>
  <c r="V153"/>
  <c r="V152"/>
  <c r="V151"/>
  <c r="V150"/>
  <c r="V149"/>
  <c r="V148"/>
  <c r="V147"/>
  <c r="V146"/>
  <c r="V145"/>
  <c r="V144"/>
  <c r="V143"/>
  <c r="V142"/>
  <c r="V141"/>
  <c r="V140"/>
  <c r="V139"/>
  <c r="V138"/>
  <c r="V137"/>
  <c r="V136"/>
  <c r="V135"/>
  <c r="V134"/>
  <c r="V133"/>
  <c r="V132"/>
  <c r="V131"/>
  <c r="V130"/>
  <c r="V129"/>
  <c r="V128"/>
  <c r="V127"/>
  <c r="V126"/>
  <c r="V125"/>
  <c r="V124"/>
  <c r="V123"/>
  <c r="V122"/>
  <c r="V121"/>
  <c r="V120"/>
  <c r="V119"/>
  <c r="V118"/>
  <c r="V117"/>
  <c r="V116"/>
  <c r="V115"/>
  <c r="V114"/>
  <c r="V113"/>
  <c r="V112"/>
  <c r="V111"/>
  <c r="V110"/>
  <c r="V109"/>
  <c r="V108"/>
  <c r="V107"/>
  <c r="V106"/>
  <c r="V105"/>
  <c r="V104"/>
  <c r="V103"/>
  <c r="V102"/>
  <c r="V26"/>
  <c r="V25"/>
  <c r="V24"/>
  <c r="V23"/>
  <c r="V22"/>
  <c r="V21"/>
  <c r="V20"/>
  <c r="V19"/>
  <c r="V18"/>
  <c r="V17"/>
  <c r="V16"/>
  <c r="V15"/>
  <c r="V14"/>
  <c r="V13"/>
  <c r="V12"/>
  <c r="V10"/>
  <c r="V8"/>
  <c r="V7"/>
  <c r="V5"/>
  <c r="V4"/>
  <c r="V3"/>
  <c r="V2"/>
  <c r="U1001"/>
  <c r="U1000"/>
  <c r="U999"/>
  <c r="U998"/>
  <c r="U997"/>
  <c r="U996"/>
  <c r="U995"/>
  <c r="U994"/>
  <c r="U993"/>
  <c r="U992"/>
  <c r="U991"/>
  <c r="U990"/>
  <c r="U989"/>
  <c r="U988"/>
  <c r="U987"/>
  <c r="U986"/>
  <c r="U985"/>
  <c r="U984"/>
  <c r="U983"/>
  <c r="U982"/>
  <c r="U981"/>
  <c r="U980"/>
  <c r="U979"/>
  <c r="U978"/>
  <c r="U977"/>
  <c r="U976"/>
  <c r="U975"/>
  <c r="U974"/>
  <c r="U973"/>
  <c r="U972"/>
  <c r="U971"/>
  <c r="U970"/>
  <c r="U969"/>
  <c r="U968"/>
  <c r="U967"/>
  <c r="U966"/>
  <c r="U965"/>
  <c r="U964"/>
  <c r="U963"/>
  <c r="U962"/>
  <c r="U961"/>
  <c r="U960"/>
  <c r="U959"/>
  <c r="U958"/>
  <c r="U957"/>
  <c r="U956"/>
  <c r="U955"/>
  <c r="U954"/>
  <c r="U953"/>
  <c r="U952"/>
  <c r="U951"/>
  <c r="U950"/>
  <c r="U949"/>
  <c r="U948"/>
  <c r="U947"/>
  <c r="U946"/>
  <c r="U945"/>
  <c r="U944"/>
  <c r="U943"/>
  <c r="U942"/>
  <c r="U941"/>
  <c r="U940"/>
  <c r="U939"/>
  <c r="U938"/>
  <c r="U937"/>
  <c r="U936"/>
  <c r="U935"/>
  <c r="U934"/>
  <c r="U933"/>
  <c r="U932"/>
  <c r="U931"/>
  <c r="U930"/>
  <c r="U929"/>
  <c r="U928"/>
  <c r="U927"/>
  <c r="U926"/>
  <c r="U925"/>
  <c r="U924"/>
  <c r="U923"/>
  <c r="U922"/>
  <c r="U921"/>
  <c r="U920"/>
  <c r="U919"/>
  <c r="U918"/>
  <c r="U917"/>
  <c r="U916"/>
  <c r="U915"/>
  <c r="U914"/>
  <c r="U913"/>
  <c r="U912"/>
  <c r="U911"/>
  <c r="U910"/>
  <c r="U909"/>
  <c r="U908"/>
  <c r="U907"/>
  <c r="U906"/>
  <c r="U905"/>
  <c r="U904"/>
  <c r="U903"/>
  <c r="U902"/>
  <c r="U901"/>
  <c r="U900"/>
  <c r="U899"/>
  <c r="U898"/>
  <c r="U897"/>
  <c r="U896"/>
  <c r="U895"/>
  <c r="U894"/>
  <c r="U893"/>
  <c r="U891"/>
  <c r="U890"/>
  <c r="U889"/>
  <c r="U888"/>
  <c r="U887"/>
  <c r="U886"/>
  <c r="U885"/>
  <c r="U884"/>
  <c r="U883"/>
  <c r="U882"/>
  <c r="U881"/>
  <c r="U880"/>
  <c r="U879"/>
  <c r="U878"/>
  <c r="U877"/>
  <c r="U876"/>
  <c r="U875"/>
  <c r="U874"/>
  <c r="U873"/>
  <c r="U872"/>
  <c r="U871"/>
  <c r="U870"/>
  <c r="U869"/>
  <c r="U868"/>
  <c r="U867"/>
  <c r="U866"/>
  <c r="U865"/>
  <c r="U864"/>
  <c r="U863"/>
  <c r="U862"/>
  <c r="U861"/>
  <c r="U860"/>
  <c r="U859"/>
  <c r="U858"/>
  <c r="U857"/>
  <c r="U856"/>
  <c r="U855"/>
  <c r="U854"/>
  <c r="U853"/>
  <c r="U852"/>
  <c r="U851"/>
  <c r="U850"/>
  <c r="U849"/>
  <c r="U848"/>
  <c r="U847"/>
  <c r="U846"/>
  <c r="U845"/>
  <c r="U844"/>
  <c r="U843"/>
  <c r="U842"/>
  <c r="U841"/>
  <c r="U840"/>
  <c r="U839"/>
  <c r="U838"/>
  <c r="U837"/>
  <c r="U836"/>
  <c r="U835"/>
  <c r="U834"/>
  <c r="U833"/>
  <c r="U832"/>
  <c r="U831"/>
  <c r="U830"/>
  <c r="U829"/>
  <c r="U828"/>
  <c r="U827"/>
  <c r="U826"/>
  <c r="U825"/>
  <c r="U824"/>
  <c r="U823"/>
  <c r="U822"/>
  <c r="U821"/>
  <c r="U820"/>
  <c r="U819"/>
  <c r="U818"/>
  <c r="U817"/>
  <c r="U816"/>
  <c r="U815"/>
  <c r="U814"/>
  <c r="U813"/>
  <c r="U812"/>
  <c r="U811"/>
  <c r="U810"/>
  <c r="U809"/>
  <c r="U808"/>
  <c r="U807"/>
  <c r="U806"/>
  <c r="U805"/>
  <c r="U804"/>
  <c r="U803"/>
  <c r="U802"/>
  <c r="U801"/>
  <c r="U800"/>
  <c r="U799"/>
  <c r="U798"/>
  <c r="U797"/>
  <c r="U796"/>
  <c r="U795"/>
  <c r="U794"/>
  <c r="U793"/>
  <c r="U792"/>
  <c r="U791"/>
  <c r="U790"/>
  <c r="U789"/>
  <c r="U788"/>
  <c r="U787"/>
  <c r="U786"/>
  <c r="U785"/>
  <c r="U784"/>
  <c r="U783"/>
  <c r="U782"/>
  <c r="U781"/>
  <c r="U780"/>
  <c r="U779"/>
  <c r="U778"/>
  <c r="U777"/>
  <c r="U776"/>
  <c r="U775"/>
  <c r="U774"/>
  <c r="U773"/>
  <c r="U772"/>
  <c r="U771"/>
  <c r="U770"/>
  <c r="U769"/>
  <c r="U768"/>
  <c r="U767"/>
  <c r="U766"/>
  <c r="U765"/>
  <c r="U764"/>
  <c r="U763"/>
  <c r="U762"/>
  <c r="U761"/>
  <c r="U760"/>
  <c r="U759"/>
  <c r="U758"/>
  <c r="U757"/>
  <c r="U756"/>
  <c r="U755"/>
  <c r="U754"/>
  <c r="U753"/>
  <c r="U752"/>
  <c r="U751"/>
  <c r="U750"/>
  <c r="U749"/>
  <c r="U748"/>
  <c r="U747"/>
  <c r="U746"/>
  <c r="U745"/>
  <c r="U744"/>
  <c r="U743"/>
  <c r="U742"/>
  <c r="U741"/>
  <c r="U740"/>
  <c r="U739"/>
  <c r="U738"/>
  <c r="U737"/>
  <c r="U736"/>
  <c r="U735"/>
  <c r="U734"/>
  <c r="U733"/>
  <c r="U732"/>
  <c r="U731"/>
  <c r="U730"/>
  <c r="U729"/>
  <c r="U728"/>
  <c r="U727"/>
  <c r="U726"/>
  <c r="U725"/>
  <c r="U724"/>
  <c r="U723"/>
  <c r="U722"/>
  <c r="U721"/>
  <c r="U720"/>
  <c r="U719"/>
  <c r="U718"/>
  <c r="U717"/>
  <c r="U716"/>
  <c r="U715"/>
  <c r="U714"/>
  <c r="U713"/>
  <c r="U712"/>
  <c r="U711"/>
  <c r="U710"/>
  <c r="U709"/>
  <c r="U708"/>
  <c r="U707"/>
  <c r="U706"/>
  <c r="U705"/>
  <c r="U704"/>
  <c r="U703"/>
  <c r="U702"/>
  <c r="U701"/>
  <c r="U700"/>
  <c r="U699"/>
  <c r="U698"/>
  <c r="U697"/>
  <c r="U696"/>
  <c r="U695"/>
  <c r="U694"/>
  <c r="U693"/>
  <c r="U692"/>
  <c r="U691"/>
  <c r="U690"/>
  <c r="U689"/>
  <c r="U688"/>
  <c r="U687"/>
  <c r="U686"/>
  <c r="U685"/>
  <c r="U684"/>
  <c r="U683"/>
  <c r="U682"/>
  <c r="U681"/>
  <c r="U680"/>
  <c r="U679"/>
  <c r="U678"/>
  <c r="U677"/>
  <c r="U676"/>
  <c r="U675"/>
  <c r="U674"/>
  <c r="U673"/>
  <c r="U672"/>
  <c r="U671"/>
  <c r="U670"/>
  <c r="U669"/>
  <c r="U668"/>
  <c r="U667"/>
  <c r="U666"/>
  <c r="U665"/>
  <c r="U664"/>
  <c r="U663"/>
  <c r="U662"/>
  <c r="U661"/>
  <c r="U660"/>
  <c r="U659"/>
  <c r="U658"/>
  <c r="U657"/>
  <c r="U656"/>
  <c r="U655"/>
  <c r="U654"/>
  <c r="U653"/>
  <c r="U652"/>
  <c r="U651"/>
  <c r="U650"/>
  <c r="U649"/>
  <c r="U648"/>
  <c r="U647"/>
  <c r="U646"/>
  <c r="U645"/>
  <c r="U644"/>
  <c r="U643"/>
  <c r="U642"/>
  <c r="U641"/>
  <c r="U640"/>
  <c r="U639"/>
  <c r="U638"/>
  <c r="U637"/>
  <c r="U636"/>
  <c r="U635"/>
  <c r="U634"/>
  <c r="U633"/>
  <c r="U632"/>
  <c r="U631"/>
  <c r="U630"/>
  <c r="U629"/>
  <c r="U628"/>
  <c r="U627"/>
  <c r="U626"/>
  <c r="U625"/>
  <c r="U624"/>
  <c r="U623"/>
  <c r="U622"/>
  <c r="U621"/>
  <c r="U620"/>
  <c r="U619"/>
  <c r="U618"/>
  <c r="U617"/>
  <c r="U616"/>
  <c r="U615"/>
  <c r="U614"/>
  <c r="U613"/>
  <c r="U612"/>
  <c r="U611"/>
  <c r="U610"/>
  <c r="U609"/>
  <c r="U608"/>
  <c r="U607"/>
  <c r="U606"/>
  <c r="U605"/>
  <c r="U604"/>
  <c r="U603"/>
  <c r="U602"/>
  <c r="U601"/>
  <c r="U600"/>
  <c r="U599"/>
  <c r="U598"/>
  <c r="U597"/>
  <c r="U596"/>
  <c r="U595"/>
  <c r="U594"/>
  <c r="U593"/>
  <c r="U592"/>
  <c r="U591"/>
  <c r="U590"/>
  <c r="U589"/>
  <c r="U588"/>
  <c r="U587"/>
  <c r="U586"/>
  <c r="U585"/>
  <c r="U584"/>
  <c r="U583"/>
  <c r="U582"/>
  <c r="U581"/>
  <c r="U580"/>
  <c r="U579"/>
  <c r="U578"/>
  <c r="U577"/>
  <c r="U576"/>
  <c r="U575"/>
  <c r="U574"/>
  <c r="U573"/>
  <c r="U572"/>
  <c r="U571"/>
  <c r="U570"/>
  <c r="U569"/>
  <c r="U568"/>
  <c r="U567"/>
  <c r="U566"/>
  <c r="U565"/>
  <c r="U564"/>
  <c r="U563"/>
  <c r="U562"/>
  <c r="U561"/>
  <c r="U560"/>
  <c r="U559"/>
  <c r="U558"/>
  <c r="U557"/>
  <c r="U556"/>
  <c r="U555"/>
  <c r="U554"/>
  <c r="U553"/>
  <c r="U552"/>
  <c r="U551"/>
  <c r="U550"/>
  <c r="U549"/>
  <c r="U548"/>
  <c r="U547"/>
  <c r="U546"/>
  <c r="U545"/>
  <c r="U544"/>
  <c r="U543"/>
  <c r="U542"/>
  <c r="U541"/>
  <c r="U540"/>
  <c r="U539"/>
  <c r="U538"/>
  <c r="U537"/>
  <c r="U536"/>
  <c r="U535"/>
  <c r="U534"/>
  <c r="U533"/>
  <c r="U532"/>
  <c r="U531"/>
  <c r="U530"/>
  <c r="U529"/>
  <c r="U528"/>
  <c r="U527"/>
  <c r="U526"/>
  <c r="U525"/>
  <c r="U524"/>
  <c r="U523"/>
  <c r="U522"/>
  <c r="U521"/>
  <c r="U520"/>
  <c r="U519"/>
  <c r="U518"/>
  <c r="U517"/>
  <c r="U516"/>
  <c r="U515"/>
  <c r="U514"/>
  <c r="U513"/>
  <c r="U512"/>
  <c r="U511"/>
  <c r="U510"/>
  <c r="U509"/>
  <c r="U508"/>
  <c r="U507"/>
  <c r="U506"/>
  <c r="U505"/>
  <c r="U504"/>
  <c r="U503"/>
  <c r="U502"/>
  <c r="U501"/>
  <c r="U500"/>
  <c r="U499"/>
  <c r="U498"/>
  <c r="U497"/>
  <c r="U496"/>
  <c r="U495"/>
  <c r="U494"/>
  <c r="U493"/>
  <c r="U492"/>
  <c r="U491"/>
  <c r="U490"/>
  <c r="U489"/>
  <c r="U488"/>
  <c r="U487"/>
  <c r="U486"/>
  <c r="U485"/>
  <c r="U484"/>
  <c r="U483"/>
  <c r="U482"/>
  <c r="U481"/>
  <c r="U480"/>
  <c r="U479"/>
  <c r="U478"/>
  <c r="U477"/>
  <c r="U476"/>
  <c r="U475"/>
  <c r="U474"/>
  <c r="U473"/>
  <c r="U472"/>
  <c r="U471"/>
  <c r="U470"/>
  <c r="U469"/>
  <c r="U468"/>
  <c r="U467"/>
  <c r="U466"/>
  <c r="U465"/>
  <c r="U464"/>
  <c r="U463"/>
  <c r="U462"/>
  <c r="U461"/>
  <c r="U460"/>
  <c r="U459"/>
  <c r="U458"/>
  <c r="U457"/>
  <c r="U456"/>
  <c r="U455"/>
  <c r="U454"/>
  <c r="U453"/>
  <c r="U452"/>
  <c r="U451"/>
  <c r="U450"/>
  <c r="U449"/>
  <c r="U448"/>
  <c r="U447"/>
  <c r="U446"/>
  <c r="U445"/>
  <c r="U444"/>
  <c r="U443"/>
  <c r="U442"/>
  <c r="U441"/>
  <c r="U440"/>
  <c r="U439"/>
  <c r="U438"/>
  <c r="U437"/>
  <c r="U436"/>
  <c r="U435"/>
  <c r="U434"/>
  <c r="U433"/>
  <c r="U432"/>
  <c r="U431"/>
  <c r="U430"/>
  <c r="U429"/>
  <c r="U428"/>
  <c r="U427"/>
  <c r="U426"/>
  <c r="U425"/>
  <c r="U424"/>
  <c r="U423"/>
  <c r="U422"/>
  <c r="U421"/>
  <c r="U420"/>
  <c r="U419"/>
  <c r="U418"/>
  <c r="U417"/>
  <c r="U415"/>
  <c r="U414"/>
  <c r="U413"/>
  <c r="U412"/>
  <c r="U411"/>
  <c r="U410"/>
  <c r="U409"/>
  <c r="U408"/>
  <c r="U407"/>
  <c r="U406"/>
  <c r="U405"/>
  <c r="U404"/>
  <c r="U403"/>
  <c r="U402"/>
  <c r="U401"/>
  <c r="U400"/>
  <c r="U399"/>
  <c r="U398"/>
  <c r="U397"/>
  <c r="U396"/>
  <c r="U395"/>
  <c r="U394"/>
  <c r="U393"/>
  <c r="U392"/>
  <c r="U391"/>
  <c r="U390"/>
  <c r="U389"/>
  <c r="U388"/>
  <c r="U387"/>
  <c r="U386"/>
  <c r="U385"/>
  <c r="U384"/>
  <c r="U383"/>
  <c r="U382"/>
  <c r="U381"/>
  <c r="U380"/>
  <c r="U379"/>
  <c r="U378"/>
  <c r="U377"/>
  <c r="U376"/>
  <c r="U375"/>
  <c r="U374"/>
  <c r="U373"/>
  <c r="U372"/>
  <c r="U371"/>
  <c r="U370"/>
  <c r="U369"/>
  <c r="U368"/>
  <c r="U367"/>
  <c r="U366"/>
  <c r="U365"/>
  <c r="U364"/>
  <c r="U363"/>
  <c r="U362"/>
  <c r="U361"/>
  <c r="U360"/>
  <c r="U359"/>
  <c r="U358"/>
  <c r="U357"/>
  <c r="U356"/>
  <c r="U355"/>
  <c r="U354"/>
  <c r="U353"/>
  <c r="U352"/>
  <c r="U351"/>
  <c r="U350"/>
  <c r="U349"/>
  <c r="U348"/>
  <c r="U347"/>
  <c r="U346"/>
  <c r="U345"/>
  <c r="U344"/>
  <c r="U343"/>
  <c r="U342"/>
  <c r="U341"/>
  <c r="U340"/>
  <c r="U339"/>
  <c r="U338"/>
  <c r="U337"/>
  <c r="U336"/>
  <c r="U335"/>
  <c r="U334"/>
  <c r="U333"/>
  <c r="U332"/>
  <c r="U331"/>
  <c r="U330"/>
  <c r="U329"/>
  <c r="U328"/>
  <c r="U327"/>
  <c r="U326"/>
  <c r="U325"/>
  <c r="U324"/>
  <c r="U323"/>
  <c r="U322"/>
  <c r="U321"/>
  <c r="U320"/>
  <c r="U319"/>
  <c r="U318"/>
  <c r="U317"/>
  <c r="U316"/>
  <c r="U315"/>
  <c r="U314"/>
  <c r="U313"/>
  <c r="U312"/>
  <c r="U311"/>
  <c r="U310"/>
  <c r="U309"/>
  <c r="U308"/>
  <c r="U307"/>
  <c r="U306"/>
  <c r="U305"/>
  <c r="U304"/>
  <c r="U303"/>
  <c r="U302"/>
  <c r="U301"/>
  <c r="U300"/>
  <c r="U299"/>
  <c r="U298"/>
  <c r="U297"/>
  <c r="U296"/>
  <c r="U295"/>
  <c r="U294"/>
  <c r="U293"/>
  <c r="U292"/>
  <c r="U291"/>
  <c r="U290"/>
  <c r="U289"/>
  <c r="U288"/>
  <c r="U287"/>
  <c r="U286"/>
  <c r="U285"/>
  <c r="U284"/>
  <c r="U283"/>
  <c r="U282"/>
  <c r="U281"/>
  <c r="U280"/>
  <c r="U279"/>
  <c r="U278"/>
  <c r="U277"/>
  <c r="U276"/>
  <c r="U275"/>
  <c r="U274"/>
  <c r="U273"/>
  <c r="U272"/>
  <c r="U271"/>
  <c r="U270"/>
  <c r="U269"/>
  <c r="U268"/>
  <c r="U267"/>
  <c r="U266"/>
  <c r="U265"/>
  <c r="U264"/>
  <c r="U263"/>
  <c r="U262"/>
  <c r="U261"/>
  <c r="U260"/>
  <c r="U259"/>
  <c r="U258"/>
  <c r="U257"/>
  <c r="U256"/>
  <c r="U255"/>
  <c r="U254"/>
  <c r="U253"/>
  <c r="U252"/>
  <c r="U251"/>
  <c r="U250"/>
  <c r="U249"/>
  <c r="U248"/>
  <c r="U247"/>
  <c r="U246"/>
  <c r="U245"/>
  <c r="U244"/>
  <c r="U243"/>
  <c r="U242"/>
  <c r="U241"/>
  <c r="U240"/>
  <c r="U239"/>
  <c r="U238"/>
  <c r="U237"/>
  <c r="U236"/>
  <c r="U235"/>
  <c r="U234"/>
  <c r="U233"/>
  <c r="U232"/>
  <c r="U231"/>
  <c r="U230"/>
  <c r="U229"/>
  <c r="U228"/>
  <c r="U227"/>
  <c r="U226"/>
  <c r="U225"/>
  <c r="U224"/>
  <c r="U223"/>
  <c r="U222"/>
  <c r="U221"/>
  <c r="U220"/>
  <c r="U219"/>
  <c r="U218"/>
  <c r="U217"/>
  <c r="U216"/>
  <c r="U215"/>
  <c r="U214"/>
  <c r="U213"/>
  <c r="U212"/>
  <c r="U211"/>
  <c r="U210"/>
  <c r="U209"/>
  <c r="U208"/>
  <c r="U207"/>
  <c r="U206"/>
  <c r="U205"/>
  <c r="U204"/>
  <c r="U203"/>
  <c r="U202"/>
  <c r="U201"/>
  <c r="U200"/>
  <c r="U199"/>
  <c r="U198"/>
  <c r="U197"/>
  <c r="U196"/>
  <c r="U195"/>
  <c r="U194"/>
  <c r="U193"/>
  <c r="U192"/>
  <c r="U191"/>
  <c r="U190"/>
  <c r="U189"/>
  <c r="U188"/>
  <c r="U187"/>
  <c r="U186"/>
  <c r="U185"/>
  <c r="U184"/>
  <c r="U183"/>
  <c r="U182"/>
  <c r="U181"/>
  <c r="U180"/>
  <c r="U179"/>
  <c r="U178"/>
  <c r="U177"/>
  <c r="U176"/>
  <c r="U175"/>
  <c r="U174"/>
  <c r="U173"/>
  <c r="U172"/>
  <c r="U171"/>
  <c r="U170"/>
  <c r="U169"/>
  <c r="U168"/>
  <c r="U167"/>
  <c r="U166"/>
  <c r="U165"/>
  <c r="U164"/>
  <c r="U163"/>
  <c r="U162"/>
  <c r="U161"/>
  <c r="U160"/>
  <c r="U159"/>
  <c r="U158"/>
  <c r="U157"/>
  <c r="U156"/>
  <c r="U155"/>
  <c r="U154"/>
  <c r="U153"/>
  <c r="U152"/>
  <c r="U151"/>
  <c r="U150"/>
  <c r="U149"/>
  <c r="U148"/>
  <c r="U147"/>
  <c r="U146"/>
  <c r="U145"/>
  <c r="U144"/>
  <c r="U143"/>
  <c r="U142"/>
  <c r="U141"/>
  <c r="U140"/>
  <c r="U139"/>
  <c r="U138"/>
  <c r="U137"/>
  <c r="U136"/>
  <c r="U135"/>
  <c r="U134"/>
  <c r="U133"/>
  <c r="U132"/>
  <c r="U131"/>
  <c r="U130"/>
  <c r="U129"/>
  <c r="U128"/>
  <c r="U127"/>
  <c r="U126"/>
  <c r="U125"/>
  <c r="U124"/>
  <c r="U123"/>
  <c r="U122"/>
  <c r="U121"/>
  <c r="U120"/>
  <c r="U119"/>
  <c r="U118"/>
  <c r="U117"/>
  <c r="U116"/>
  <c r="U115"/>
  <c r="U114"/>
  <c r="U113"/>
  <c r="U112"/>
  <c r="U111"/>
  <c r="U110"/>
  <c r="U109"/>
  <c r="U108"/>
  <c r="U107"/>
  <c r="U106"/>
  <c r="U105"/>
  <c r="U104"/>
  <c r="U103"/>
  <c r="U102"/>
  <c r="U26"/>
  <c r="U25"/>
  <c r="U24"/>
  <c r="U23"/>
  <c r="U22"/>
  <c r="U21"/>
  <c r="U20"/>
  <c r="U19"/>
  <c r="U18"/>
  <c r="U17"/>
  <c r="U16"/>
  <c r="U15"/>
  <c r="U14"/>
  <c r="U13"/>
  <c r="U12"/>
  <c r="U10"/>
  <c r="U8"/>
  <c r="U7"/>
  <c r="U6"/>
  <c r="U5"/>
  <c r="U4"/>
  <c r="U3"/>
  <c r="U2"/>
  <c r="S1001"/>
  <c r="S1000"/>
  <c r="S999"/>
  <c r="S998"/>
  <c r="S997"/>
  <c r="S996"/>
  <c r="S995"/>
  <c r="S994"/>
  <c r="S993"/>
  <c r="S992"/>
  <c r="S991"/>
  <c r="S990"/>
  <c r="S989"/>
  <c r="S988"/>
  <c r="S987"/>
  <c r="S986"/>
  <c r="S985"/>
  <c r="S984"/>
  <c r="S983"/>
  <c r="S982"/>
  <c r="S981"/>
  <c r="S980"/>
  <c r="S979"/>
  <c r="S978"/>
  <c r="S977"/>
  <c r="S976"/>
  <c r="S975"/>
  <c r="S974"/>
  <c r="S973"/>
  <c r="S972"/>
  <c r="S971"/>
  <c r="S970"/>
  <c r="S969"/>
  <c r="S968"/>
  <c r="S967"/>
  <c r="S966"/>
  <c r="S965"/>
  <c r="S964"/>
  <c r="S963"/>
  <c r="S962"/>
  <c r="S961"/>
  <c r="S960"/>
  <c r="S959"/>
  <c r="S958"/>
  <c r="S957"/>
  <c r="S956"/>
  <c r="S955"/>
  <c r="S954"/>
  <c r="S953"/>
  <c r="S952"/>
  <c r="S951"/>
  <c r="S950"/>
  <c r="S949"/>
  <c r="S948"/>
  <c r="S947"/>
  <c r="S946"/>
  <c r="S945"/>
  <c r="S944"/>
  <c r="S943"/>
  <c r="S942"/>
  <c r="S941"/>
  <c r="S940"/>
  <c r="S939"/>
  <c r="S938"/>
  <c r="S937"/>
  <c r="S936"/>
  <c r="S935"/>
  <c r="S934"/>
  <c r="S933"/>
  <c r="S932"/>
  <c r="S931"/>
  <c r="S930"/>
  <c r="S929"/>
  <c r="S928"/>
  <c r="S927"/>
  <c r="S926"/>
  <c r="S925"/>
  <c r="S924"/>
  <c r="S923"/>
  <c r="S922"/>
  <c r="S921"/>
  <c r="S920"/>
  <c r="S919"/>
  <c r="S918"/>
  <c r="S917"/>
  <c r="S916"/>
  <c r="S915"/>
  <c r="S914"/>
  <c r="S913"/>
  <c r="S912"/>
  <c r="S911"/>
  <c r="S910"/>
  <c r="S909"/>
  <c r="S908"/>
  <c r="S907"/>
  <c r="S906"/>
  <c r="S905"/>
  <c r="S904"/>
  <c r="S903"/>
  <c r="S902"/>
  <c r="S901"/>
  <c r="S900"/>
  <c r="S899"/>
  <c r="S898"/>
  <c r="S897"/>
  <c r="S896"/>
  <c r="S895"/>
  <c r="S894"/>
  <c r="S893"/>
  <c r="S892"/>
  <c r="S891"/>
  <c r="S890"/>
  <c r="S889"/>
  <c r="S888"/>
  <c r="S887"/>
  <c r="S886"/>
  <c r="S885"/>
  <c r="S884"/>
  <c r="S883"/>
  <c r="S882"/>
  <c r="S881"/>
  <c r="S880"/>
  <c r="S879"/>
  <c r="S878"/>
  <c r="S877"/>
  <c r="S876"/>
  <c r="S875"/>
  <c r="S874"/>
  <c r="S873"/>
  <c r="S872"/>
  <c r="S871"/>
  <c r="S870"/>
  <c r="S869"/>
  <c r="S868"/>
  <c r="S867"/>
  <c r="S866"/>
  <c r="S865"/>
  <c r="S864"/>
  <c r="S863"/>
  <c r="S862"/>
  <c r="S861"/>
  <c r="S860"/>
  <c r="S859"/>
  <c r="S858"/>
  <c r="S857"/>
  <c r="S856"/>
  <c r="S855"/>
  <c r="S854"/>
  <c r="S853"/>
  <c r="S852"/>
  <c r="S851"/>
  <c r="S850"/>
  <c r="S849"/>
  <c r="S848"/>
  <c r="S847"/>
  <c r="S846"/>
  <c r="S845"/>
  <c r="S844"/>
  <c r="S843"/>
  <c r="S842"/>
  <c r="S841"/>
  <c r="S840"/>
  <c r="S839"/>
  <c r="S838"/>
  <c r="S837"/>
  <c r="S836"/>
  <c r="S835"/>
  <c r="S834"/>
  <c r="S833"/>
  <c r="S832"/>
  <c r="S831"/>
  <c r="S830"/>
  <c r="S829"/>
  <c r="S828"/>
  <c r="S827"/>
  <c r="S826"/>
  <c r="S825"/>
  <c r="S824"/>
  <c r="S823"/>
  <c r="S822"/>
  <c r="S821"/>
  <c r="S820"/>
  <c r="S819"/>
  <c r="S818"/>
  <c r="S817"/>
  <c r="S816"/>
  <c r="S815"/>
  <c r="S814"/>
  <c r="S813"/>
  <c r="S812"/>
  <c r="S811"/>
  <c r="S810"/>
  <c r="S809"/>
  <c r="S808"/>
  <c r="S807"/>
  <c r="S806"/>
  <c r="S805"/>
  <c r="S804"/>
  <c r="S803"/>
  <c r="S802"/>
  <c r="S801"/>
  <c r="S800"/>
  <c r="S799"/>
  <c r="S798"/>
  <c r="S797"/>
  <c r="S796"/>
  <c r="S795"/>
  <c r="S794"/>
  <c r="S793"/>
  <c r="S792"/>
  <c r="S791"/>
  <c r="S790"/>
  <c r="S789"/>
  <c r="S788"/>
  <c r="S787"/>
  <c r="S786"/>
  <c r="S785"/>
  <c r="S784"/>
  <c r="S783"/>
  <c r="S782"/>
  <c r="S781"/>
  <c r="S780"/>
  <c r="S779"/>
  <c r="S778"/>
  <c r="S777"/>
  <c r="S776"/>
  <c r="S775"/>
  <c r="S774"/>
  <c r="S773"/>
  <c r="S772"/>
  <c r="S771"/>
  <c r="S770"/>
  <c r="S769"/>
  <c r="S768"/>
  <c r="S767"/>
  <c r="S766"/>
  <c r="S765"/>
  <c r="S764"/>
  <c r="S763"/>
  <c r="S762"/>
  <c r="S761"/>
  <c r="S760"/>
  <c r="S759"/>
  <c r="S758"/>
  <c r="S757"/>
  <c r="S756"/>
  <c r="S755"/>
  <c r="S754"/>
  <c r="S753"/>
  <c r="S752"/>
  <c r="S751"/>
  <c r="S750"/>
  <c r="S749"/>
  <c r="S748"/>
  <c r="S747"/>
  <c r="S746"/>
  <c r="S745"/>
  <c r="S744"/>
  <c r="S743"/>
  <c r="S742"/>
  <c r="S741"/>
  <c r="S740"/>
  <c r="S739"/>
  <c r="S738"/>
  <c r="S737"/>
  <c r="S736"/>
  <c r="S735"/>
  <c r="S734"/>
  <c r="S733"/>
  <c r="S732"/>
  <c r="S731"/>
  <c r="S730"/>
  <c r="S729"/>
  <c r="S728"/>
  <c r="S727"/>
  <c r="S726"/>
  <c r="S725"/>
  <c r="S724"/>
  <c r="S723"/>
  <c r="S722"/>
  <c r="S721"/>
  <c r="S720"/>
  <c r="S719"/>
  <c r="S718"/>
  <c r="S717"/>
  <c r="S716"/>
  <c r="S715"/>
  <c r="S714"/>
  <c r="S713"/>
  <c r="S712"/>
  <c r="S711"/>
  <c r="S710"/>
  <c r="S709"/>
  <c r="S708"/>
  <c r="S707"/>
  <c r="S706"/>
  <c r="S705"/>
  <c r="S704"/>
  <c r="S703"/>
  <c r="S702"/>
  <c r="S701"/>
  <c r="S700"/>
  <c r="S699"/>
  <c r="S698"/>
  <c r="S697"/>
  <c r="S696"/>
  <c r="S695"/>
  <c r="S694"/>
  <c r="S693"/>
  <c r="S692"/>
  <c r="S691"/>
  <c r="S690"/>
  <c r="S689"/>
  <c r="S688"/>
  <c r="S687"/>
  <c r="S686"/>
  <c r="S685"/>
  <c r="S684"/>
  <c r="S683"/>
  <c r="S682"/>
  <c r="S681"/>
  <c r="S680"/>
  <c r="S679"/>
  <c r="S678"/>
  <c r="S677"/>
  <c r="S676"/>
  <c r="S675"/>
  <c r="S674"/>
  <c r="S673"/>
  <c r="S672"/>
  <c r="S671"/>
  <c r="S670"/>
  <c r="S669"/>
  <c r="S668"/>
  <c r="S667"/>
  <c r="S666"/>
  <c r="S665"/>
  <c r="S664"/>
  <c r="S663"/>
  <c r="S662"/>
  <c r="S661"/>
  <c r="S660"/>
  <c r="S659"/>
  <c r="S658"/>
  <c r="S657"/>
  <c r="S656"/>
  <c r="S655"/>
  <c r="S654"/>
  <c r="S653"/>
  <c r="S652"/>
  <c r="S651"/>
  <c r="S650"/>
  <c r="S649"/>
  <c r="S648"/>
  <c r="S647"/>
  <c r="S646"/>
  <c r="S645"/>
  <c r="S644"/>
  <c r="S643"/>
  <c r="S642"/>
  <c r="S641"/>
  <c r="S640"/>
  <c r="S639"/>
  <c r="S638"/>
  <c r="S637"/>
  <c r="S636"/>
  <c r="S635"/>
  <c r="S634"/>
  <c r="S633"/>
  <c r="S632"/>
  <c r="S631"/>
  <c r="S630"/>
  <c r="S629"/>
  <c r="S628"/>
  <c r="S627"/>
  <c r="S626"/>
  <c r="S625"/>
  <c r="S624"/>
  <c r="S623"/>
  <c r="S622"/>
  <c r="S621"/>
  <c r="S620"/>
  <c r="S619"/>
  <c r="S618"/>
  <c r="S617"/>
  <c r="S616"/>
  <c r="S615"/>
  <c r="S614"/>
  <c r="S613"/>
  <c r="S612"/>
  <c r="S611"/>
  <c r="S610"/>
  <c r="S609"/>
  <c r="S608"/>
  <c r="S607"/>
  <c r="S606"/>
  <c r="S605"/>
  <c r="S604"/>
  <c r="S603"/>
  <c r="S602"/>
  <c r="S601"/>
  <c r="S600"/>
  <c r="S599"/>
  <c r="S598"/>
  <c r="S597"/>
  <c r="S596"/>
  <c r="S595"/>
  <c r="S594"/>
  <c r="S593"/>
  <c r="S592"/>
  <c r="S591"/>
  <c r="S590"/>
  <c r="S589"/>
  <c r="S588"/>
  <c r="S587"/>
  <c r="S586"/>
  <c r="S585"/>
  <c r="S584"/>
  <c r="S583"/>
  <c r="S582"/>
  <c r="S581"/>
  <c r="S580"/>
  <c r="S579"/>
  <c r="S578"/>
  <c r="S577"/>
  <c r="S576"/>
  <c r="S575"/>
  <c r="S574"/>
  <c r="S573"/>
  <c r="S572"/>
  <c r="S571"/>
  <c r="S570"/>
  <c r="S569"/>
  <c r="S568"/>
  <c r="S567"/>
  <c r="S566"/>
  <c r="S565"/>
  <c r="S564"/>
  <c r="S563"/>
  <c r="S562"/>
  <c r="S561"/>
  <c r="S560"/>
  <c r="S559"/>
  <c r="S558"/>
  <c r="S557"/>
  <c r="S556"/>
  <c r="S555"/>
  <c r="S554"/>
  <c r="S553"/>
  <c r="S552"/>
  <c r="S551"/>
  <c r="S550"/>
  <c r="S549"/>
  <c r="S548"/>
  <c r="S547"/>
  <c r="S546"/>
  <c r="S545"/>
  <c r="S544"/>
  <c r="S543"/>
  <c r="S542"/>
  <c r="S541"/>
  <c r="S540"/>
  <c r="S539"/>
  <c r="S538"/>
  <c r="S537"/>
  <c r="S536"/>
  <c r="S535"/>
  <c r="S534"/>
  <c r="S533"/>
  <c r="S532"/>
  <c r="S531"/>
  <c r="S530"/>
  <c r="S529"/>
  <c r="S528"/>
  <c r="S527"/>
  <c r="S526"/>
  <c r="S525"/>
  <c r="S524"/>
  <c r="S523"/>
  <c r="S522"/>
  <c r="S521"/>
  <c r="S520"/>
  <c r="S519"/>
  <c r="S518"/>
  <c r="S517"/>
  <c r="S516"/>
  <c r="S515"/>
  <c r="S514"/>
  <c r="S513"/>
  <c r="S512"/>
  <c r="S511"/>
  <c r="S510"/>
  <c r="S509"/>
  <c r="S508"/>
  <c r="S507"/>
  <c r="S506"/>
  <c r="S505"/>
  <c r="S504"/>
  <c r="S503"/>
  <c r="S502"/>
  <c r="S501"/>
  <c r="S500"/>
  <c r="S499"/>
  <c r="S498"/>
  <c r="S497"/>
  <c r="S496"/>
  <c r="S495"/>
  <c r="S494"/>
  <c r="S493"/>
  <c r="S492"/>
  <c r="S491"/>
  <c r="S490"/>
  <c r="S489"/>
  <c r="S488"/>
  <c r="S487"/>
  <c r="S486"/>
  <c r="S485"/>
  <c r="S484"/>
  <c r="S483"/>
  <c r="S482"/>
  <c r="S481"/>
  <c r="S480"/>
  <c r="S479"/>
  <c r="S478"/>
  <c r="S477"/>
  <c r="S476"/>
  <c r="S475"/>
  <c r="S474"/>
  <c r="S473"/>
  <c r="S472"/>
  <c r="S471"/>
  <c r="S470"/>
  <c r="S469"/>
  <c r="S468"/>
  <c r="S467"/>
  <c r="S466"/>
  <c r="S465"/>
  <c r="S464"/>
  <c r="S463"/>
  <c r="S462"/>
  <c r="S461"/>
  <c r="S460"/>
  <c r="S459"/>
  <c r="S458"/>
  <c r="S457"/>
  <c r="S456"/>
  <c r="S455"/>
  <c r="S454"/>
  <c r="S453"/>
  <c r="S452"/>
  <c r="S451"/>
  <c r="S450"/>
  <c r="S449"/>
  <c r="S448"/>
  <c r="S447"/>
  <c r="S446"/>
  <c r="S445"/>
  <c r="S444"/>
  <c r="S443"/>
  <c r="S442"/>
  <c r="S441"/>
  <c r="S440"/>
  <c r="S439"/>
  <c r="S438"/>
  <c r="S437"/>
  <c r="S436"/>
  <c r="S435"/>
  <c r="S434"/>
  <c r="S433"/>
  <c r="S432"/>
  <c r="S431"/>
  <c r="S430"/>
  <c r="S429"/>
  <c r="S428"/>
  <c r="S427"/>
  <c r="S426"/>
  <c r="S425"/>
  <c r="S424"/>
  <c r="S423"/>
  <c r="S422"/>
  <c r="S421"/>
  <c r="S420"/>
  <c r="S419"/>
  <c r="S418"/>
  <c r="S417"/>
  <c r="S416"/>
  <c r="S415"/>
  <c r="S414"/>
  <c r="S413"/>
  <c r="S412"/>
  <c r="S411"/>
  <c r="S410"/>
  <c r="S409"/>
  <c r="S408"/>
  <c r="S407"/>
  <c r="S406"/>
  <c r="S405"/>
  <c r="S404"/>
  <c r="S403"/>
  <c r="S402"/>
  <c r="S401"/>
  <c r="S400"/>
  <c r="S399"/>
  <c r="S398"/>
  <c r="S397"/>
  <c r="S396"/>
  <c r="S395"/>
  <c r="S394"/>
  <c r="S393"/>
  <c r="S392"/>
  <c r="S391"/>
  <c r="S390"/>
  <c r="S389"/>
  <c r="S388"/>
  <c r="S387"/>
  <c r="S386"/>
  <c r="S385"/>
  <c r="S384"/>
  <c r="S383"/>
  <c r="S382"/>
  <c r="S381"/>
  <c r="S380"/>
  <c r="S379"/>
  <c r="S378"/>
  <c r="S377"/>
  <c r="S376"/>
  <c r="S375"/>
  <c r="S374"/>
  <c r="S373"/>
  <c r="S372"/>
  <c r="S371"/>
  <c r="S370"/>
  <c r="S369"/>
  <c r="S368"/>
  <c r="S367"/>
  <c r="S366"/>
  <c r="S365"/>
  <c r="S364"/>
  <c r="S363"/>
  <c r="S362"/>
  <c r="S361"/>
  <c r="S360"/>
  <c r="S359"/>
  <c r="S358"/>
  <c r="S357"/>
  <c r="S356"/>
  <c r="S355"/>
  <c r="S354"/>
  <c r="S353"/>
  <c r="S352"/>
  <c r="S351"/>
  <c r="S350"/>
  <c r="S349"/>
  <c r="S348"/>
  <c r="S347"/>
  <c r="S346"/>
  <c r="S345"/>
  <c r="S344"/>
  <c r="S343"/>
  <c r="S342"/>
  <c r="S341"/>
  <c r="S340"/>
  <c r="S339"/>
  <c r="S338"/>
  <c r="S337"/>
  <c r="S336"/>
  <c r="S335"/>
  <c r="S334"/>
  <c r="S333"/>
  <c r="S332"/>
  <c r="S331"/>
  <c r="S330"/>
  <c r="S329"/>
  <c r="S328"/>
  <c r="S327"/>
  <c r="S326"/>
  <c r="S325"/>
  <c r="S324"/>
  <c r="S323"/>
  <c r="S322"/>
  <c r="S321"/>
  <c r="S320"/>
  <c r="S319"/>
  <c r="S318"/>
  <c r="S317"/>
  <c r="S316"/>
  <c r="S315"/>
  <c r="S314"/>
  <c r="S313"/>
  <c r="S312"/>
  <c r="S311"/>
  <c r="S310"/>
  <c r="S309"/>
  <c r="S308"/>
  <c r="S307"/>
  <c r="S306"/>
  <c r="S305"/>
  <c r="S304"/>
  <c r="S303"/>
  <c r="S302"/>
  <c r="S301"/>
  <c r="S300"/>
  <c r="S299"/>
  <c r="S298"/>
  <c r="S297"/>
  <c r="S296"/>
  <c r="S295"/>
  <c r="S294"/>
  <c r="S293"/>
  <c r="S292"/>
  <c r="S291"/>
  <c r="S290"/>
  <c r="S289"/>
  <c r="S288"/>
  <c r="S287"/>
  <c r="S286"/>
  <c r="S285"/>
  <c r="S284"/>
  <c r="S283"/>
  <c r="S282"/>
  <c r="S281"/>
  <c r="S280"/>
  <c r="S279"/>
  <c r="S278"/>
  <c r="S277"/>
  <c r="S276"/>
  <c r="S275"/>
  <c r="S274"/>
  <c r="S273"/>
  <c r="S272"/>
  <c r="S271"/>
  <c r="S270"/>
  <c r="S269"/>
  <c r="S268"/>
  <c r="S267"/>
  <c r="S266"/>
  <c r="S265"/>
  <c r="S264"/>
  <c r="S263"/>
  <c r="S262"/>
  <c r="S261"/>
  <c r="S260"/>
  <c r="S259"/>
  <c r="S258"/>
  <c r="S257"/>
  <c r="S256"/>
  <c r="S255"/>
  <c r="S254"/>
  <c r="S253"/>
  <c r="S252"/>
  <c r="S251"/>
  <c r="S250"/>
  <c r="S249"/>
  <c r="S248"/>
  <c r="S247"/>
  <c r="S246"/>
  <c r="S245"/>
  <c r="S244"/>
  <c r="S243"/>
  <c r="S242"/>
  <c r="S241"/>
  <c r="S240"/>
  <c r="S239"/>
  <c r="S238"/>
  <c r="S237"/>
  <c r="S236"/>
  <c r="S235"/>
  <c r="S234"/>
  <c r="S233"/>
  <c r="S232"/>
  <c r="S231"/>
  <c r="S230"/>
  <c r="S229"/>
  <c r="S228"/>
  <c r="S227"/>
  <c r="S226"/>
  <c r="S225"/>
  <c r="S224"/>
  <c r="S223"/>
  <c r="S222"/>
  <c r="S221"/>
  <c r="S220"/>
  <c r="S219"/>
  <c r="S218"/>
  <c r="S217"/>
  <c r="S216"/>
  <c r="S215"/>
  <c r="S214"/>
  <c r="S213"/>
  <c r="S212"/>
  <c r="S211"/>
  <c r="S210"/>
  <c r="S209"/>
  <c r="S208"/>
  <c r="S207"/>
  <c r="S206"/>
  <c r="S205"/>
  <c r="S204"/>
  <c r="S203"/>
  <c r="S202"/>
  <c r="S201"/>
  <c r="S200"/>
  <c r="S199"/>
  <c r="S198"/>
  <c r="S197"/>
  <c r="S196"/>
  <c r="S195"/>
  <c r="S194"/>
  <c r="S193"/>
  <c r="S192"/>
  <c r="S191"/>
  <c r="S190"/>
  <c r="S189"/>
  <c r="S188"/>
  <c r="S187"/>
  <c r="S186"/>
  <c r="S185"/>
  <c r="S184"/>
  <c r="S183"/>
  <c r="S182"/>
  <c r="S181"/>
  <c r="S180"/>
  <c r="S179"/>
  <c r="S178"/>
  <c r="S177"/>
  <c r="S176"/>
  <c r="S175"/>
  <c r="S174"/>
  <c r="S173"/>
  <c r="S172"/>
  <c r="S171"/>
  <c r="S170"/>
  <c r="S169"/>
  <c r="S168"/>
  <c r="S167"/>
  <c r="S166"/>
  <c r="S165"/>
  <c r="S164"/>
  <c r="S163"/>
  <c r="S162"/>
  <c r="S161"/>
  <c r="S160"/>
  <c r="S159"/>
  <c r="S158"/>
  <c r="S157"/>
  <c r="S156"/>
  <c r="S155"/>
  <c r="S154"/>
  <c r="S153"/>
  <c r="S152"/>
  <c r="S151"/>
  <c r="S150"/>
  <c r="S149"/>
  <c r="S148"/>
  <c r="S147"/>
  <c r="S146"/>
  <c r="S145"/>
  <c r="S144"/>
  <c r="S143"/>
  <c r="S142"/>
  <c r="S141"/>
  <c r="S140"/>
  <c r="S139"/>
  <c r="S138"/>
  <c r="S137"/>
  <c r="S136"/>
  <c r="S135"/>
  <c r="S134"/>
  <c r="S133"/>
  <c r="S132"/>
  <c r="S131"/>
  <c r="S130"/>
  <c r="S129"/>
  <c r="S128"/>
  <c r="S127"/>
  <c r="S126"/>
  <c r="S125"/>
  <c r="S124"/>
  <c r="S123"/>
  <c r="S122"/>
  <c r="S121"/>
  <c r="S120"/>
  <c r="S119"/>
  <c r="S118"/>
  <c r="S117"/>
  <c r="S116"/>
  <c r="S115"/>
  <c r="S114"/>
  <c r="S113"/>
  <c r="S112"/>
  <c r="S111"/>
  <c r="S110"/>
  <c r="S109"/>
  <c r="S108"/>
  <c r="S107"/>
  <c r="S106"/>
  <c r="S105"/>
  <c r="S104"/>
  <c r="S103"/>
  <c r="S102"/>
  <c r="S26"/>
  <c r="S25"/>
  <c r="S24"/>
  <c r="S23"/>
  <c r="S22"/>
  <c r="S21"/>
  <c r="S20"/>
  <c r="S19"/>
  <c r="S18"/>
  <c r="S17"/>
  <c r="S16"/>
  <c r="S15"/>
  <c r="S14"/>
  <c r="S13"/>
  <c r="S12"/>
  <c r="S10"/>
  <c r="S8"/>
  <c r="S7"/>
  <c r="S6"/>
  <c r="S5"/>
  <c r="S4"/>
  <c r="S3"/>
  <c r="S2"/>
  <c r="E6"/>
  <c r="V6" s="1"/>
  <c r="K1001"/>
  <c r="K1000"/>
  <c r="K999"/>
  <c r="K998"/>
  <c r="K997"/>
  <c r="K996"/>
  <c r="K995"/>
  <c r="K994"/>
  <c r="K993"/>
  <c r="K992"/>
  <c r="K991"/>
  <c r="K990"/>
  <c r="K989"/>
  <c r="K988"/>
  <c r="K987"/>
  <c r="K986"/>
  <c r="K985"/>
  <c r="K984"/>
  <c r="K983"/>
  <c r="K982"/>
  <c r="K981"/>
  <c r="K980"/>
  <c r="K979"/>
  <c r="K978"/>
  <c r="K977"/>
  <c r="K976"/>
  <c r="K975"/>
  <c r="K974"/>
  <c r="K973"/>
  <c r="K972"/>
  <c r="K971"/>
  <c r="K970"/>
  <c r="K969"/>
  <c r="K968"/>
  <c r="K967"/>
  <c r="K966"/>
  <c r="K965"/>
  <c r="K964"/>
  <c r="K963"/>
  <c r="K962"/>
  <c r="K961"/>
  <c r="K960"/>
  <c r="K959"/>
  <c r="K958"/>
  <c r="K957"/>
  <c r="K956"/>
  <c r="K955"/>
  <c r="K954"/>
  <c r="K953"/>
  <c r="K952"/>
  <c r="K951"/>
  <c r="K950"/>
  <c r="K949"/>
  <c r="K948"/>
  <c r="K947"/>
  <c r="K946"/>
  <c r="K945"/>
  <c r="K944"/>
  <c r="K943"/>
  <c r="K942"/>
  <c r="K941"/>
  <c r="K940"/>
  <c r="K939"/>
  <c r="K938"/>
  <c r="K937"/>
  <c r="K936"/>
  <c r="K935"/>
  <c r="K934"/>
  <c r="K933"/>
  <c r="K932"/>
  <c r="K931"/>
  <c r="K930"/>
  <c r="K929"/>
  <c r="K928"/>
  <c r="K927"/>
  <c r="K926"/>
  <c r="K925"/>
  <c r="K924"/>
  <c r="K923"/>
  <c r="K922"/>
  <c r="K921"/>
  <c r="K920"/>
  <c r="K919"/>
  <c r="K918"/>
  <c r="K917"/>
  <c r="K916"/>
  <c r="K915"/>
  <c r="K914"/>
  <c r="K913"/>
  <c r="K912"/>
  <c r="K911"/>
  <c r="K910"/>
  <c r="K909"/>
  <c r="K908"/>
  <c r="K907"/>
  <c r="K906"/>
  <c r="K905"/>
  <c r="K904"/>
  <c r="K903"/>
  <c r="K902"/>
  <c r="K901"/>
  <c r="K900"/>
  <c r="K899"/>
  <c r="K898"/>
  <c r="K897"/>
  <c r="K896"/>
  <c r="K895"/>
  <c r="K894"/>
  <c r="K893"/>
  <c r="K892"/>
  <c r="K891"/>
  <c r="K890"/>
  <c r="K889"/>
  <c r="K888"/>
  <c r="K887"/>
  <c r="K886"/>
  <c r="K885"/>
  <c r="K884"/>
  <c r="K883"/>
  <c r="K882"/>
  <c r="K881"/>
  <c r="K880"/>
  <c r="K879"/>
  <c r="K878"/>
  <c r="K877"/>
  <c r="K876"/>
  <c r="K875"/>
  <c r="K874"/>
  <c r="K873"/>
  <c r="K872"/>
  <c r="K871"/>
  <c r="K870"/>
  <c r="K869"/>
  <c r="K868"/>
  <c r="K867"/>
  <c r="K866"/>
  <c r="K865"/>
  <c r="K864"/>
  <c r="K863"/>
  <c r="K862"/>
  <c r="K861"/>
  <c r="K860"/>
  <c r="K859"/>
  <c r="K858"/>
  <c r="K857"/>
  <c r="K856"/>
  <c r="K855"/>
  <c r="K854"/>
  <c r="K853"/>
  <c r="K852"/>
  <c r="K851"/>
  <c r="K850"/>
  <c r="K849"/>
  <c r="K848"/>
  <c r="K847"/>
  <c r="K846"/>
  <c r="K845"/>
  <c r="K844"/>
  <c r="K843"/>
  <c r="K842"/>
  <c r="K841"/>
  <c r="K840"/>
  <c r="K839"/>
  <c r="K838"/>
  <c r="K837"/>
  <c r="K836"/>
  <c r="K835"/>
  <c r="K834"/>
  <c r="K833"/>
  <c r="K832"/>
  <c r="K831"/>
  <c r="K830"/>
  <c r="K829"/>
  <c r="K828"/>
  <c r="K827"/>
  <c r="K826"/>
  <c r="K825"/>
  <c r="K824"/>
  <c r="K823"/>
  <c r="K822"/>
  <c r="K821"/>
  <c r="K820"/>
  <c r="K819"/>
  <c r="K818"/>
  <c r="K817"/>
  <c r="K816"/>
  <c r="K815"/>
  <c r="K814"/>
  <c r="K813"/>
  <c r="K812"/>
  <c r="K811"/>
  <c r="K810"/>
  <c r="K809"/>
  <c r="K808"/>
  <c r="K807"/>
  <c r="K806"/>
  <c r="K805"/>
  <c r="K804"/>
  <c r="K803"/>
  <c r="K802"/>
  <c r="K801"/>
  <c r="K800"/>
  <c r="K799"/>
  <c r="K798"/>
  <c r="K797"/>
  <c r="K796"/>
  <c r="K795"/>
  <c r="K794"/>
  <c r="K793"/>
  <c r="K792"/>
  <c r="K791"/>
  <c r="K790"/>
  <c r="K789"/>
  <c r="K788"/>
  <c r="K787"/>
  <c r="K786"/>
  <c r="K785"/>
  <c r="K784"/>
  <c r="K783"/>
  <c r="K782"/>
  <c r="K781"/>
  <c r="K780"/>
  <c r="K779"/>
  <c r="K778"/>
  <c r="K777"/>
  <c r="K776"/>
  <c r="K775"/>
  <c r="K774"/>
  <c r="K773"/>
  <c r="K772"/>
  <c r="K771"/>
  <c r="K770"/>
  <c r="K769"/>
  <c r="K768"/>
  <c r="K767"/>
  <c r="K766"/>
  <c r="K765"/>
  <c r="K764"/>
  <c r="K763"/>
  <c r="K762"/>
  <c r="K761"/>
  <c r="K760"/>
  <c r="K759"/>
  <c r="K758"/>
  <c r="K757"/>
  <c r="K756"/>
  <c r="K755"/>
  <c r="K754"/>
  <c r="K753"/>
  <c r="K752"/>
  <c r="K751"/>
  <c r="K750"/>
  <c r="K749"/>
  <c r="K748"/>
  <c r="K747"/>
  <c r="K746"/>
  <c r="K745"/>
  <c r="K744"/>
  <c r="K743"/>
  <c r="K742"/>
  <c r="K741"/>
  <c r="K740"/>
  <c r="K739"/>
  <c r="K738"/>
  <c r="K737"/>
  <c r="K736"/>
  <c r="K735"/>
  <c r="K734"/>
  <c r="K733"/>
  <c r="K732"/>
  <c r="K731"/>
  <c r="K730"/>
  <c r="K729"/>
  <c r="K728"/>
  <c r="K727"/>
  <c r="K726"/>
  <c r="K725"/>
  <c r="K724"/>
  <c r="K723"/>
  <c r="K722"/>
  <c r="K721"/>
  <c r="K720"/>
  <c r="K719"/>
  <c r="K718"/>
  <c r="K717"/>
  <c r="K716"/>
  <c r="K715"/>
  <c r="K714"/>
  <c r="K713"/>
  <c r="K712"/>
  <c r="K711"/>
  <c r="K710"/>
  <c r="K709"/>
  <c r="K708"/>
  <c r="K707"/>
  <c r="K706"/>
  <c r="K705"/>
  <c r="K704"/>
  <c r="K703"/>
  <c r="K702"/>
  <c r="K701"/>
  <c r="K700"/>
  <c r="K699"/>
  <c r="K698"/>
  <c r="K697"/>
  <c r="K696"/>
  <c r="K695"/>
  <c r="K694"/>
  <c r="K693"/>
  <c r="K692"/>
  <c r="K691"/>
  <c r="K690"/>
  <c r="K689"/>
  <c r="K688"/>
  <c r="K687"/>
  <c r="K686"/>
  <c r="K685"/>
  <c r="K684"/>
  <c r="K683"/>
  <c r="K682"/>
  <c r="K681"/>
  <c r="K680"/>
  <c r="K679"/>
  <c r="K678"/>
  <c r="K677"/>
  <c r="K676"/>
  <c r="K675"/>
  <c r="K674"/>
  <c r="K673"/>
  <c r="K672"/>
  <c r="K671"/>
  <c r="K670"/>
  <c r="K669"/>
  <c r="K668"/>
  <c r="K667"/>
  <c r="K666"/>
  <c r="K665"/>
  <c r="K664"/>
  <c r="K663"/>
  <c r="K662"/>
  <c r="K661"/>
  <c r="K660"/>
  <c r="K659"/>
  <c r="K658"/>
  <c r="K657"/>
  <c r="K656"/>
  <c r="K655"/>
  <c r="K654"/>
  <c r="K653"/>
  <c r="K652"/>
  <c r="K651"/>
  <c r="K650"/>
  <c r="K649"/>
  <c r="K648"/>
  <c r="K647"/>
  <c r="K646"/>
  <c r="K645"/>
  <c r="K644"/>
  <c r="K643"/>
  <c r="K642"/>
  <c r="K641"/>
  <c r="K640"/>
  <c r="K639"/>
  <c r="K638"/>
  <c r="K637"/>
  <c r="K636"/>
  <c r="K635"/>
  <c r="K634"/>
  <c r="K633"/>
  <c r="K632"/>
  <c r="K631"/>
  <c r="K630"/>
  <c r="K629"/>
  <c r="K628"/>
  <c r="K627"/>
  <c r="K626"/>
  <c r="K625"/>
  <c r="K624"/>
  <c r="K623"/>
  <c r="K622"/>
  <c r="K621"/>
  <c r="K620"/>
  <c r="K619"/>
  <c r="K618"/>
  <c r="K617"/>
  <c r="K616"/>
  <c r="K615"/>
  <c r="K614"/>
  <c r="K613"/>
  <c r="K612"/>
  <c r="K611"/>
  <c r="K610"/>
  <c r="K609"/>
  <c r="K608"/>
  <c r="K607"/>
  <c r="K606"/>
  <c r="K605"/>
  <c r="K604"/>
  <c r="K603"/>
  <c r="K602"/>
  <c r="K601"/>
  <c r="K600"/>
  <c r="K599"/>
  <c r="K598"/>
  <c r="K597"/>
  <c r="K596"/>
  <c r="K595"/>
  <c r="K594"/>
  <c r="K593"/>
  <c r="K592"/>
  <c r="K591"/>
  <c r="K590"/>
  <c r="K589"/>
  <c r="K588"/>
  <c r="K587"/>
  <c r="K586"/>
  <c r="K585"/>
  <c r="K584"/>
  <c r="K583"/>
  <c r="K582"/>
  <c r="K581"/>
  <c r="K580"/>
  <c r="K579"/>
  <c r="K578"/>
  <c r="K577"/>
  <c r="K576"/>
  <c r="K575"/>
  <c r="K574"/>
  <c r="K573"/>
  <c r="K572"/>
  <c r="K571"/>
  <c r="K570"/>
  <c r="K569"/>
  <c r="K568"/>
  <c r="K567"/>
  <c r="K566"/>
  <c r="K565"/>
  <c r="K564"/>
  <c r="K563"/>
  <c r="K562"/>
  <c r="K561"/>
  <c r="K560"/>
  <c r="K559"/>
  <c r="K558"/>
  <c r="K557"/>
  <c r="K556"/>
  <c r="K555"/>
  <c r="K554"/>
  <c r="K553"/>
  <c r="K552"/>
  <c r="K551"/>
  <c r="K550"/>
  <c r="K549"/>
  <c r="K548"/>
  <c r="K547"/>
  <c r="K546"/>
  <c r="K545"/>
  <c r="K544"/>
  <c r="K543"/>
  <c r="K542"/>
  <c r="K541"/>
  <c r="K540"/>
  <c r="K539"/>
  <c r="K538"/>
  <c r="K537"/>
  <c r="K536"/>
  <c r="K535"/>
  <c r="K534"/>
  <c r="K533"/>
  <c r="K532"/>
  <c r="K531"/>
  <c r="K530"/>
  <c r="K529"/>
  <c r="K528"/>
  <c r="K527"/>
  <c r="K526"/>
  <c r="K525"/>
  <c r="K524"/>
  <c r="K523"/>
  <c r="K522"/>
  <c r="K521"/>
  <c r="K520"/>
  <c r="K519"/>
  <c r="K518"/>
  <c r="K517"/>
  <c r="K516"/>
  <c r="K515"/>
  <c r="K514"/>
  <c r="K513"/>
  <c r="K512"/>
  <c r="K511"/>
  <c r="K510"/>
  <c r="K509"/>
  <c r="K508"/>
  <c r="K507"/>
  <c r="K506"/>
  <c r="K505"/>
  <c r="K504"/>
  <c r="K503"/>
  <c r="K502"/>
  <c r="K501"/>
  <c r="K500"/>
  <c r="K499"/>
  <c r="K498"/>
  <c r="K497"/>
  <c r="K496"/>
  <c r="K495"/>
  <c r="K494"/>
  <c r="K493"/>
  <c r="K492"/>
  <c r="K491"/>
  <c r="K490"/>
  <c r="K489"/>
  <c r="K488"/>
  <c r="K487"/>
  <c r="K486"/>
  <c r="K485"/>
  <c r="K484"/>
  <c r="K483"/>
  <c r="K482"/>
  <c r="K481"/>
  <c r="K480"/>
  <c r="K479"/>
  <c r="K478"/>
  <c r="K477"/>
  <c r="K476"/>
  <c r="K475"/>
  <c r="K474"/>
  <c r="K473"/>
  <c r="K472"/>
  <c r="K471"/>
  <c r="K470"/>
  <c r="K469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K447"/>
  <c r="K446"/>
  <c r="K445"/>
  <c r="K444"/>
  <c r="K443"/>
  <c r="K442"/>
  <c r="K441"/>
  <c r="K440"/>
  <c r="K439"/>
  <c r="K438"/>
  <c r="K437"/>
  <c r="K436"/>
  <c r="K435"/>
  <c r="K434"/>
  <c r="K433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26"/>
  <c r="K25"/>
  <c r="K24"/>
  <c r="K23"/>
  <c r="K22"/>
  <c r="K21"/>
  <c r="K20"/>
  <c r="K19"/>
  <c r="K18"/>
  <c r="K17"/>
  <c r="K16"/>
  <c r="K15"/>
  <c r="K14"/>
  <c r="K13"/>
  <c r="K12"/>
  <c r="K10"/>
  <c r="K8"/>
  <c r="K7"/>
  <c r="K6"/>
  <c r="K5"/>
  <c r="K4"/>
  <c r="K3"/>
  <c r="K2"/>
  <c r="O1001"/>
  <c r="O1000"/>
  <c r="O999"/>
  <c r="O998"/>
  <c r="O997"/>
  <c r="O996"/>
  <c r="O995"/>
  <c r="O994"/>
  <c r="O993"/>
  <c r="O992"/>
  <c r="O991"/>
  <c r="O990"/>
  <c r="O989"/>
  <c r="O988"/>
  <c r="O987"/>
  <c r="O986"/>
  <c r="O985"/>
  <c r="O984"/>
  <c r="O983"/>
  <c r="O982"/>
  <c r="O981"/>
  <c r="O980"/>
  <c r="O979"/>
  <c r="O978"/>
  <c r="O977"/>
  <c r="O976"/>
  <c r="O975"/>
  <c r="O974"/>
  <c r="O973"/>
  <c r="O972"/>
  <c r="O971"/>
  <c r="O970"/>
  <c r="O969"/>
  <c r="O968"/>
  <c r="O967"/>
  <c r="O966"/>
  <c r="O965"/>
  <c r="O964"/>
  <c r="O963"/>
  <c r="O962"/>
  <c r="O961"/>
  <c r="O960"/>
  <c r="O959"/>
  <c r="O958"/>
  <c r="O957"/>
  <c r="O956"/>
  <c r="O955"/>
  <c r="O954"/>
  <c r="O953"/>
  <c r="O952"/>
  <c r="O951"/>
  <c r="O950"/>
  <c r="O949"/>
  <c r="O948"/>
  <c r="O947"/>
  <c r="O946"/>
  <c r="O945"/>
  <c r="O944"/>
  <c r="O943"/>
  <c r="O942"/>
  <c r="O941"/>
  <c r="O940"/>
  <c r="O939"/>
  <c r="O938"/>
  <c r="O937"/>
  <c r="O936"/>
  <c r="O935"/>
  <c r="O934"/>
  <c r="O933"/>
  <c r="O932"/>
  <c r="O931"/>
  <c r="O930"/>
  <c r="O929"/>
  <c r="O928"/>
  <c r="O927"/>
  <c r="O926"/>
  <c r="O925"/>
  <c r="O924"/>
  <c r="O923"/>
  <c r="O922"/>
  <c r="O921"/>
  <c r="O920"/>
  <c r="O919"/>
  <c r="O918"/>
  <c r="O917"/>
  <c r="O916"/>
  <c r="O915"/>
  <c r="O914"/>
  <c r="O913"/>
  <c r="O912"/>
  <c r="O911"/>
  <c r="O910"/>
  <c r="O909"/>
  <c r="O908"/>
  <c r="O907"/>
  <c r="O906"/>
  <c r="O905"/>
  <c r="O904"/>
  <c r="O903"/>
  <c r="O902"/>
  <c r="O901"/>
  <c r="O900"/>
  <c r="O899"/>
  <c r="O898"/>
  <c r="O897"/>
  <c r="O896"/>
  <c r="O895"/>
  <c r="O894"/>
  <c r="O893"/>
  <c r="O892"/>
  <c r="O891"/>
  <c r="O890"/>
  <c r="O889"/>
  <c r="O888"/>
  <c r="O887"/>
  <c r="O886"/>
  <c r="O885"/>
  <c r="O884"/>
  <c r="O883"/>
  <c r="O882"/>
  <c r="O881"/>
  <c r="O880"/>
  <c r="O879"/>
  <c r="O878"/>
  <c r="O877"/>
  <c r="O876"/>
  <c r="O875"/>
  <c r="O874"/>
  <c r="O873"/>
  <c r="O872"/>
  <c r="O871"/>
  <c r="O870"/>
  <c r="O869"/>
  <c r="O868"/>
  <c r="O867"/>
  <c r="O866"/>
  <c r="O865"/>
  <c r="O864"/>
  <c r="O863"/>
  <c r="O862"/>
  <c r="O861"/>
  <c r="O860"/>
  <c r="O859"/>
  <c r="O858"/>
  <c r="O857"/>
  <c r="O856"/>
  <c r="O855"/>
  <c r="O854"/>
  <c r="O853"/>
  <c r="O852"/>
  <c r="O851"/>
  <c r="O850"/>
  <c r="O849"/>
  <c r="O848"/>
  <c r="O847"/>
  <c r="O846"/>
  <c r="O845"/>
  <c r="O844"/>
  <c r="O843"/>
  <c r="O842"/>
  <c r="O841"/>
  <c r="O840"/>
  <c r="O839"/>
  <c r="O838"/>
  <c r="O837"/>
  <c r="O836"/>
  <c r="O835"/>
  <c r="O834"/>
  <c r="O833"/>
  <c r="O832"/>
  <c r="O831"/>
  <c r="O830"/>
  <c r="O829"/>
  <c r="O828"/>
  <c r="O827"/>
  <c r="O826"/>
  <c r="O825"/>
  <c r="O824"/>
  <c r="O823"/>
  <c r="O822"/>
  <c r="O821"/>
  <c r="O820"/>
  <c r="O819"/>
  <c r="O818"/>
  <c r="O817"/>
  <c r="O816"/>
  <c r="O815"/>
  <c r="O814"/>
  <c r="O813"/>
  <c r="O812"/>
  <c r="O811"/>
  <c r="O810"/>
  <c r="O809"/>
  <c r="O808"/>
  <c r="O807"/>
  <c r="O806"/>
  <c r="O805"/>
  <c r="O804"/>
  <c r="O803"/>
  <c r="O802"/>
  <c r="O801"/>
  <c r="O800"/>
  <c r="O799"/>
  <c r="O798"/>
  <c r="O797"/>
  <c r="O796"/>
  <c r="O795"/>
  <c r="O794"/>
  <c r="O793"/>
  <c r="O792"/>
  <c r="O791"/>
  <c r="O790"/>
  <c r="O789"/>
  <c r="O788"/>
  <c r="O787"/>
  <c r="O786"/>
  <c r="O785"/>
  <c r="O784"/>
  <c r="O783"/>
  <c r="O782"/>
  <c r="O781"/>
  <c r="O780"/>
  <c r="O779"/>
  <c r="O778"/>
  <c r="O777"/>
  <c r="O776"/>
  <c r="O775"/>
  <c r="O774"/>
  <c r="O773"/>
  <c r="O772"/>
  <c r="O771"/>
  <c r="O770"/>
  <c r="O769"/>
  <c r="O768"/>
  <c r="O767"/>
  <c r="O766"/>
  <c r="O765"/>
  <c r="O764"/>
  <c r="O763"/>
  <c r="O762"/>
  <c r="O761"/>
  <c r="O760"/>
  <c r="O759"/>
  <c r="O758"/>
  <c r="O757"/>
  <c r="O756"/>
  <c r="O755"/>
  <c r="O754"/>
  <c r="O753"/>
  <c r="O752"/>
  <c r="O751"/>
  <c r="O750"/>
  <c r="O749"/>
  <c r="O748"/>
  <c r="O747"/>
  <c r="O746"/>
  <c r="O745"/>
  <c r="O744"/>
  <c r="O743"/>
  <c r="O742"/>
  <c r="O741"/>
  <c r="O740"/>
  <c r="O739"/>
  <c r="O738"/>
  <c r="O737"/>
  <c r="O736"/>
  <c r="O735"/>
  <c r="O734"/>
  <c r="O733"/>
  <c r="O732"/>
  <c r="O731"/>
  <c r="O730"/>
  <c r="O729"/>
  <c r="O728"/>
  <c r="O727"/>
  <c r="O726"/>
  <c r="O725"/>
  <c r="O724"/>
  <c r="O723"/>
  <c r="O722"/>
  <c r="O721"/>
  <c r="O720"/>
  <c r="O719"/>
  <c r="O718"/>
  <c r="O717"/>
  <c r="O716"/>
  <c r="O715"/>
  <c r="O714"/>
  <c r="O713"/>
  <c r="O712"/>
  <c r="O711"/>
  <c r="O710"/>
  <c r="O709"/>
  <c r="O708"/>
  <c r="O707"/>
  <c r="O706"/>
  <c r="O705"/>
  <c r="O704"/>
  <c r="O703"/>
  <c r="O702"/>
  <c r="O701"/>
  <c r="O700"/>
  <c r="O699"/>
  <c r="O698"/>
  <c r="O697"/>
  <c r="O696"/>
  <c r="O695"/>
  <c r="O694"/>
  <c r="O693"/>
  <c r="O692"/>
  <c r="O691"/>
  <c r="O690"/>
  <c r="O689"/>
  <c r="O688"/>
  <c r="O687"/>
  <c r="O686"/>
  <c r="O685"/>
  <c r="O684"/>
  <c r="O683"/>
  <c r="O682"/>
  <c r="O681"/>
  <c r="O680"/>
  <c r="O679"/>
  <c r="O678"/>
  <c r="O677"/>
  <c r="O676"/>
  <c r="O675"/>
  <c r="O674"/>
  <c r="O673"/>
  <c r="O672"/>
  <c r="O671"/>
  <c r="O670"/>
  <c r="O669"/>
  <c r="O668"/>
  <c r="O667"/>
  <c r="O666"/>
  <c r="O665"/>
  <c r="O664"/>
  <c r="O663"/>
  <c r="O662"/>
  <c r="O661"/>
  <c r="O660"/>
  <c r="O659"/>
  <c r="O658"/>
  <c r="O657"/>
  <c r="O656"/>
  <c r="O655"/>
  <c r="O654"/>
  <c r="O653"/>
  <c r="O652"/>
  <c r="O651"/>
  <c r="O650"/>
  <c r="O649"/>
  <c r="O648"/>
  <c r="O647"/>
  <c r="O646"/>
  <c r="O645"/>
  <c r="O644"/>
  <c r="O643"/>
  <c r="O642"/>
  <c r="O641"/>
  <c r="O640"/>
  <c r="O639"/>
  <c r="O638"/>
  <c r="O637"/>
  <c r="O636"/>
  <c r="O635"/>
  <c r="O634"/>
  <c r="O633"/>
  <c r="O632"/>
  <c r="O631"/>
  <c r="O630"/>
  <c r="O629"/>
  <c r="O628"/>
  <c r="O627"/>
  <c r="O626"/>
  <c r="O625"/>
  <c r="O624"/>
  <c r="O623"/>
  <c r="O622"/>
  <c r="O621"/>
  <c r="O620"/>
  <c r="O619"/>
  <c r="O618"/>
  <c r="O617"/>
  <c r="O616"/>
  <c r="O615"/>
  <c r="O614"/>
  <c r="O613"/>
  <c r="O612"/>
  <c r="O611"/>
  <c r="O610"/>
  <c r="O609"/>
  <c r="O608"/>
  <c r="O607"/>
  <c r="O606"/>
  <c r="O605"/>
  <c r="O604"/>
  <c r="O603"/>
  <c r="O602"/>
  <c r="O601"/>
  <c r="O600"/>
  <c r="O599"/>
  <c r="O598"/>
  <c r="O597"/>
  <c r="O596"/>
  <c r="O595"/>
  <c r="O594"/>
  <c r="O593"/>
  <c r="O592"/>
  <c r="O591"/>
  <c r="O590"/>
  <c r="O589"/>
  <c r="O588"/>
  <c r="O587"/>
  <c r="O586"/>
  <c r="O585"/>
  <c r="O584"/>
  <c r="O583"/>
  <c r="O582"/>
  <c r="O581"/>
  <c r="O580"/>
  <c r="O579"/>
  <c r="O578"/>
  <c r="O577"/>
  <c r="O576"/>
  <c r="O575"/>
  <c r="O574"/>
  <c r="O573"/>
  <c r="O572"/>
  <c r="O571"/>
  <c r="O570"/>
  <c r="O569"/>
  <c r="O568"/>
  <c r="O567"/>
  <c r="O566"/>
  <c r="O565"/>
  <c r="O564"/>
  <c r="O563"/>
  <c r="O562"/>
  <c r="O561"/>
  <c r="O560"/>
  <c r="O559"/>
  <c r="O558"/>
  <c r="O557"/>
  <c r="O556"/>
  <c r="O555"/>
  <c r="O554"/>
  <c r="O553"/>
  <c r="O552"/>
  <c r="O551"/>
  <c r="O550"/>
  <c r="O549"/>
  <c r="O548"/>
  <c r="O547"/>
  <c r="O546"/>
  <c r="O545"/>
  <c r="O544"/>
  <c r="O543"/>
  <c r="O542"/>
  <c r="O541"/>
  <c r="O540"/>
  <c r="O539"/>
  <c r="O538"/>
  <c r="O537"/>
  <c r="O536"/>
  <c r="O535"/>
  <c r="O534"/>
  <c r="O533"/>
  <c r="O532"/>
  <c r="O531"/>
  <c r="O530"/>
  <c r="O529"/>
  <c r="O528"/>
  <c r="O527"/>
  <c r="O526"/>
  <c r="O525"/>
  <c r="O524"/>
  <c r="O523"/>
  <c r="O522"/>
  <c r="O521"/>
  <c r="O520"/>
  <c r="O519"/>
  <c r="O518"/>
  <c r="O517"/>
  <c r="O516"/>
  <c r="O515"/>
  <c r="O514"/>
  <c r="O513"/>
  <c r="O512"/>
  <c r="O511"/>
  <c r="O510"/>
  <c r="O509"/>
  <c r="O508"/>
  <c r="O507"/>
  <c r="O506"/>
  <c r="O505"/>
  <c r="O504"/>
  <c r="O503"/>
  <c r="O502"/>
  <c r="O501"/>
  <c r="O500"/>
  <c r="O499"/>
  <c r="O498"/>
  <c r="O497"/>
  <c r="O496"/>
  <c r="O495"/>
  <c r="O494"/>
  <c r="O493"/>
  <c r="O492"/>
  <c r="O491"/>
  <c r="O490"/>
  <c r="O489"/>
  <c r="O488"/>
  <c r="O487"/>
  <c r="O486"/>
  <c r="O485"/>
  <c r="O484"/>
  <c r="O483"/>
  <c r="O482"/>
  <c r="O481"/>
  <c r="O480"/>
  <c r="O479"/>
  <c r="O478"/>
  <c r="O477"/>
  <c r="O476"/>
  <c r="O475"/>
  <c r="O474"/>
  <c r="O473"/>
  <c r="O472"/>
  <c r="O471"/>
  <c r="O470"/>
  <c r="O469"/>
  <c r="O468"/>
  <c r="O467"/>
  <c r="O466"/>
  <c r="O465"/>
  <c r="O464"/>
  <c r="O463"/>
  <c r="O462"/>
  <c r="O461"/>
  <c r="O460"/>
  <c r="O459"/>
  <c r="O458"/>
  <c r="O457"/>
  <c r="O456"/>
  <c r="O455"/>
  <c r="O454"/>
  <c r="O453"/>
  <c r="O452"/>
  <c r="O451"/>
  <c r="O450"/>
  <c r="O449"/>
  <c r="O448"/>
  <c r="O447"/>
  <c r="O446"/>
  <c r="O445"/>
  <c r="O444"/>
  <c r="O443"/>
  <c r="O442"/>
  <c r="O441"/>
  <c r="O440"/>
  <c r="O439"/>
  <c r="O438"/>
  <c r="O437"/>
  <c r="O436"/>
  <c r="O435"/>
  <c r="O434"/>
  <c r="O433"/>
  <c r="O432"/>
  <c r="O431"/>
  <c r="O430"/>
  <c r="O429"/>
  <c r="O428"/>
  <c r="O427"/>
  <c r="O426"/>
  <c r="O425"/>
  <c r="O424"/>
  <c r="O423"/>
  <c r="O422"/>
  <c r="O421"/>
  <c r="O420"/>
  <c r="O419"/>
  <c r="O418"/>
  <c r="O417"/>
  <c r="O416"/>
  <c r="O415"/>
  <c r="O414"/>
  <c r="O413"/>
  <c r="O412"/>
  <c r="O411"/>
  <c r="O410"/>
  <c r="O409"/>
  <c r="O408"/>
  <c r="O407"/>
  <c r="O406"/>
  <c r="O405"/>
  <c r="O404"/>
  <c r="O403"/>
  <c r="O402"/>
  <c r="O401"/>
  <c r="O400"/>
  <c r="O399"/>
  <c r="O398"/>
  <c r="O397"/>
  <c r="O396"/>
  <c r="O395"/>
  <c r="O394"/>
  <c r="O393"/>
  <c r="O392"/>
  <c r="O391"/>
  <c r="O390"/>
  <c r="O389"/>
  <c r="O388"/>
  <c r="O387"/>
  <c r="O386"/>
  <c r="O385"/>
  <c r="O384"/>
  <c r="O383"/>
  <c r="O382"/>
  <c r="O381"/>
  <c r="O380"/>
  <c r="O379"/>
  <c r="O378"/>
  <c r="O377"/>
  <c r="O376"/>
  <c r="O375"/>
  <c r="O374"/>
  <c r="O373"/>
  <c r="O372"/>
  <c r="O371"/>
  <c r="O370"/>
  <c r="O369"/>
  <c r="O368"/>
  <c r="O367"/>
  <c r="O366"/>
  <c r="O365"/>
  <c r="O364"/>
  <c r="O363"/>
  <c r="O362"/>
  <c r="O361"/>
  <c r="O360"/>
  <c r="O359"/>
  <c r="O358"/>
  <c r="O357"/>
  <c r="O356"/>
  <c r="O355"/>
  <c r="O354"/>
  <c r="O353"/>
  <c r="O352"/>
  <c r="O351"/>
  <c r="O350"/>
  <c r="O349"/>
  <c r="O348"/>
  <c r="O347"/>
  <c r="O346"/>
  <c r="O345"/>
  <c r="O344"/>
  <c r="O343"/>
  <c r="O342"/>
  <c r="O341"/>
  <c r="O340"/>
  <c r="O339"/>
  <c r="O338"/>
  <c r="O337"/>
  <c r="O336"/>
  <c r="O335"/>
  <c r="O334"/>
  <c r="O333"/>
  <c r="O332"/>
  <c r="O331"/>
  <c r="O330"/>
  <c r="O329"/>
  <c r="O328"/>
  <c r="O327"/>
  <c r="O326"/>
  <c r="O325"/>
  <c r="O324"/>
  <c r="O323"/>
  <c r="O322"/>
  <c r="O321"/>
  <c r="O320"/>
  <c r="O319"/>
  <c r="O318"/>
  <c r="O317"/>
  <c r="O316"/>
  <c r="O315"/>
  <c r="O314"/>
  <c r="O313"/>
  <c r="O312"/>
  <c r="O311"/>
  <c r="O310"/>
  <c r="O309"/>
  <c r="O308"/>
  <c r="O307"/>
  <c r="O306"/>
  <c r="O305"/>
  <c r="O304"/>
  <c r="O303"/>
  <c r="O302"/>
  <c r="O301"/>
  <c r="O300"/>
  <c r="O299"/>
  <c r="O298"/>
  <c r="O297"/>
  <c r="O296"/>
  <c r="O295"/>
  <c r="O294"/>
  <c r="O293"/>
  <c r="O292"/>
  <c r="O291"/>
  <c r="O290"/>
  <c r="O289"/>
  <c r="O288"/>
  <c r="O287"/>
  <c r="O286"/>
  <c r="O285"/>
  <c r="O284"/>
  <c r="O283"/>
  <c r="O282"/>
  <c r="O281"/>
  <c r="O280"/>
  <c r="O279"/>
  <c r="O278"/>
  <c r="O277"/>
  <c r="O276"/>
  <c r="O275"/>
  <c r="O274"/>
  <c r="O273"/>
  <c r="O272"/>
  <c r="O271"/>
  <c r="O270"/>
  <c r="O269"/>
  <c r="O268"/>
  <c r="O267"/>
  <c r="O266"/>
  <c r="O265"/>
  <c r="O264"/>
  <c r="O263"/>
  <c r="O262"/>
  <c r="O261"/>
  <c r="O260"/>
  <c r="O259"/>
  <c r="O258"/>
  <c r="O257"/>
  <c r="O256"/>
  <c r="O255"/>
  <c r="O254"/>
  <c r="O253"/>
  <c r="O252"/>
  <c r="O251"/>
  <c r="O250"/>
  <c r="O249"/>
  <c r="O248"/>
  <c r="O247"/>
  <c r="O246"/>
  <c r="O245"/>
  <c r="O244"/>
  <c r="O243"/>
  <c r="O242"/>
  <c r="O241"/>
  <c r="O240"/>
  <c r="O239"/>
  <c r="O238"/>
  <c r="O237"/>
  <c r="O236"/>
  <c r="O235"/>
  <c r="O234"/>
  <c r="O233"/>
  <c r="O232"/>
  <c r="O231"/>
  <c r="O230"/>
  <c r="O229"/>
  <c r="O228"/>
  <c r="O227"/>
  <c r="O226"/>
  <c r="O225"/>
  <c r="O224"/>
  <c r="O223"/>
  <c r="O222"/>
  <c r="O221"/>
  <c r="O220"/>
  <c r="O219"/>
  <c r="O218"/>
  <c r="O217"/>
  <c r="O216"/>
  <c r="O215"/>
  <c r="O214"/>
  <c r="O213"/>
  <c r="O212"/>
  <c r="O211"/>
  <c r="O210"/>
  <c r="O209"/>
  <c r="O208"/>
  <c r="O207"/>
  <c r="O206"/>
  <c r="O205"/>
  <c r="O204"/>
  <c r="O203"/>
  <c r="O202"/>
  <c r="O201"/>
  <c r="O200"/>
  <c r="O199"/>
  <c r="O198"/>
  <c r="O197"/>
  <c r="O196"/>
  <c r="O195"/>
  <c r="O194"/>
  <c r="O193"/>
  <c r="O192"/>
  <c r="O191"/>
  <c r="O190"/>
  <c r="O189"/>
  <c r="O188"/>
  <c r="O187"/>
  <c r="O186"/>
  <c r="O185"/>
  <c r="O184"/>
  <c r="O183"/>
  <c r="O182"/>
  <c r="O181"/>
  <c r="O180"/>
  <c r="O179"/>
  <c r="O178"/>
  <c r="O177"/>
  <c r="O176"/>
  <c r="O175"/>
  <c r="O174"/>
  <c r="O173"/>
  <c r="O172"/>
  <c r="O171"/>
  <c r="O170"/>
  <c r="O169"/>
  <c r="O168"/>
  <c r="O167"/>
  <c r="O166"/>
  <c r="O165"/>
  <c r="O164"/>
  <c r="O163"/>
  <c r="O162"/>
  <c r="O161"/>
  <c r="O160"/>
  <c r="O159"/>
  <c r="O158"/>
  <c r="O157"/>
  <c r="O156"/>
  <c r="O155"/>
  <c r="O154"/>
  <c r="O153"/>
  <c r="O152"/>
  <c r="O151"/>
  <c r="O150"/>
  <c r="O149"/>
  <c r="O148"/>
  <c r="O147"/>
  <c r="O146"/>
  <c r="O145"/>
  <c r="O144"/>
  <c r="O143"/>
  <c r="O142"/>
  <c r="O141"/>
  <c r="O140"/>
  <c r="O139"/>
  <c r="O138"/>
  <c r="O137"/>
  <c r="O136"/>
  <c r="O135"/>
  <c r="O134"/>
  <c r="O133"/>
  <c r="O132"/>
  <c r="O131"/>
  <c r="O130"/>
  <c r="O129"/>
  <c r="O128"/>
  <c r="O127"/>
  <c r="O126"/>
  <c r="O125"/>
  <c r="O124"/>
  <c r="O123"/>
  <c r="O122"/>
  <c r="O121"/>
  <c r="O120"/>
  <c r="O119"/>
  <c r="O118"/>
  <c r="O117"/>
  <c r="O116"/>
  <c r="O115"/>
  <c r="O114"/>
  <c r="O113"/>
  <c r="O112"/>
  <c r="O111"/>
  <c r="O110"/>
  <c r="O109"/>
  <c r="O108"/>
  <c r="O107"/>
  <c r="O106"/>
  <c r="O105"/>
  <c r="O104"/>
  <c r="O103"/>
  <c r="O102"/>
  <c r="O26"/>
  <c r="O25"/>
  <c r="O24"/>
  <c r="O23"/>
  <c r="O22"/>
  <c r="O21"/>
  <c r="O20"/>
  <c r="O19"/>
  <c r="O18"/>
  <c r="O17"/>
  <c r="O16"/>
  <c r="O15"/>
  <c r="O14"/>
  <c r="O13"/>
  <c r="O12"/>
  <c r="O10"/>
  <c r="O8"/>
  <c r="O7"/>
  <c r="O6"/>
  <c r="O5"/>
  <c r="O4"/>
  <c r="O3"/>
  <c r="O2"/>
  <c r="N1001"/>
  <c r="N1000"/>
  <c r="N999"/>
  <c r="N998"/>
  <c r="N997"/>
  <c r="N996"/>
  <c r="N995"/>
  <c r="N994"/>
  <c r="N993"/>
  <c r="N992"/>
  <c r="N991"/>
  <c r="N990"/>
  <c r="N989"/>
  <c r="N988"/>
  <c r="N987"/>
  <c r="N986"/>
  <c r="N985"/>
  <c r="N984"/>
  <c r="N983"/>
  <c r="N982"/>
  <c r="N981"/>
  <c r="N980"/>
  <c r="N979"/>
  <c r="N978"/>
  <c r="N977"/>
  <c r="N976"/>
  <c r="N975"/>
  <c r="N974"/>
  <c r="N973"/>
  <c r="N972"/>
  <c r="N971"/>
  <c r="N970"/>
  <c r="N969"/>
  <c r="N968"/>
  <c r="N967"/>
  <c r="N966"/>
  <c r="N965"/>
  <c r="N964"/>
  <c r="N963"/>
  <c r="N962"/>
  <c r="N961"/>
  <c r="N960"/>
  <c r="N959"/>
  <c r="N958"/>
  <c r="N957"/>
  <c r="N956"/>
  <c r="N955"/>
  <c r="N954"/>
  <c r="N953"/>
  <c r="N952"/>
  <c r="N951"/>
  <c r="N950"/>
  <c r="N949"/>
  <c r="N948"/>
  <c r="N947"/>
  <c r="N946"/>
  <c r="N945"/>
  <c r="N944"/>
  <c r="N943"/>
  <c r="N942"/>
  <c r="N941"/>
  <c r="N940"/>
  <c r="N939"/>
  <c r="N938"/>
  <c r="N937"/>
  <c r="N936"/>
  <c r="N935"/>
  <c r="N934"/>
  <c r="N933"/>
  <c r="N932"/>
  <c r="N931"/>
  <c r="N930"/>
  <c r="N929"/>
  <c r="N928"/>
  <c r="N927"/>
  <c r="N926"/>
  <c r="N925"/>
  <c r="N924"/>
  <c r="N923"/>
  <c r="N922"/>
  <c r="N921"/>
  <c r="N920"/>
  <c r="N919"/>
  <c r="N918"/>
  <c r="N917"/>
  <c r="N916"/>
  <c r="N915"/>
  <c r="N914"/>
  <c r="N913"/>
  <c r="N912"/>
  <c r="N911"/>
  <c r="N910"/>
  <c r="N909"/>
  <c r="N908"/>
  <c r="N907"/>
  <c r="N906"/>
  <c r="N905"/>
  <c r="N904"/>
  <c r="N903"/>
  <c r="N902"/>
  <c r="N901"/>
  <c r="N900"/>
  <c r="N899"/>
  <c r="N898"/>
  <c r="N897"/>
  <c r="N896"/>
  <c r="N895"/>
  <c r="N894"/>
  <c r="N893"/>
  <c r="N892"/>
  <c r="N891"/>
  <c r="N890"/>
  <c r="N889"/>
  <c r="N888"/>
  <c r="N887"/>
  <c r="N886"/>
  <c r="N885"/>
  <c r="N884"/>
  <c r="N883"/>
  <c r="N882"/>
  <c r="N881"/>
  <c r="N880"/>
  <c r="N879"/>
  <c r="N878"/>
  <c r="N877"/>
  <c r="N876"/>
  <c r="N875"/>
  <c r="N874"/>
  <c r="N873"/>
  <c r="N872"/>
  <c r="N871"/>
  <c r="N870"/>
  <c r="N869"/>
  <c r="N868"/>
  <c r="N867"/>
  <c r="N866"/>
  <c r="N865"/>
  <c r="N864"/>
  <c r="N863"/>
  <c r="N862"/>
  <c r="N861"/>
  <c r="N860"/>
  <c r="N859"/>
  <c r="N858"/>
  <c r="N857"/>
  <c r="N856"/>
  <c r="N855"/>
  <c r="N854"/>
  <c r="N853"/>
  <c r="N852"/>
  <c r="N851"/>
  <c r="N850"/>
  <c r="N849"/>
  <c r="N848"/>
  <c r="N847"/>
  <c r="N846"/>
  <c r="N845"/>
  <c r="N844"/>
  <c r="N843"/>
  <c r="N842"/>
  <c r="N841"/>
  <c r="N840"/>
  <c r="N839"/>
  <c r="N838"/>
  <c r="N837"/>
  <c r="N836"/>
  <c r="N835"/>
  <c r="N834"/>
  <c r="N833"/>
  <c r="N832"/>
  <c r="N831"/>
  <c r="N830"/>
  <c r="N829"/>
  <c r="N828"/>
  <c r="N827"/>
  <c r="N826"/>
  <c r="N825"/>
  <c r="N824"/>
  <c r="N823"/>
  <c r="N822"/>
  <c r="N821"/>
  <c r="N820"/>
  <c r="N819"/>
  <c r="N818"/>
  <c r="N817"/>
  <c r="N816"/>
  <c r="N815"/>
  <c r="N814"/>
  <c r="N813"/>
  <c r="N812"/>
  <c r="N811"/>
  <c r="N810"/>
  <c r="N809"/>
  <c r="N808"/>
  <c r="N807"/>
  <c r="N806"/>
  <c r="N805"/>
  <c r="N804"/>
  <c r="N803"/>
  <c r="N802"/>
  <c r="N801"/>
  <c r="N800"/>
  <c r="N799"/>
  <c r="N798"/>
  <c r="N797"/>
  <c r="N796"/>
  <c r="N795"/>
  <c r="N794"/>
  <c r="N793"/>
  <c r="N792"/>
  <c r="N791"/>
  <c r="N790"/>
  <c r="N789"/>
  <c r="N788"/>
  <c r="N787"/>
  <c r="N786"/>
  <c r="N785"/>
  <c r="N784"/>
  <c r="N783"/>
  <c r="N782"/>
  <c r="N781"/>
  <c r="N780"/>
  <c r="N779"/>
  <c r="N778"/>
  <c r="N777"/>
  <c r="N776"/>
  <c r="N775"/>
  <c r="N774"/>
  <c r="N773"/>
  <c r="N772"/>
  <c r="N771"/>
  <c r="N770"/>
  <c r="N769"/>
  <c r="N768"/>
  <c r="N767"/>
  <c r="N766"/>
  <c r="N765"/>
  <c r="N764"/>
  <c r="N763"/>
  <c r="N762"/>
  <c r="N761"/>
  <c r="N760"/>
  <c r="N759"/>
  <c r="N758"/>
  <c r="N757"/>
  <c r="N756"/>
  <c r="N755"/>
  <c r="N754"/>
  <c r="N753"/>
  <c r="N752"/>
  <c r="N751"/>
  <c r="N750"/>
  <c r="N749"/>
  <c r="N748"/>
  <c r="N747"/>
  <c r="N746"/>
  <c r="N745"/>
  <c r="N744"/>
  <c r="N743"/>
  <c r="N742"/>
  <c r="N741"/>
  <c r="N740"/>
  <c r="N739"/>
  <c r="N738"/>
  <c r="N737"/>
  <c r="N736"/>
  <c r="N735"/>
  <c r="N734"/>
  <c r="N733"/>
  <c r="N732"/>
  <c r="N731"/>
  <c r="N730"/>
  <c r="N729"/>
  <c r="N728"/>
  <c r="N727"/>
  <c r="N726"/>
  <c r="N725"/>
  <c r="N724"/>
  <c r="N723"/>
  <c r="N722"/>
  <c r="N721"/>
  <c r="N720"/>
  <c r="N719"/>
  <c r="N718"/>
  <c r="N717"/>
  <c r="N716"/>
  <c r="N715"/>
  <c r="N714"/>
  <c r="N713"/>
  <c r="N712"/>
  <c r="N711"/>
  <c r="N710"/>
  <c r="N709"/>
  <c r="N708"/>
  <c r="N707"/>
  <c r="N706"/>
  <c r="N705"/>
  <c r="N704"/>
  <c r="N703"/>
  <c r="N702"/>
  <c r="N701"/>
  <c r="N700"/>
  <c r="N699"/>
  <c r="N698"/>
  <c r="N697"/>
  <c r="N696"/>
  <c r="N695"/>
  <c r="N694"/>
  <c r="N693"/>
  <c r="N692"/>
  <c r="N691"/>
  <c r="N690"/>
  <c r="N689"/>
  <c r="N688"/>
  <c r="N687"/>
  <c r="N686"/>
  <c r="N685"/>
  <c r="N684"/>
  <c r="N683"/>
  <c r="N682"/>
  <c r="N681"/>
  <c r="N680"/>
  <c r="N679"/>
  <c r="N678"/>
  <c r="N677"/>
  <c r="N676"/>
  <c r="N675"/>
  <c r="N674"/>
  <c r="N673"/>
  <c r="N672"/>
  <c r="N671"/>
  <c r="N670"/>
  <c r="N669"/>
  <c r="N668"/>
  <c r="N667"/>
  <c r="N666"/>
  <c r="N665"/>
  <c r="N664"/>
  <c r="N663"/>
  <c r="N662"/>
  <c r="N661"/>
  <c r="N660"/>
  <c r="N659"/>
  <c r="N658"/>
  <c r="N657"/>
  <c r="N656"/>
  <c r="N655"/>
  <c r="N654"/>
  <c r="N653"/>
  <c r="N652"/>
  <c r="N651"/>
  <c r="N650"/>
  <c r="N649"/>
  <c r="N648"/>
  <c r="N647"/>
  <c r="N646"/>
  <c r="N645"/>
  <c r="N644"/>
  <c r="N643"/>
  <c r="N642"/>
  <c r="N641"/>
  <c r="N640"/>
  <c r="N639"/>
  <c r="N638"/>
  <c r="N637"/>
  <c r="N636"/>
  <c r="N635"/>
  <c r="N634"/>
  <c r="N633"/>
  <c r="N632"/>
  <c r="N631"/>
  <c r="N630"/>
  <c r="N629"/>
  <c r="N628"/>
  <c r="N627"/>
  <c r="N626"/>
  <c r="N625"/>
  <c r="N624"/>
  <c r="N623"/>
  <c r="N622"/>
  <c r="N621"/>
  <c r="N620"/>
  <c r="N619"/>
  <c r="N618"/>
  <c r="N617"/>
  <c r="N616"/>
  <c r="N615"/>
  <c r="N614"/>
  <c r="N613"/>
  <c r="N612"/>
  <c r="N611"/>
  <c r="N610"/>
  <c r="N609"/>
  <c r="N608"/>
  <c r="N607"/>
  <c r="N606"/>
  <c r="N605"/>
  <c r="N604"/>
  <c r="N603"/>
  <c r="N602"/>
  <c r="N601"/>
  <c r="N600"/>
  <c r="N599"/>
  <c r="N598"/>
  <c r="N597"/>
  <c r="N596"/>
  <c r="N595"/>
  <c r="N594"/>
  <c r="N593"/>
  <c r="N592"/>
  <c r="N591"/>
  <c r="N590"/>
  <c r="N589"/>
  <c r="N588"/>
  <c r="N587"/>
  <c r="N586"/>
  <c r="N585"/>
  <c r="N584"/>
  <c r="N583"/>
  <c r="N582"/>
  <c r="N581"/>
  <c r="N580"/>
  <c r="N579"/>
  <c r="N578"/>
  <c r="N577"/>
  <c r="N576"/>
  <c r="N575"/>
  <c r="N574"/>
  <c r="N573"/>
  <c r="N572"/>
  <c r="N571"/>
  <c r="N570"/>
  <c r="N569"/>
  <c r="N568"/>
  <c r="N567"/>
  <c r="N566"/>
  <c r="N565"/>
  <c r="N564"/>
  <c r="N563"/>
  <c r="N562"/>
  <c r="N561"/>
  <c r="N560"/>
  <c r="N559"/>
  <c r="N558"/>
  <c r="N557"/>
  <c r="N556"/>
  <c r="N555"/>
  <c r="N554"/>
  <c r="N553"/>
  <c r="N552"/>
  <c r="N551"/>
  <c r="N550"/>
  <c r="N549"/>
  <c r="N548"/>
  <c r="N547"/>
  <c r="N546"/>
  <c r="N545"/>
  <c r="N544"/>
  <c r="N543"/>
  <c r="N542"/>
  <c r="N541"/>
  <c r="N540"/>
  <c r="N539"/>
  <c r="N538"/>
  <c r="N537"/>
  <c r="N536"/>
  <c r="N535"/>
  <c r="N534"/>
  <c r="N533"/>
  <c r="N532"/>
  <c r="N531"/>
  <c r="N530"/>
  <c r="N529"/>
  <c r="N528"/>
  <c r="N527"/>
  <c r="N526"/>
  <c r="N525"/>
  <c r="N524"/>
  <c r="N523"/>
  <c r="N522"/>
  <c r="N521"/>
  <c r="N520"/>
  <c r="N519"/>
  <c r="N518"/>
  <c r="N517"/>
  <c r="N516"/>
  <c r="N515"/>
  <c r="N514"/>
  <c r="N513"/>
  <c r="N512"/>
  <c r="N511"/>
  <c r="N510"/>
  <c r="N509"/>
  <c r="N508"/>
  <c r="N507"/>
  <c r="N506"/>
  <c r="N505"/>
  <c r="N504"/>
  <c r="N503"/>
  <c r="N502"/>
  <c r="N501"/>
  <c r="N500"/>
  <c r="N499"/>
  <c r="N498"/>
  <c r="N497"/>
  <c r="N496"/>
  <c r="N495"/>
  <c r="N494"/>
  <c r="N493"/>
  <c r="N492"/>
  <c r="N491"/>
  <c r="N490"/>
  <c r="N489"/>
  <c r="N488"/>
  <c r="N487"/>
  <c r="N486"/>
  <c r="N485"/>
  <c r="N484"/>
  <c r="N483"/>
  <c r="N482"/>
  <c r="N481"/>
  <c r="N480"/>
  <c r="N479"/>
  <c r="N478"/>
  <c r="N477"/>
  <c r="N476"/>
  <c r="N475"/>
  <c r="N474"/>
  <c r="N473"/>
  <c r="N472"/>
  <c r="N471"/>
  <c r="N470"/>
  <c r="N469"/>
  <c r="N468"/>
  <c r="N467"/>
  <c r="N466"/>
  <c r="N465"/>
  <c r="N464"/>
  <c r="N463"/>
  <c r="N462"/>
  <c r="N461"/>
  <c r="N460"/>
  <c r="N459"/>
  <c r="N458"/>
  <c r="N457"/>
  <c r="N456"/>
  <c r="N455"/>
  <c r="N454"/>
  <c r="N453"/>
  <c r="N452"/>
  <c r="N451"/>
  <c r="N450"/>
  <c r="N449"/>
  <c r="N448"/>
  <c r="N447"/>
  <c r="N446"/>
  <c r="N445"/>
  <c r="N444"/>
  <c r="N443"/>
  <c r="N442"/>
  <c r="N441"/>
  <c r="N440"/>
  <c r="N439"/>
  <c r="N438"/>
  <c r="N437"/>
  <c r="N436"/>
  <c r="N435"/>
  <c r="N434"/>
  <c r="N433"/>
  <c r="N432"/>
  <c r="N431"/>
  <c r="N430"/>
  <c r="N429"/>
  <c r="N428"/>
  <c r="N427"/>
  <c r="N426"/>
  <c r="N425"/>
  <c r="N424"/>
  <c r="N423"/>
  <c r="N422"/>
  <c r="N421"/>
  <c r="N420"/>
  <c r="N419"/>
  <c r="N418"/>
  <c r="N417"/>
  <c r="N416"/>
  <c r="N415"/>
  <c r="N414"/>
  <c r="N413"/>
  <c r="N412"/>
  <c r="N411"/>
  <c r="N410"/>
  <c r="N409"/>
  <c r="N408"/>
  <c r="N407"/>
  <c r="N406"/>
  <c r="N405"/>
  <c r="N404"/>
  <c r="N403"/>
  <c r="N402"/>
  <c r="N401"/>
  <c r="N400"/>
  <c r="N399"/>
  <c r="N398"/>
  <c r="N397"/>
  <c r="N396"/>
  <c r="N395"/>
  <c r="N394"/>
  <c r="N393"/>
  <c r="N392"/>
  <c r="N391"/>
  <c r="N390"/>
  <c r="N389"/>
  <c r="N388"/>
  <c r="N387"/>
  <c r="N386"/>
  <c r="N385"/>
  <c r="N384"/>
  <c r="N383"/>
  <c r="N382"/>
  <c r="N381"/>
  <c r="N380"/>
  <c r="N379"/>
  <c r="N378"/>
  <c r="N377"/>
  <c r="N376"/>
  <c r="N375"/>
  <c r="N374"/>
  <c r="N373"/>
  <c r="N372"/>
  <c r="N371"/>
  <c r="N370"/>
  <c r="N369"/>
  <c r="N368"/>
  <c r="N367"/>
  <c r="N366"/>
  <c r="N365"/>
  <c r="N364"/>
  <c r="N363"/>
  <c r="N362"/>
  <c r="N361"/>
  <c r="N360"/>
  <c r="N359"/>
  <c r="N358"/>
  <c r="N357"/>
  <c r="N356"/>
  <c r="N355"/>
  <c r="N354"/>
  <c r="N353"/>
  <c r="N352"/>
  <c r="N351"/>
  <c r="N350"/>
  <c r="N349"/>
  <c r="N348"/>
  <c r="N347"/>
  <c r="N346"/>
  <c r="N345"/>
  <c r="N344"/>
  <c r="N343"/>
  <c r="N342"/>
  <c r="N341"/>
  <c r="N340"/>
  <c r="N339"/>
  <c r="N338"/>
  <c r="N337"/>
  <c r="N336"/>
  <c r="N335"/>
  <c r="N334"/>
  <c r="N333"/>
  <c r="N332"/>
  <c r="N331"/>
  <c r="N330"/>
  <c r="N329"/>
  <c r="N328"/>
  <c r="N327"/>
  <c r="N326"/>
  <c r="N325"/>
  <c r="N324"/>
  <c r="N323"/>
  <c r="N322"/>
  <c r="N321"/>
  <c r="N320"/>
  <c r="N319"/>
  <c r="N318"/>
  <c r="N317"/>
  <c r="N316"/>
  <c r="N315"/>
  <c r="N314"/>
  <c r="N313"/>
  <c r="N312"/>
  <c r="N311"/>
  <c r="N310"/>
  <c r="N309"/>
  <c r="N308"/>
  <c r="N307"/>
  <c r="N306"/>
  <c r="N305"/>
  <c r="N304"/>
  <c r="N303"/>
  <c r="N302"/>
  <c r="N301"/>
  <c r="N300"/>
  <c r="N299"/>
  <c r="N298"/>
  <c r="N297"/>
  <c r="N296"/>
  <c r="N295"/>
  <c r="N294"/>
  <c r="N293"/>
  <c r="N292"/>
  <c r="N291"/>
  <c r="N290"/>
  <c r="N289"/>
  <c r="N288"/>
  <c r="N287"/>
  <c r="N286"/>
  <c r="N285"/>
  <c r="N284"/>
  <c r="N283"/>
  <c r="N282"/>
  <c r="N281"/>
  <c r="N280"/>
  <c r="N279"/>
  <c r="N278"/>
  <c r="N277"/>
  <c r="N276"/>
  <c r="N275"/>
  <c r="N274"/>
  <c r="N273"/>
  <c r="N272"/>
  <c r="N271"/>
  <c r="N270"/>
  <c r="N269"/>
  <c r="N268"/>
  <c r="N267"/>
  <c r="N266"/>
  <c r="N265"/>
  <c r="N264"/>
  <c r="N263"/>
  <c r="N262"/>
  <c r="N261"/>
  <c r="N260"/>
  <c r="N259"/>
  <c r="N258"/>
  <c r="N257"/>
  <c r="N256"/>
  <c r="N255"/>
  <c r="N254"/>
  <c r="N253"/>
  <c r="N252"/>
  <c r="N251"/>
  <c r="N250"/>
  <c r="N249"/>
  <c r="N248"/>
  <c r="N247"/>
  <c r="N246"/>
  <c r="N245"/>
  <c r="N244"/>
  <c r="N243"/>
  <c r="N242"/>
  <c r="N241"/>
  <c r="N240"/>
  <c r="N239"/>
  <c r="N238"/>
  <c r="N237"/>
  <c r="N236"/>
  <c r="N235"/>
  <c r="N234"/>
  <c r="N233"/>
  <c r="N232"/>
  <c r="N231"/>
  <c r="N230"/>
  <c r="N229"/>
  <c r="N228"/>
  <c r="N227"/>
  <c r="N226"/>
  <c r="N225"/>
  <c r="N224"/>
  <c r="N223"/>
  <c r="N222"/>
  <c r="N221"/>
  <c r="N220"/>
  <c r="N219"/>
  <c r="N218"/>
  <c r="N217"/>
  <c r="N216"/>
  <c r="N215"/>
  <c r="N214"/>
  <c r="N213"/>
  <c r="N212"/>
  <c r="N211"/>
  <c r="N210"/>
  <c r="N209"/>
  <c r="N208"/>
  <c r="N207"/>
  <c r="N206"/>
  <c r="N205"/>
  <c r="N204"/>
  <c r="N203"/>
  <c r="N202"/>
  <c r="N201"/>
  <c r="N200"/>
  <c r="N199"/>
  <c r="N198"/>
  <c r="N197"/>
  <c r="N196"/>
  <c r="N195"/>
  <c r="N194"/>
  <c r="N193"/>
  <c r="N192"/>
  <c r="N191"/>
  <c r="N190"/>
  <c r="N189"/>
  <c r="N188"/>
  <c r="N187"/>
  <c r="N186"/>
  <c r="N185"/>
  <c r="N184"/>
  <c r="N183"/>
  <c r="N182"/>
  <c r="N181"/>
  <c r="N180"/>
  <c r="N179"/>
  <c r="N178"/>
  <c r="N177"/>
  <c r="N176"/>
  <c r="N175"/>
  <c r="N174"/>
  <c r="N173"/>
  <c r="N172"/>
  <c r="N171"/>
  <c r="N170"/>
  <c r="N169"/>
  <c r="N168"/>
  <c r="N167"/>
  <c r="N166"/>
  <c r="N165"/>
  <c r="N164"/>
  <c r="N163"/>
  <c r="N162"/>
  <c r="N161"/>
  <c r="N160"/>
  <c r="N159"/>
  <c r="N158"/>
  <c r="N157"/>
  <c r="N156"/>
  <c r="N155"/>
  <c r="N154"/>
  <c r="N153"/>
  <c r="N152"/>
  <c r="N151"/>
  <c r="N150"/>
  <c r="N149"/>
  <c r="N148"/>
  <c r="N147"/>
  <c r="N146"/>
  <c r="N145"/>
  <c r="N144"/>
  <c r="N143"/>
  <c r="N142"/>
  <c r="N141"/>
  <c r="N140"/>
  <c r="N139"/>
  <c r="N138"/>
  <c r="N137"/>
  <c r="N136"/>
  <c r="N135"/>
  <c r="N134"/>
  <c r="N133"/>
  <c r="N132"/>
  <c r="N131"/>
  <c r="N130"/>
  <c r="N129"/>
  <c r="N128"/>
  <c r="N127"/>
  <c r="N126"/>
  <c r="N125"/>
  <c r="N124"/>
  <c r="N123"/>
  <c r="N122"/>
  <c r="N121"/>
  <c r="N120"/>
  <c r="N119"/>
  <c r="N118"/>
  <c r="N117"/>
  <c r="N116"/>
  <c r="N115"/>
  <c r="N114"/>
  <c r="N113"/>
  <c r="N112"/>
  <c r="N111"/>
  <c r="N110"/>
  <c r="N109"/>
  <c r="N108"/>
  <c r="N107"/>
  <c r="N106"/>
  <c r="N105"/>
  <c r="N104"/>
  <c r="N103"/>
  <c r="N102"/>
  <c r="N26"/>
  <c r="N25"/>
  <c r="N24"/>
  <c r="N23"/>
  <c r="N22"/>
  <c r="N21"/>
  <c r="N20"/>
  <c r="N19"/>
  <c r="N18"/>
  <c r="N17"/>
  <c r="N16"/>
  <c r="N15"/>
  <c r="N14"/>
  <c r="N13"/>
  <c r="N12"/>
  <c r="N10"/>
  <c r="N8"/>
  <c r="N7"/>
  <c r="N6"/>
  <c r="N5"/>
  <c r="N4"/>
  <c r="N3"/>
  <c r="N2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4"/>
  <c r="G185"/>
  <c r="G186"/>
  <c r="G187"/>
  <c r="G188"/>
  <c r="G189"/>
  <c r="G190"/>
  <c r="G191"/>
  <c r="G192"/>
  <c r="G193"/>
  <c r="G194"/>
  <c r="G195"/>
  <c r="G196"/>
  <c r="G197"/>
  <c r="G198"/>
  <c r="G199"/>
  <c r="G200"/>
  <c r="G201"/>
  <c r="G202"/>
  <c r="G203"/>
  <c r="G204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6"/>
  <c r="G237"/>
  <c r="G238"/>
  <c r="G239"/>
  <c r="G240"/>
  <c r="G241"/>
  <c r="G242"/>
  <c r="G243"/>
  <c r="G244"/>
  <c r="G245"/>
  <c r="G246"/>
  <c r="G247"/>
  <c r="G248"/>
  <c r="G249"/>
  <c r="G250"/>
  <c r="G251"/>
  <c r="G252"/>
  <c r="G253"/>
  <c r="G254"/>
  <c r="G255"/>
  <c r="G256"/>
  <c r="G257"/>
  <c r="G258"/>
  <c r="G259"/>
  <c r="G260"/>
  <c r="G261"/>
  <c r="G262"/>
  <c r="G263"/>
  <c r="G264"/>
  <c r="G265"/>
  <c r="G266"/>
  <c r="G267"/>
  <c r="G268"/>
  <c r="G269"/>
  <c r="G270"/>
  <c r="G271"/>
  <c r="G272"/>
  <c r="G273"/>
  <c r="G274"/>
  <c r="G275"/>
  <c r="G276"/>
  <c r="G277"/>
  <c r="G278"/>
  <c r="G279"/>
  <c r="G280"/>
  <c r="G281"/>
  <c r="G282"/>
  <c r="G283"/>
  <c r="G284"/>
  <c r="G285"/>
  <c r="G286"/>
  <c r="G287"/>
  <c r="G288"/>
  <c r="G289"/>
  <c r="G290"/>
  <c r="G291"/>
  <c r="G292"/>
  <c r="G293"/>
  <c r="G294"/>
  <c r="G295"/>
  <c r="G296"/>
  <c r="G297"/>
  <c r="G298"/>
  <c r="G299"/>
  <c r="G300"/>
  <c r="G301"/>
  <c r="G302"/>
  <c r="G303"/>
  <c r="G304"/>
  <c r="G305"/>
  <c r="G306"/>
  <c r="G307"/>
  <c r="G308"/>
  <c r="G309"/>
  <c r="G310"/>
  <c r="G311"/>
  <c r="G312"/>
  <c r="G313"/>
  <c r="G314"/>
  <c r="G315"/>
  <c r="G316"/>
  <c r="G317"/>
  <c r="G318"/>
  <c r="G319"/>
  <c r="G320"/>
  <c r="G321"/>
  <c r="G322"/>
  <c r="G323"/>
  <c r="G324"/>
  <c r="G325"/>
  <c r="G326"/>
  <c r="G327"/>
  <c r="G328"/>
  <c r="G329"/>
  <c r="G330"/>
  <c r="G331"/>
  <c r="G332"/>
  <c r="G333"/>
  <c r="G334"/>
  <c r="G335"/>
  <c r="G336"/>
  <c r="G337"/>
  <c r="G338"/>
  <c r="G339"/>
  <c r="G340"/>
  <c r="G341"/>
  <c r="G342"/>
  <c r="G343"/>
  <c r="G344"/>
  <c r="G345"/>
  <c r="G346"/>
  <c r="G347"/>
  <c r="G348"/>
  <c r="G349"/>
  <c r="G350"/>
  <c r="G351"/>
  <c r="G352"/>
  <c r="G353"/>
  <c r="G354"/>
  <c r="G355"/>
  <c r="G356"/>
  <c r="G357"/>
  <c r="G358"/>
  <c r="G359"/>
  <c r="G360"/>
  <c r="G361"/>
  <c r="G362"/>
  <c r="G363"/>
  <c r="G364"/>
  <c r="G365"/>
  <c r="G366"/>
  <c r="G367"/>
  <c r="G368"/>
  <c r="G369"/>
  <c r="G370"/>
  <c r="G371"/>
  <c r="G372"/>
  <c r="G373"/>
  <c r="G374"/>
  <c r="G375"/>
  <c r="G376"/>
  <c r="G377"/>
  <c r="G378"/>
  <c r="G379"/>
  <c r="G380"/>
  <c r="G381"/>
  <c r="G382"/>
  <c r="G383"/>
  <c r="G384"/>
  <c r="G385"/>
  <c r="G386"/>
  <c r="G387"/>
  <c r="G388"/>
  <c r="G389"/>
  <c r="G390"/>
  <c r="G391"/>
  <c r="G392"/>
  <c r="G393"/>
  <c r="G394"/>
  <c r="G395"/>
  <c r="G396"/>
  <c r="G397"/>
  <c r="G398"/>
  <c r="G399"/>
  <c r="G400"/>
  <c r="G401"/>
  <c r="G402"/>
  <c r="G403"/>
  <c r="G404"/>
  <c r="G405"/>
  <c r="G406"/>
  <c r="G407"/>
  <c r="G408"/>
  <c r="G409"/>
  <c r="G410"/>
  <c r="G411"/>
  <c r="G412"/>
  <c r="G413"/>
  <c r="G414"/>
  <c r="G415"/>
  <c r="G416"/>
  <c r="G417"/>
  <c r="G418"/>
  <c r="G419"/>
  <c r="G420"/>
  <c r="G421"/>
  <c r="G422"/>
  <c r="G423"/>
  <c r="G424"/>
  <c r="G425"/>
  <c r="G426"/>
  <c r="G427"/>
  <c r="G428"/>
  <c r="G429"/>
  <c r="G430"/>
  <c r="G431"/>
  <c r="G432"/>
  <c r="G433"/>
  <c r="G434"/>
  <c r="G435"/>
  <c r="G436"/>
  <c r="G437"/>
  <c r="G438"/>
  <c r="G439"/>
  <c r="G440"/>
  <c r="G441"/>
  <c r="G442"/>
  <c r="G443"/>
  <c r="G444"/>
  <c r="G445"/>
  <c r="G446"/>
  <c r="G447"/>
  <c r="G448"/>
  <c r="G449"/>
  <c r="G450"/>
  <c r="G451"/>
  <c r="G452"/>
  <c r="G453"/>
  <c r="G454"/>
  <c r="G455"/>
  <c r="G456"/>
  <c r="G457"/>
  <c r="G458"/>
  <c r="G459"/>
  <c r="G460"/>
  <c r="G461"/>
  <c r="G462"/>
  <c r="G463"/>
  <c r="G464"/>
  <c r="G465"/>
  <c r="G466"/>
  <c r="G467"/>
  <c r="G468"/>
  <c r="G469"/>
  <c r="G470"/>
  <c r="G471"/>
  <c r="G472"/>
  <c r="G473"/>
  <c r="G474"/>
  <c r="G475"/>
  <c r="G476"/>
  <c r="G477"/>
  <c r="G478"/>
  <c r="G479"/>
  <c r="G480"/>
  <c r="G481"/>
  <c r="G482"/>
  <c r="G483"/>
  <c r="G484"/>
  <c r="G485"/>
  <c r="G486"/>
  <c r="G487"/>
  <c r="G488"/>
  <c r="G489"/>
  <c r="G490"/>
  <c r="G491"/>
  <c r="G492"/>
  <c r="G493"/>
  <c r="G494"/>
  <c r="G495"/>
  <c r="G496"/>
  <c r="G497"/>
  <c r="G498"/>
  <c r="G499"/>
  <c r="G500"/>
  <c r="G501"/>
  <c r="G502"/>
  <c r="G503"/>
  <c r="G504"/>
  <c r="G505"/>
  <c r="G506"/>
  <c r="G507"/>
  <c r="G508"/>
  <c r="G509"/>
  <c r="G510"/>
  <c r="G511"/>
  <c r="G512"/>
  <c r="G513"/>
  <c r="G514"/>
  <c r="G515"/>
  <c r="G516"/>
  <c r="G517"/>
  <c r="G518"/>
  <c r="G519"/>
  <c r="G520"/>
  <c r="G521"/>
  <c r="G522"/>
  <c r="G523"/>
  <c r="G524"/>
  <c r="G525"/>
  <c r="G526"/>
  <c r="G527"/>
  <c r="G528"/>
  <c r="G529"/>
  <c r="G530"/>
  <c r="G531"/>
  <c r="G532"/>
  <c r="G533"/>
  <c r="G534"/>
  <c r="G535"/>
  <c r="G536"/>
  <c r="G537"/>
  <c r="G538"/>
  <c r="G539"/>
  <c r="G540"/>
  <c r="G541"/>
  <c r="G542"/>
  <c r="G543"/>
  <c r="G544"/>
  <c r="G545"/>
  <c r="G546"/>
  <c r="G547"/>
  <c r="G548"/>
  <c r="G549"/>
  <c r="G550"/>
  <c r="G551"/>
  <c r="G552"/>
  <c r="G553"/>
  <c r="G554"/>
  <c r="G555"/>
  <c r="G556"/>
  <c r="G557"/>
  <c r="G558"/>
  <c r="G559"/>
  <c r="G560"/>
  <c r="G561"/>
  <c r="G562"/>
  <c r="G563"/>
  <c r="G564"/>
  <c r="G565"/>
  <c r="G566"/>
  <c r="G567"/>
  <c r="G568"/>
  <c r="G569"/>
  <c r="G570"/>
  <c r="G571"/>
  <c r="G572"/>
  <c r="G573"/>
  <c r="G574"/>
  <c r="G575"/>
  <c r="G576"/>
  <c r="G577"/>
  <c r="G578"/>
  <c r="G579"/>
  <c r="G580"/>
  <c r="G581"/>
  <c r="G582"/>
  <c r="G583"/>
  <c r="G584"/>
  <c r="G585"/>
  <c r="G586"/>
  <c r="G587"/>
  <c r="G588"/>
  <c r="G589"/>
  <c r="G590"/>
  <c r="G591"/>
  <c r="G592"/>
  <c r="G593"/>
  <c r="G594"/>
  <c r="G595"/>
  <c r="G596"/>
  <c r="G597"/>
  <c r="G598"/>
  <c r="G599"/>
  <c r="G600"/>
  <c r="G601"/>
  <c r="G602"/>
  <c r="G603"/>
  <c r="G604"/>
  <c r="G605"/>
  <c r="G606"/>
  <c r="G607"/>
  <c r="G608"/>
  <c r="G609"/>
  <c r="G610"/>
  <c r="G611"/>
  <c r="G612"/>
  <c r="G613"/>
  <c r="G614"/>
  <c r="G615"/>
  <c r="G616"/>
  <c r="G617"/>
  <c r="G618"/>
  <c r="G619"/>
  <c r="G620"/>
  <c r="G621"/>
  <c r="G622"/>
  <c r="G623"/>
  <c r="G624"/>
  <c r="G625"/>
  <c r="G626"/>
  <c r="G627"/>
  <c r="G628"/>
  <c r="G629"/>
  <c r="G630"/>
  <c r="G631"/>
  <c r="G632"/>
  <c r="G633"/>
  <c r="G634"/>
  <c r="G635"/>
  <c r="G636"/>
  <c r="G637"/>
  <c r="G638"/>
  <c r="G639"/>
  <c r="G640"/>
  <c r="G641"/>
  <c r="G642"/>
  <c r="G643"/>
  <c r="G644"/>
  <c r="G645"/>
  <c r="G646"/>
  <c r="G647"/>
  <c r="G648"/>
  <c r="G649"/>
  <c r="G650"/>
  <c r="G651"/>
  <c r="G652"/>
  <c r="G653"/>
  <c r="G654"/>
  <c r="G655"/>
  <c r="G656"/>
  <c r="G657"/>
  <c r="G658"/>
  <c r="G659"/>
  <c r="G660"/>
  <c r="G661"/>
  <c r="G662"/>
  <c r="G663"/>
  <c r="G664"/>
  <c r="G665"/>
  <c r="G666"/>
  <c r="G667"/>
  <c r="G668"/>
  <c r="G669"/>
  <c r="G670"/>
  <c r="G671"/>
  <c r="G672"/>
  <c r="G673"/>
  <c r="G674"/>
  <c r="G675"/>
  <c r="G676"/>
  <c r="G677"/>
  <c r="G678"/>
  <c r="G679"/>
  <c r="G680"/>
  <c r="G681"/>
  <c r="G682"/>
  <c r="G683"/>
  <c r="G684"/>
  <c r="G685"/>
  <c r="G686"/>
  <c r="G687"/>
  <c r="G688"/>
  <c r="G689"/>
  <c r="G690"/>
  <c r="G691"/>
  <c r="G692"/>
  <c r="G693"/>
  <c r="G694"/>
  <c r="G695"/>
  <c r="G696"/>
  <c r="G697"/>
  <c r="G698"/>
  <c r="G699"/>
  <c r="G700"/>
  <c r="G701"/>
  <c r="G702"/>
  <c r="G703"/>
  <c r="G704"/>
  <c r="G705"/>
  <c r="G706"/>
  <c r="G707"/>
  <c r="G708"/>
  <c r="G709"/>
  <c r="G710"/>
  <c r="G711"/>
  <c r="G712"/>
  <c r="G713"/>
  <c r="G714"/>
  <c r="G715"/>
  <c r="G716"/>
  <c r="G717"/>
  <c r="G718"/>
  <c r="G719"/>
  <c r="G720"/>
  <c r="G721"/>
  <c r="G722"/>
  <c r="G723"/>
  <c r="G724"/>
  <c r="G725"/>
  <c r="G726"/>
  <c r="G727"/>
  <c r="G728"/>
  <c r="G729"/>
  <c r="G730"/>
  <c r="G731"/>
  <c r="G732"/>
  <c r="G733"/>
  <c r="G734"/>
  <c r="G735"/>
  <c r="G736"/>
  <c r="G737"/>
  <c r="G738"/>
  <c r="G739"/>
  <c r="G740"/>
  <c r="G741"/>
  <c r="G742"/>
  <c r="G743"/>
  <c r="G744"/>
  <c r="G745"/>
  <c r="G746"/>
  <c r="G747"/>
  <c r="G748"/>
  <c r="G749"/>
  <c r="G750"/>
  <c r="G751"/>
  <c r="G752"/>
  <c r="G753"/>
  <c r="G754"/>
  <c r="G755"/>
  <c r="G756"/>
  <c r="G757"/>
  <c r="G758"/>
  <c r="G759"/>
  <c r="G760"/>
  <c r="G761"/>
  <c r="G762"/>
  <c r="G763"/>
  <c r="G764"/>
  <c r="G765"/>
  <c r="G766"/>
  <c r="G767"/>
  <c r="G768"/>
  <c r="G769"/>
  <c r="G770"/>
  <c r="G771"/>
  <c r="G772"/>
  <c r="G773"/>
  <c r="G774"/>
  <c r="G775"/>
  <c r="G776"/>
  <c r="G777"/>
  <c r="G778"/>
  <c r="G779"/>
  <c r="G780"/>
  <c r="G781"/>
  <c r="G782"/>
  <c r="G783"/>
  <c r="G784"/>
  <c r="G785"/>
  <c r="G786"/>
  <c r="G787"/>
  <c r="G788"/>
  <c r="G789"/>
  <c r="G790"/>
  <c r="G791"/>
  <c r="G792"/>
  <c r="G793"/>
  <c r="G794"/>
  <c r="G795"/>
  <c r="G796"/>
  <c r="G797"/>
  <c r="G798"/>
  <c r="G799"/>
  <c r="G800"/>
  <c r="G801"/>
  <c r="G802"/>
  <c r="G803"/>
  <c r="G804"/>
  <c r="G805"/>
  <c r="G806"/>
  <c r="G807"/>
  <c r="G808"/>
  <c r="G809"/>
  <c r="G810"/>
  <c r="G811"/>
  <c r="G812"/>
  <c r="G813"/>
  <c r="G814"/>
  <c r="G815"/>
  <c r="G816"/>
  <c r="G817"/>
  <c r="G818"/>
  <c r="G819"/>
  <c r="G820"/>
  <c r="G821"/>
  <c r="G822"/>
  <c r="G823"/>
  <c r="G824"/>
  <c r="G825"/>
  <c r="G826"/>
  <c r="G827"/>
  <c r="G828"/>
  <c r="G829"/>
  <c r="G830"/>
  <c r="G831"/>
  <c r="G832"/>
  <c r="G833"/>
  <c r="G834"/>
  <c r="G835"/>
  <c r="G836"/>
  <c r="G837"/>
  <c r="G838"/>
  <c r="G839"/>
  <c r="G840"/>
  <c r="G841"/>
  <c r="G842"/>
  <c r="G843"/>
  <c r="G844"/>
  <c r="G845"/>
  <c r="G846"/>
  <c r="G847"/>
  <c r="G848"/>
  <c r="G849"/>
  <c r="G850"/>
  <c r="G851"/>
  <c r="G852"/>
  <c r="G853"/>
  <c r="G854"/>
  <c r="G855"/>
  <c r="G856"/>
  <c r="G857"/>
  <c r="G858"/>
  <c r="G859"/>
  <c r="G860"/>
  <c r="G861"/>
  <c r="G862"/>
  <c r="G863"/>
  <c r="G864"/>
  <c r="G865"/>
  <c r="G866"/>
  <c r="G867"/>
  <c r="G868"/>
  <c r="G869"/>
  <c r="G870"/>
  <c r="G871"/>
  <c r="G872"/>
  <c r="G873"/>
  <c r="G874"/>
  <c r="G875"/>
  <c r="G876"/>
  <c r="G877"/>
  <c r="G878"/>
  <c r="G879"/>
  <c r="G880"/>
  <c r="G881"/>
  <c r="G882"/>
  <c r="G883"/>
  <c r="G884"/>
  <c r="G885"/>
  <c r="G886"/>
  <c r="G887"/>
  <c r="G888"/>
  <c r="G889"/>
  <c r="G890"/>
  <c r="G891"/>
  <c r="G892"/>
  <c r="G893"/>
  <c r="G894"/>
  <c r="G895"/>
  <c r="G896"/>
  <c r="G897"/>
  <c r="G898"/>
  <c r="G899"/>
  <c r="G900"/>
  <c r="G901"/>
  <c r="G902"/>
  <c r="G903"/>
  <c r="G904"/>
  <c r="G905"/>
  <c r="G906"/>
  <c r="G907"/>
  <c r="G908"/>
  <c r="G909"/>
  <c r="G910"/>
  <c r="G911"/>
  <c r="G912"/>
  <c r="G913"/>
  <c r="G914"/>
  <c r="G915"/>
  <c r="G916"/>
  <c r="G917"/>
  <c r="G918"/>
  <c r="G919"/>
  <c r="G920"/>
  <c r="G921"/>
  <c r="G922"/>
  <c r="G923"/>
  <c r="G924"/>
  <c r="G925"/>
  <c r="G926"/>
  <c r="G927"/>
  <c r="G928"/>
  <c r="G929"/>
  <c r="G930"/>
  <c r="G931"/>
  <c r="G932"/>
  <c r="G933"/>
  <c r="G934"/>
  <c r="G935"/>
  <c r="G936"/>
  <c r="G937"/>
  <c r="G938"/>
  <c r="G939"/>
  <c r="G940"/>
  <c r="G941"/>
  <c r="G942"/>
  <c r="G943"/>
  <c r="G944"/>
  <c r="G945"/>
  <c r="G946"/>
  <c r="G947"/>
  <c r="G948"/>
  <c r="G949"/>
  <c r="G950"/>
  <c r="G951"/>
  <c r="G952"/>
  <c r="G953"/>
  <c r="G954"/>
  <c r="G955"/>
  <c r="G956"/>
  <c r="G957"/>
  <c r="G958"/>
  <c r="G959"/>
  <c r="G960"/>
  <c r="G961"/>
  <c r="G962"/>
  <c r="G963"/>
  <c r="G964"/>
  <c r="G965"/>
  <c r="G966"/>
  <c r="G967"/>
  <c r="G968"/>
  <c r="G969"/>
  <c r="G970"/>
  <c r="G971"/>
  <c r="G972"/>
  <c r="G973"/>
  <c r="G974"/>
  <c r="G975"/>
  <c r="G976"/>
  <c r="G977"/>
  <c r="G978"/>
  <c r="G979"/>
  <c r="G980"/>
  <c r="G981"/>
  <c r="G982"/>
  <c r="G983"/>
  <c r="G984"/>
  <c r="G985"/>
  <c r="G986"/>
  <c r="G987"/>
  <c r="G988"/>
  <c r="G989"/>
  <c r="G990"/>
  <c r="G991"/>
  <c r="G992"/>
  <c r="G993"/>
  <c r="G994"/>
  <c r="G995"/>
  <c r="G996"/>
  <c r="G997"/>
  <c r="G998"/>
  <c r="G999"/>
  <c r="G1000"/>
  <c r="G1001"/>
  <c r="G2"/>
</calcChain>
</file>

<file path=xl/sharedStrings.xml><?xml version="1.0" encoding="utf-8"?>
<sst xmlns="http://schemas.openxmlformats.org/spreadsheetml/2006/main" count="16900" uniqueCount="2659">
  <si>
    <t>Record_ID</t>
  </si>
  <si>
    <t>Vehicle_ID</t>
  </si>
  <si>
    <t>Transport_Mode</t>
  </si>
  <si>
    <t>Fuel_Type</t>
  </si>
  <si>
    <t>Fuel_Consumed</t>
  </si>
  <si>
    <t>Fuel_Unit</t>
  </si>
  <si>
    <t>Distance_Traveled</t>
  </si>
  <si>
    <t>Distance_Unit</t>
  </si>
  <si>
    <t>Fuel_Cost</t>
  </si>
  <si>
    <t>Currency</t>
  </si>
  <si>
    <t>Trip_Date</t>
  </si>
  <si>
    <t>Route</t>
  </si>
  <si>
    <t>Driver_Name</t>
  </si>
  <si>
    <t>Vehicle_Age_Years</t>
  </si>
  <si>
    <t>CO2_Emissions</t>
  </si>
  <si>
    <t>TRK-001</t>
  </si>
  <si>
    <t>Truck</t>
  </si>
  <si>
    <t>Diesel</t>
  </si>
  <si>
    <t>litres</t>
  </si>
  <si>
    <t>km</t>
  </si>
  <si>
    <t>NGN</t>
  </si>
  <si>
    <t>2024-01-05</t>
  </si>
  <si>
    <t>Lagos-Ibadan</t>
  </si>
  <si>
    <t>Ade</t>
  </si>
  <si>
    <t>TRK-002</t>
  </si>
  <si>
    <t>truck</t>
  </si>
  <si>
    <t>L</t>
  </si>
  <si>
    <t>KM</t>
  </si>
  <si>
    <t>05/01/2024</t>
  </si>
  <si>
    <t>Lagos–Ibadan</t>
  </si>
  <si>
    <t>John Doe</t>
  </si>
  <si>
    <t>BUS-014</t>
  </si>
  <si>
    <t>Bus</t>
  </si>
  <si>
    <t>Petrol</t>
  </si>
  <si>
    <t>liters</t>
  </si>
  <si>
    <t>2024/01/06</t>
  </si>
  <si>
    <t>Abuja-Keffi</t>
  </si>
  <si>
    <t>Mary A</t>
  </si>
  <si>
    <t>CAR-221</t>
  </si>
  <si>
    <t>Car</t>
  </si>
  <si>
    <t>petrol</t>
  </si>
  <si>
    <t>ltrs</t>
  </si>
  <si>
    <t>06-01-2024</t>
  </si>
  <si>
    <t>Owerri-Aba</t>
  </si>
  <si>
    <t>Okorie</t>
  </si>
  <si>
    <t>TRK-003</t>
  </si>
  <si>
    <t>2024-01-07</t>
  </si>
  <si>
    <t>Lagos-Benin</t>
  </si>
  <si>
    <t>Ibrahim</t>
  </si>
  <si>
    <t>BIKE-09</t>
  </si>
  <si>
    <t>Bike</t>
  </si>
  <si>
    <t>l</t>
  </si>
  <si>
    <t>2024-01-08</t>
  </si>
  <si>
    <t>Campus Loop</t>
  </si>
  <si>
    <t>Emeka</t>
  </si>
  <si>
    <t>BUS-020</t>
  </si>
  <si>
    <t>Liters</t>
  </si>
  <si>
    <t>08/01/24</t>
  </si>
  <si>
    <t>Enugu-Onitsha</t>
  </si>
  <si>
    <t>Chiamaka</t>
  </si>
  <si>
    <t>CAR-332</t>
  </si>
  <si>
    <t>Electric</t>
  </si>
  <si>
    <t>kWh</t>
  </si>
  <si>
    <t>2024-01-09</t>
  </si>
  <si>
    <t>PH-Aba</t>
  </si>
  <si>
    <t>Samuel</t>
  </si>
  <si>
    <t>TRK-010</t>
  </si>
  <si>
    <t>2024-13-01</t>
  </si>
  <si>
    <t>Lagos-Ogbomosho</t>
  </si>
  <si>
    <t>Tunde</t>
  </si>
  <si>
    <t>TRK-011</t>
  </si>
  <si>
    <t>2024-01-11</t>
  </si>
  <si>
    <t>CAR-101</t>
  </si>
  <si>
    <t>11/01/2024</t>
  </si>
  <si>
    <t>Owerri-Orlu</t>
  </si>
  <si>
    <t>Grace</t>
  </si>
  <si>
    <t>BUS-031</t>
  </si>
  <si>
    <t>2024-01-12</t>
  </si>
  <si>
    <t>Awka-Onitsha</t>
  </si>
  <si>
    <t>TRK-014</t>
  </si>
  <si>
    <t>2024-01-13</t>
  </si>
  <si>
    <t>Lagos-Asaba</t>
  </si>
  <si>
    <t>Musa</t>
  </si>
  <si>
    <t>CAR-202</t>
  </si>
  <si>
    <t>2024-01-14</t>
  </si>
  <si>
    <t>Ibadan-Oyo</t>
  </si>
  <si>
    <t>Kemi</t>
  </si>
  <si>
    <t>BUS-033</t>
  </si>
  <si>
    <t>2024-01-15</t>
  </si>
  <si>
    <t>Akure-Ondo</t>
  </si>
  <si>
    <t>Femi</t>
  </si>
  <si>
    <t>TRK-015</t>
  </si>
  <si>
    <t>2024-01-16</t>
  </si>
  <si>
    <t>Lagos-Kano</t>
  </si>
  <si>
    <t>Ahmed</t>
  </si>
  <si>
    <t>CAR-303</t>
  </si>
  <si>
    <t>2024-01-17</t>
  </si>
  <si>
    <t>PH-Uyo</t>
  </si>
  <si>
    <t>Ini</t>
  </si>
  <si>
    <t>BIKE-11</t>
  </si>
  <si>
    <t>17-01-2024</t>
  </si>
  <si>
    <t>BUS-041</t>
  </si>
  <si>
    <t>2024-01-18</t>
  </si>
  <si>
    <t>Asaba-Onitsha</t>
  </si>
  <si>
    <t>Chukwudi</t>
  </si>
  <si>
    <t>CAR-404</t>
  </si>
  <si>
    <t>2024-01-19</t>
  </si>
  <si>
    <t>Aba-Umudike</t>
  </si>
  <si>
    <t>Rita</t>
  </si>
  <si>
    <t>TRK-020</t>
  </si>
  <si>
    <t>2024-01-20</t>
  </si>
  <si>
    <t>Lagos-Akure</t>
  </si>
  <si>
    <t>Sunday</t>
  </si>
  <si>
    <t>CAR-505</t>
  </si>
  <si>
    <t>Hybrid</t>
  </si>
  <si>
    <t>2024-01-21</t>
  </si>
  <si>
    <t>Abuja-Gwagwalada</t>
  </si>
  <si>
    <t>Ngozi</t>
  </si>
  <si>
    <t>BUS-050</t>
  </si>
  <si>
    <t>2024/01/22</t>
  </si>
  <si>
    <t>Kaduna-Zaria</t>
  </si>
  <si>
    <t>Sadiq</t>
  </si>
  <si>
    <t>BIKE-318</t>
  </si>
  <si>
    <t>bus</t>
  </si>
  <si>
    <t>USD</t>
  </si>
  <si>
    <t>2025/09/04</t>
  </si>
  <si>
    <t>Nguyenburgh-Lake Richard</t>
  </si>
  <si>
    <t xml:space="preserve"> </t>
  </si>
  <si>
    <t>CAR-552</t>
  </si>
  <si>
    <t>30-01-2025</t>
  </si>
  <si>
    <t>Hortonmouth-East Jonathanburgh</t>
  </si>
  <si>
    <t>Sherry</t>
  </si>
  <si>
    <t>BUS-832</t>
  </si>
  <si>
    <t>car</t>
  </si>
  <si>
    <t>2025-06-11</t>
  </si>
  <si>
    <t>West Richard-Nguyenchester</t>
  </si>
  <si>
    <t>BIKE-638</t>
  </si>
  <si>
    <t>diesel</t>
  </si>
  <si>
    <t>11-01-2025</t>
  </si>
  <si>
    <t>North Dylan-East Susan</t>
  </si>
  <si>
    <t>BUS-391</t>
  </si>
  <si>
    <t>01-02-2025</t>
  </si>
  <si>
    <t>North Christinetown-North Michaelshire</t>
  </si>
  <si>
    <t>TRK-974</t>
  </si>
  <si>
    <t>2024/05/04</t>
  </si>
  <si>
    <t>New Steven-Jessicatown</t>
  </si>
  <si>
    <t>Veronica Blackwell</t>
  </si>
  <si>
    <t>CAR-130</t>
  </si>
  <si>
    <t>14/08/2025</t>
  </si>
  <si>
    <t>Johnsonhaven-Port Kellymouth</t>
  </si>
  <si>
    <t>BUS-785</t>
  </si>
  <si>
    <t>25/06/2025</t>
  </si>
  <si>
    <t>West Carla-Cervanteshaven</t>
  </si>
  <si>
    <t>Gregory Edwards</t>
  </si>
  <si>
    <t>CAR-802</t>
  </si>
  <si>
    <t>08/03/2024</t>
  </si>
  <si>
    <t>Port Williammouth-East Ashleyfurt</t>
  </si>
  <si>
    <t>CAR-523</t>
  </si>
  <si>
    <t>bike</t>
  </si>
  <si>
    <t>2026/01/19</t>
  </si>
  <si>
    <t>Amybury-Lake Stephaniebury</t>
  </si>
  <si>
    <t>TRK-669</t>
  </si>
  <si>
    <t>2025-12-12</t>
  </si>
  <si>
    <t>Ryanhaven-South Angelaport</t>
  </si>
  <si>
    <t>Rachel</t>
  </si>
  <si>
    <t>BIKE-555</t>
  </si>
  <si>
    <t>30-08-2024</t>
  </si>
  <si>
    <t>Jeremyborough-Turnermouth</t>
  </si>
  <si>
    <t>BUS-307</t>
  </si>
  <si>
    <t>2024/04/19</t>
  </si>
  <si>
    <t>West Amber-Maldonadoview</t>
  </si>
  <si>
    <t>Jodi</t>
  </si>
  <si>
    <t>TRK-418</t>
  </si>
  <si>
    <t>21/06/2025</t>
  </si>
  <si>
    <t>Port Robert-Port Sarafurt</t>
  </si>
  <si>
    <t>BUS-914</t>
  </si>
  <si>
    <t>08-03-2024</t>
  </si>
  <si>
    <t>Christineburgh-Carolborough</t>
  </si>
  <si>
    <t>Geoffrey Stewart</t>
  </si>
  <si>
    <t>BIKE-329</t>
  </si>
  <si>
    <t>2024/09/30</t>
  </si>
  <si>
    <t>West Melissaside-Rivasshire</t>
  </si>
  <si>
    <t>Elizabeth Mason</t>
  </si>
  <si>
    <t>BUS-605</t>
  </si>
  <si>
    <t>10/03/2024</t>
  </si>
  <si>
    <t>Thomasview-Fordberg</t>
  </si>
  <si>
    <t>Michael Maldonado</t>
  </si>
  <si>
    <t>BIKE-933</t>
  </si>
  <si>
    <t>29/10/2025</t>
  </si>
  <si>
    <t>Denisetown-New Melanie</t>
  </si>
  <si>
    <t>CAR-508</t>
  </si>
  <si>
    <t>04-05-2025</t>
  </si>
  <si>
    <t>West Pamelaland-Mcgrathborough</t>
  </si>
  <si>
    <t>TRK-808</t>
  </si>
  <si>
    <t>06/12/2024</t>
  </si>
  <si>
    <t>Douglaschester-Jonathanburgh</t>
  </si>
  <si>
    <t>CAR-776</t>
  </si>
  <si>
    <t>29-05-2025</t>
  </si>
  <si>
    <t>Kaufmantown-Martinburgh</t>
  </si>
  <si>
    <t>Jonathon</t>
  </si>
  <si>
    <t>BIKE-719</t>
  </si>
  <si>
    <t>18/10/2025</t>
  </si>
  <si>
    <t>West Jeffreyfurt-South Megan</t>
  </si>
  <si>
    <t>Arthur</t>
  </si>
  <si>
    <t>BUS-285</t>
  </si>
  <si>
    <t>17/12/2025</t>
  </si>
  <si>
    <t>Austinburgh-Murphyview</t>
  </si>
  <si>
    <t>BIKE-101</t>
  </si>
  <si>
    <t>2025/12/30</t>
  </si>
  <si>
    <t>Lake Amy-Danielfurt</t>
  </si>
  <si>
    <t>CAR-393</t>
  </si>
  <si>
    <t>2025-11-17</t>
  </si>
  <si>
    <t>Gomezton-East Allison</t>
  </si>
  <si>
    <t>TRK-925</t>
  </si>
  <si>
    <t>29/01/2025</t>
  </si>
  <si>
    <t>East Michael-Williamstown</t>
  </si>
  <si>
    <t>Eric Burch</t>
  </si>
  <si>
    <t>CAR-883</t>
  </si>
  <si>
    <t>2025-05-17</t>
  </si>
  <si>
    <t>Hensonburgh-Port Nicole</t>
  </si>
  <si>
    <t>Steven</t>
  </si>
  <si>
    <t>CAR-850</t>
  </si>
  <si>
    <t>2025-01-16</t>
  </si>
  <si>
    <t>Austinstad-North Rebecca</t>
  </si>
  <si>
    <t>TRK-499</t>
  </si>
  <si>
    <t>07/07/2025</t>
  </si>
  <si>
    <t>East Danafort-North Robert</t>
  </si>
  <si>
    <t>BIKE-128</t>
  </si>
  <si>
    <t>2025/01/03</t>
  </si>
  <si>
    <t>Thomasport-Cindyport</t>
  </si>
  <si>
    <t>Daniel Gonzalez</t>
  </si>
  <si>
    <t>CAR-267</t>
  </si>
  <si>
    <t>21/08/2024</t>
  </si>
  <si>
    <t>Toddville-Lake Rachel</t>
  </si>
  <si>
    <t>Malik</t>
  </si>
  <si>
    <t>BUS-453</t>
  </si>
  <si>
    <t>08/07/2024</t>
  </si>
  <si>
    <t>East Ronaldland-Wrightview</t>
  </si>
  <si>
    <t>Nicholas</t>
  </si>
  <si>
    <t>CAR-995</t>
  </si>
  <si>
    <t>09/06/2024</t>
  </si>
  <si>
    <t>North Jason-Youngchester</t>
  </si>
  <si>
    <t>TRK-872</t>
  </si>
  <si>
    <t>13-09-2025</t>
  </si>
  <si>
    <t>Lake Linda-Davidland</t>
  </si>
  <si>
    <t>BIKE-974</t>
  </si>
  <si>
    <t>2025/12/15</t>
  </si>
  <si>
    <t>Lisaside-North Laura</t>
  </si>
  <si>
    <t>Melissa May</t>
  </si>
  <si>
    <t>TRK-255</t>
  </si>
  <si>
    <t>2024/06/08</t>
  </si>
  <si>
    <t>Vanessaborough-Estradachester</t>
  </si>
  <si>
    <t>BIKE-664</t>
  </si>
  <si>
    <t>22-06-2024</t>
  </si>
  <si>
    <t>Lopezland-Kramerberg</t>
  </si>
  <si>
    <t>TRK-431</t>
  </si>
  <si>
    <t>19-04-2025</t>
  </si>
  <si>
    <t>Adamsstad-Kimfurt</t>
  </si>
  <si>
    <t>CAR-534</t>
  </si>
  <si>
    <t>2025/01/31</t>
  </si>
  <si>
    <t>Rojaschester-New Leahfort</t>
  </si>
  <si>
    <t>TRK-926</t>
  </si>
  <si>
    <t>2025-03-20</t>
  </si>
  <si>
    <t>Lake David-Nathanside</t>
  </si>
  <si>
    <t>CAR-318</t>
  </si>
  <si>
    <t>2025/07/14</t>
  </si>
  <si>
    <t>Curtisborough-Justinton</t>
  </si>
  <si>
    <t>TRK-132</t>
  </si>
  <si>
    <t>2024/12/16</t>
  </si>
  <si>
    <t>Jefferyton-Watersborough</t>
  </si>
  <si>
    <t>CAR-182</t>
  </si>
  <si>
    <t>08-02-2025</t>
  </si>
  <si>
    <t>Walterville-West Jacob</t>
  </si>
  <si>
    <t>Amanda</t>
  </si>
  <si>
    <t>BUS-982</t>
  </si>
  <si>
    <t>2024/10/27</t>
  </si>
  <si>
    <t>North Nina-Parkerfurt</t>
  </si>
  <si>
    <t>TRK-680</t>
  </si>
  <si>
    <t>2024/02/18</t>
  </si>
  <si>
    <t>North Stanleyton-Myersmouth</t>
  </si>
  <si>
    <t>CAR-482</t>
  </si>
  <si>
    <t>20-03-2025</t>
  </si>
  <si>
    <t>New Laura-Josephhaven</t>
  </si>
  <si>
    <t>David King</t>
  </si>
  <si>
    <t>TRK-133</t>
  </si>
  <si>
    <t>2024-04-05</t>
  </si>
  <si>
    <t>East Samantha-North Elaine</t>
  </si>
  <si>
    <t>James Lowe</t>
  </si>
  <si>
    <t>BUS-402</t>
  </si>
  <si>
    <t>23-05-2024</t>
  </si>
  <si>
    <t>Lake Michelle-Edwardsbury</t>
  </si>
  <si>
    <t>Amanda White</t>
  </si>
  <si>
    <t>BUS-507</t>
  </si>
  <si>
    <t>2024/05/20</t>
  </si>
  <si>
    <t>Port Dawnchester-West Krystalmouth</t>
  </si>
  <si>
    <t>TRK-957</t>
  </si>
  <si>
    <t>06-04-2025</t>
  </si>
  <si>
    <t>Richardshire-South Bradley</t>
  </si>
  <si>
    <t>Ashley</t>
  </si>
  <si>
    <t>BIKE-559</t>
  </si>
  <si>
    <t>22-08-2024</t>
  </si>
  <si>
    <t>Charlesland-Stoutmouth</t>
  </si>
  <si>
    <t>Adam</t>
  </si>
  <si>
    <t>TRK-424</t>
  </si>
  <si>
    <t>2025/01/05</t>
  </si>
  <si>
    <t>North Curtismouth-Smithbury</t>
  </si>
  <si>
    <t>BIKE-747</t>
  </si>
  <si>
    <t>24/05/2024</t>
  </si>
  <si>
    <t>Owensland-Vangburgh</t>
  </si>
  <si>
    <t>BIKE-917</t>
  </si>
  <si>
    <t>20-04-2024</t>
  </si>
  <si>
    <t>South Travis-Connortown</t>
  </si>
  <si>
    <t>Todd Frazier</t>
  </si>
  <si>
    <t>TRK-266</t>
  </si>
  <si>
    <t>25/11/2025</t>
  </si>
  <si>
    <t>Woodberg-Rodriguezport</t>
  </si>
  <si>
    <t>Stephen</t>
  </si>
  <si>
    <t>BIKE-379</t>
  </si>
  <si>
    <t>2025/08/13</t>
  </si>
  <si>
    <t>East Crystalview-South Crystal</t>
  </si>
  <si>
    <t>Samantha</t>
  </si>
  <si>
    <t>BIKE-175</t>
  </si>
  <si>
    <t>04-08-2024</t>
  </si>
  <si>
    <t>Hollandshire-Lindaburgh</t>
  </si>
  <si>
    <t>TRK-482</t>
  </si>
  <si>
    <t>2025-09-11</t>
  </si>
  <si>
    <t>North Jennifermouth-South Mark</t>
  </si>
  <si>
    <t>Sarah</t>
  </si>
  <si>
    <t>BIKE-801</t>
  </si>
  <si>
    <t>2024/06/25</t>
  </si>
  <si>
    <t>Lake Gordonside-South Albert</t>
  </si>
  <si>
    <t>BIKE-696</t>
  </si>
  <si>
    <t>24-10-2025</t>
  </si>
  <si>
    <t>Lake Leviborough-Lake Lisahaven</t>
  </si>
  <si>
    <t>TRK-406</t>
  </si>
  <si>
    <t>2024-04-08</t>
  </si>
  <si>
    <t>Fullerview-Victoriaton</t>
  </si>
  <si>
    <t>Jessica</t>
  </si>
  <si>
    <t>BIKE-136</t>
  </si>
  <si>
    <t>2026-01-09</t>
  </si>
  <si>
    <t>Port Carlosfort-New Kirkport</t>
  </si>
  <si>
    <t>BIKE-916</t>
  </si>
  <si>
    <t>11/08/2024</t>
  </si>
  <si>
    <t>New Tina-Smithmouth</t>
  </si>
  <si>
    <t>Frederick</t>
  </si>
  <si>
    <t>BUS-186</t>
  </si>
  <si>
    <t>2024/02/27</t>
  </si>
  <si>
    <t>Heiditown-West Lisaside</t>
  </si>
  <si>
    <t>John Torres</t>
  </si>
  <si>
    <t>TRK-307</t>
  </si>
  <si>
    <t>2025-02-20</t>
  </si>
  <si>
    <t>New Michael-Port Jasonchester</t>
  </si>
  <si>
    <t>Kathleen Gonzales</t>
  </si>
  <si>
    <t>BUS-792</t>
  </si>
  <si>
    <t>2024-06-08</t>
  </si>
  <si>
    <t>Port Andrewmouth-New Kellyfort</t>
  </si>
  <si>
    <t>TRK-352</t>
  </si>
  <si>
    <t>2025-04-01</t>
  </si>
  <si>
    <t>Brownville-Gloriamouth</t>
  </si>
  <si>
    <t>Lauren</t>
  </si>
  <si>
    <t>BUS-550</t>
  </si>
  <si>
    <t>2024-10-09</t>
  </si>
  <si>
    <t>West Katrinaside-New Victoria</t>
  </si>
  <si>
    <t>BUS-477</t>
  </si>
  <si>
    <t>23-10-2025</t>
  </si>
  <si>
    <t>Richardhaven-Port Adrienne</t>
  </si>
  <si>
    <t>TRK-492</t>
  </si>
  <si>
    <t>21-03-2025</t>
  </si>
  <si>
    <t>Richhaven-South Loganville</t>
  </si>
  <si>
    <t>CAR-795</t>
  </si>
  <si>
    <t>06/12/2025</t>
  </si>
  <si>
    <t>Schmidtberg-South Kristen</t>
  </si>
  <si>
    <t>Amy Hunter</t>
  </si>
  <si>
    <t>BIKE-374</t>
  </si>
  <si>
    <t>2024/06/29</t>
  </si>
  <si>
    <t>Brianfort-New Rachelmouth</t>
  </si>
  <si>
    <t>Donald</t>
  </si>
  <si>
    <t>CAR-742</t>
  </si>
  <si>
    <t>24/02/2024</t>
  </si>
  <si>
    <t>Lynnfort-Michaelport</t>
  </si>
  <si>
    <t>Daniel</t>
  </si>
  <si>
    <t>CAR-549</t>
  </si>
  <si>
    <t>2025-10-28</t>
  </si>
  <si>
    <t>Garciamouth-Dixonchester</t>
  </si>
  <si>
    <t>Austin Ferguson</t>
  </si>
  <si>
    <t>CAR-426</t>
  </si>
  <si>
    <t>01-10-2024</t>
  </si>
  <si>
    <t>Matthewshire-Michellebury</t>
  </si>
  <si>
    <t>CAR-968</t>
  </si>
  <si>
    <t>17/03/2023</t>
  </si>
  <si>
    <t>Gwagwalada-Lagos</t>
  </si>
  <si>
    <t>28/01/2025</t>
  </si>
  <si>
    <t>Awka-Akure</t>
  </si>
  <si>
    <t>BUS-716</t>
  </si>
  <si>
    <t>18/02/2025</t>
  </si>
  <si>
    <t>Calabar-Kano</t>
  </si>
  <si>
    <t>CAR-632</t>
  </si>
  <si>
    <t>08/09/2023</t>
  </si>
  <si>
    <t>Owerri-Benin</t>
  </si>
  <si>
    <t>CAR-874</t>
  </si>
  <si>
    <t>03/04/2025</t>
  </si>
  <si>
    <t>Ibadan-Calabar</t>
  </si>
  <si>
    <t>BUS-749</t>
  </si>
  <si>
    <t>17-02-2024</t>
  </si>
  <si>
    <t>Zaria-Oyo</t>
  </si>
  <si>
    <t>TRK-565</t>
  </si>
  <si>
    <t>2024-01-03</t>
  </si>
  <si>
    <t>Kaduna-Lagos</t>
  </si>
  <si>
    <t>BIKE-654</t>
  </si>
  <si>
    <t>13/05/2024</t>
  </si>
  <si>
    <t>Oyo-Ibadan</t>
  </si>
  <si>
    <t>TRK-169</t>
  </si>
  <si>
    <t>26/09/2023</t>
  </si>
  <si>
    <t>Ondo-Lagos</t>
  </si>
  <si>
    <t>CAR-863</t>
  </si>
  <si>
    <t>14-02-2023</t>
  </si>
  <si>
    <t>Ogbomosho-Ilorin</t>
  </si>
  <si>
    <t>TRK-452</t>
  </si>
  <si>
    <t>14-11-2023</t>
  </si>
  <si>
    <t>Uyo-Aba</t>
  </si>
  <si>
    <t>TRK-618</t>
  </si>
  <si>
    <t>2025/01/29</t>
  </si>
  <si>
    <t>Port Harcourt-Enugu</t>
  </si>
  <si>
    <t>TRK-532</t>
  </si>
  <si>
    <t>28-05-2025</t>
  </si>
  <si>
    <t>Benin-Ilorin</t>
  </si>
  <si>
    <t>TRK-560</t>
  </si>
  <si>
    <t>2024/11/16</t>
  </si>
  <si>
    <t>Gwagwalada-Abuja</t>
  </si>
  <si>
    <t>BUS-962</t>
  </si>
  <si>
    <t>13/10/2023</t>
  </si>
  <si>
    <t>Ondo-Uyo</t>
  </si>
  <si>
    <t>TRK-435</t>
  </si>
  <si>
    <t>2023/10/17</t>
  </si>
  <si>
    <t>Jos-Calabar</t>
  </si>
  <si>
    <t>TRK-655</t>
  </si>
  <si>
    <t>2023/03/04</t>
  </si>
  <si>
    <t>Lagos-Orlu</t>
  </si>
  <si>
    <t>CAR-225</t>
  </si>
  <si>
    <t>18/03/2023</t>
  </si>
  <si>
    <t>Benin-Asaba</t>
  </si>
  <si>
    <t>Aisha</t>
  </si>
  <si>
    <t>BIKE-623</t>
  </si>
  <si>
    <t>2024/06/22</t>
  </si>
  <si>
    <t>Umudike-Ondo</t>
  </si>
  <si>
    <t>BUS-645</t>
  </si>
  <si>
    <t>25-12-2023</t>
  </si>
  <si>
    <t>Uyo-Asaba</t>
  </si>
  <si>
    <t>TRK-412</t>
  </si>
  <si>
    <t>Ibadan-Kano</t>
  </si>
  <si>
    <t>BUS-404</t>
  </si>
  <si>
    <t>2024/06/14</t>
  </si>
  <si>
    <t>Benin-Jos</t>
  </si>
  <si>
    <t>CAR-565</t>
  </si>
  <si>
    <t>2024-11-27</t>
  </si>
  <si>
    <t>Ilorin-Enugu</t>
  </si>
  <si>
    <t>BUS-244</t>
  </si>
  <si>
    <t>16/02/2025</t>
  </si>
  <si>
    <t>Ondo-Ogbomosho</t>
  </si>
  <si>
    <t>BUS-346</t>
  </si>
  <si>
    <t>04/01/2024</t>
  </si>
  <si>
    <t>Jos-Aba</t>
  </si>
  <si>
    <t>CAR-654</t>
  </si>
  <si>
    <t>2023-08-01</t>
  </si>
  <si>
    <t>Ogbomosho-Gwagwalada</t>
  </si>
  <si>
    <t>TRK-983</t>
  </si>
  <si>
    <t>2024-06-24</t>
  </si>
  <si>
    <t>Calabar-Keffi</t>
  </si>
  <si>
    <t>CAR-150</t>
  </si>
  <si>
    <t>16/12/2024</t>
  </si>
  <si>
    <t>Asaba-Orlu</t>
  </si>
  <si>
    <t>BIKE-732</t>
  </si>
  <si>
    <t>2024/07/19</t>
  </si>
  <si>
    <t>Uyo-Onitsha</t>
  </si>
  <si>
    <t>TRK-586</t>
  </si>
  <si>
    <t>13/01/2023</t>
  </si>
  <si>
    <t>Akure-Oyo</t>
  </si>
  <si>
    <t>BUS-948</t>
  </si>
  <si>
    <t>20/03/2024</t>
  </si>
  <si>
    <t>Ibadan-Abuja</t>
  </si>
  <si>
    <t>BIKE-324</t>
  </si>
  <si>
    <t>15-08-2023</t>
  </si>
  <si>
    <t>Abuja-Uyo</t>
  </si>
  <si>
    <t>CAR-746</t>
  </si>
  <si>
    <t>2024-10-06</t>
  </si>
  <si>
    <t>CAR-389</t>
  </si>
  <si>
    <t>2025-04-21</t>
  </si>
  <si>
    <t>Akure-Enugu</t>
  </si>
  <si>
    <t>TRK-195</t>
  </si>
  <si>
    <t>09/02/2024</t>
  </si>
  <si>
    <t>Gwagwalada-Ibadan</t>
  </si>
  <si>
    <t>BIKE-870</t>
  </si>
  <si>
    <t>2024-11-18</t>
  </si>
  <si>
    <t>Asaba-Oyo</t>
  </si>
  <si>
    <t>TRK-172</t>
  </si>
  <si>
    <t>2025-03-13</t>
  </si>
  <si>
    <t>Kano-Enugu</t>
  </si>
  <si>
    <t>BUS-241</t>
  </si>
  <si>
    <t>2023/06/20</t>
  </si>
  <si>
    <t>Lagos-Umudike</t>
  </si>
  <si>
    <t>CAR-591</t>
  </si>
  <si>
    <t>29-06-2023</t>
  </si>
  <si>
    <t>Enugu-Benin</t>
  </si>
  <si>
    <t>BIKE-968</t>
  </si>
  <si>
    <t>2024-01-02</t>
  </si>
  <si>
    <t>Uyo-Abuja</t>
  </si>
  <si>
    <t>CAR-784</t>
  </si>
  <si>
    <t>2023-12-12</t>
  </si>
  <si>
    <t>Jos-Ogbomosho</t>
  </si>
  <si>
    <t>BIKE-528</t>
  </si>
  <si>
    <t>10-05-2025</t>
  </si>
  <si>
    <t>Jos-Lagos</t>
  </si>
  <si>
    <t>BIKE-375</t>
  </si>
  <si>
    <t>2024/11/07</t>
  </si>
  <si>
    <t>TRK-710</t>
  </si>
  <si>
    <t>17-04-2024</t>
  </si>
  <si>
    <t>Jos-Orlu</t>
  </si>
  <si>
    <t>BUS-502</t>
  </si>
  <si>
    <t>11-10-2024</t>
  </si>
  <si>
    <t>Owerri-Akure</t>
  </si>
  <si>
    <t>BUS-441</t>
  </si>
  <si>
    <t>20/12/2023</t>
  </si>
  <si>
    <t>TRK-903</t>
  </si>
  <si>
    <t>13-06-2023</t>
  </si>
  <si>
    <t>Ibadan-Ilorin</t>
  </si>
  <si>
    <t>CAR-448</t>
  </si>
  <si>
    <t>2023-01-29</t>
  </si>
  <si>
    <t>Calabar-Benin</t>
  </si>
  <si>
    <t>BUS-558</t>
  </si>
  <si>
    <t>20/11/2024</t>
  </si>
  <si>
    <t>Owerri-Ondo</t>
  </si>
  <si>
    <t>TRK-113</t>
  </si>
  <si>
    <t>2023/05/24</t>
  </si>
  <si>
    <t>Calabar-Onitsha</t>
  </si>
  <si>
    <t>CAR-960</t>
  </si>
  <si>
    <t>31/07/2023</t>
  </si>
  <si>
    <t>Asaba-Calabar</t>
  </si>
  <si>
    <t>TRK-429</t>
  </si>
  <si>
    <t>05-04-2023</t>
  </si>
  <si>
    <t>Calabar-Owerri</t>
  </si>
  <si>
    <t>CAR-985</t>
  </si>
  <si>
    <t>2025-05-01</t>
  </si>
  <si>
    <t>Port Harcourt-Asaba</t>
  </si>
  <si>
    <t>BUS-924</t>
  </si>
  <si>
    <t>15/01/2023</t>
  </si>
  <si>
    <t>Keffi-Zaria</t>
  </si>
  <si>
    <t>CAR-683</t>
  </si>
  <si>
    <t>2024-06-23</t>
  </si>
  <si>
    <t>BUS-649</t>
  </si>
  <si>
    <t>Keffi-Owerri</t>
  </si>
  <si>
    <t>TRK-894</t>
  </si>
  <si>
    <t>2024-04-27</t>
  </si>
  <si>
    <t>Kano-Ogbomosho</t>
  </si>
  <si>
    <t>BUS-449</t>
  </si>
  <si>
    <t>2023/09/19</t>
  </si>
  <si>
    <t>Aba-Lagos</t>
  </si>
  <si>
    <t>BIKE-764</t>
  </si>
  <si>
    <t>2025/05/17</t>
  </si>
  <si>
    <t>Aba-Enugu</t>
  </si>
  <si>
    <t>BIKE-303</t>
  </si>
  <si>
    <t>07/11/2024</t>
  </si>
  <si>
    <t>Benin-Ibadan</t>
  </si>
  <si>
    <t>BIKE-725</t>
  </si>
  <si>
    <t>2024-10-07</t>
  </si>
  <si>
    <t>Ibadan-Keffi</t>
  </si>
  <si>
    <t>BIKE-253</t>
  </si>
  <si>
    <t>2024/04/20</t>
  </si>
  <si>
    <t>BUS-310</t>
  </si>
  <si>
    <t>2025-06-15</t>
  </si>
  <si>
    <t>Aba-Kaduna</t>
  </si>
  <si>
    <t>CAR-715</t>
  </si>
  <si>
    <t>2023-08-26</t>
  </si>
  <si>
    <t>Asaba-Awka</t>
  </si>
  <si>
    <t>TRK-779</t>
  </si>
  <si>
    <t>17-02-2023</t>
  </si>
  <si>
    <t>Keffi-Kano</t>
  </si>
  <si>
    <t>BIKE-880</t>
  </si>
  <si>
    <t>28-08-2023</t>
  </si>
  <si>
    <t>Abuja-Akure</t>
  </si>
  <si>
    <t>20-02-2023</t>
  </si>
  <si>
    <t>Calabar-Jos</t>
  </si>
  <si>
    <t>TRK-941</t>
  </si>
  <si>
    <t>2024-05-29</t>
  </si>
  <si>
    <t>Zaria-Gwagwalada</t>
  </si>
  <si>
    <t>BIKE-169</t>
  </si>
  <si>
    <t>19/04/2025</t>
  </si>
  <si>
    <t>Aba-Ilorin</t>
  </si>
  <si>
    <t>CAR-449</t>
  </si>
  <si>
    <t>11-09-2023</t>
  </si>
  <si>
    <t>Kano-Uyo</t>
  </si>
  <si>
    <t>CAR-531</t>
  </si>
  <si>
    <t>2024-06-26</t>
  </si>
  <si>
    <t>Oyo-Owerri</t>
  </si>
  <si>
    <t>TRK-975</t>
  </si>
  <si>
    <t>06/04/2024</t>
  </si>
  <si>
    <t>Owerri-Onitsha</t>
  </si>
  <si>
    <t>BIKE-391</t>
  </si>
  <si>
    <t>2025-01-27</t>
  </si>
  <si>
    <t>BIKE-341</t>
  </si>
  <si>
    <t>19/10/2024</t>
  </si>
  <si>
    <t>Calabar-Gwagwalada</t>
  </si>
  <si>
    <t>BIKE-436</t>
  </si>
  <si>
    <t>2024/12/11</t>
  </si>
  <si>
    <t>Benin-Kaduna</t>
  </si>
  <si>
    <t>CAR-551</t>
  </si>
  <si>
    <t>2023/04/05</t>
  </si>
  <si>
    <t>Kano-Abuja</t>
  </si>
  <si>
    <t>BIKE-446</t>
  </si>
  <si>
    <t>11/05/2024</t>
  </si>
  <si>
    <t>Calabar-Asaba</t>
  </si>
  <si>
    <t>BIKE-230</t>
  </si>
  <si>
    <t>2023-04-09</t>
  </si>
  <si>
    <t>Kaduna-Ogbomosho</t>
  </si>
  <si>
    <t>TRK-688</t>
  </si>
  <si>
    <t>2023-06-06</t>
  </si>
  <si>
    <t>Port Harcourt-Jos</t>
  </si>
  <si>
    <t>BIKE-575</t>
  </si>
  <si>
    <t>2023-01-25</t>
  </si>
  <si>
    <t>Zaria-Awka</t>
  </si>
  <si>
    <t>BIKE-112</t>
  </si>
  <si>
    <t>2023-01-22</t>
  </si>
  <si>
    <t>Ilorin-Umudike</t>
  </si>
  <si>
    <t>BUS-377</t>
  </si>
  <si>
    <t>2023-10-30</t>
  </si>
  <si>
    <t>Oyo-Abuja</t>
  </si>
  <si>
    <t>CAR-964</t>
  </si>
  <si>
    <t>18/10/2023</t>
  </si>
  <si>
    <t>Owerri-Umudike</t>
  </si>
  <si>
    <t>BIKE-784</t>
  </si>
  <si>
    <t>05-06-2024</t>
  </si>
  <si>
    <t>Port Harcourt-Zaria</t>
  </si>
  <si>
    <t>CAR-439</t>
  </si>
  <si>
    <t>2024-01-31</t>
  </si>
  <si>
    <t>Onitsha-Umudike</t>
  </si>
  <si>
    <t>CAR-387</t>
  </si>
  <si>
    <t>26-04-2024</t>
  </si>
  <si>
    <t>Enugu-Akure</t>
  </si>
  <si>
    <t>CAR-283</t>
  </si>
  <si>
    <t>25/03/2023</t>
  </si>
  <si>
    <t>Owerri-Uyo</t>
  </si>
  <si>
    <t>BUS-687</t>
  </si>
  <si>
    <t>29-07-2023</t>
  </si>
  <si>
    <t>Gwagwalada-Akure</t>
  </si>
  <si>
    <t>BIKE-861</t>
  </si>
  <si>
    <t>2025-01-07</t>
  </si>
  <si>
    <t>Benin-Enugu</t>
  </si>
  <si>
    <t>BUS-819</t>
  </si>
  <si>
    <t>2024/10/04</t>
  </si>
  <si>
    <t>Benin-Onitsha</t>
  </si>
  <si>
    <t>TRK-245</t>
  </si>
  <si>
    <t>03-10-2023</t>
  </si>
  <si>
    <t>14-03-2025</t>
  </si>
  <si>
    <t>Abuja-Awka</t>
  </si>
  <si>
    <t>BIKE-526</t>
  </si>
  <si>
    <t>2023/04/07</t>
  </si>
  <si>
    <t>Aba-Benin</t>
  </si>
  <si>
    <t>14-05-2025</t>
  </si>
  <si>
    <t>Lagos-Jos</t>
  </si>
  <si>
    <t>BIKE-505</t>
  </si>
  <si>
    <t>14/02/2023</t>
  </si>
  <si>
    <t>TRK-561</t>
  </si>
  <si>
    <t>2023-04-26</t>
  </si>
  <si>
    <t>BUS-939</t>
  </si>
  <si>
    <t>06-07-2024</t>
  </si>
  <si>
    <t>Awka-Jos</t>
  </si>
  <si>
    <t>TRK-453</t>
  </si>
  <si>
    <t>2023-03-30</t>
  </si>
  <si>
    <t>Benin-Gwagwalada</t>
  </si>
  <si>
    <t>BIKE-116</t>
  </si>
  <si>
    <t>31/08/2023</t>
  </si>
  <si>
    <t>Lagos-Enugu</t>
  </si>
  <si>
    <t>CAR-247</t>
  </si>
  <si>
    <t>Kaduna-Owerri</t>
  </si>
  <si>
    <t>BUS-272</t>
  </si>
  <si>
    <t>2023-02-22</t>
  </si>
  <si>
    <t>Lagos-Ondo</t>
  </si>
  <si>
    <t>CAR-322</t>
  </si>
  <si>
    <t>05/09/2024</t>
  </si>
  <si>
    <t>Akure-Lagos</t>
  </si>
  <si>
    <t>TRK-776</t>
  </si>
  <si>
    <t>16/01/2023</t>
  </si>
  <si>
    <t>CAR-470</t>
  </si>
  <si>
    <t>2025-02-05</t>
  </si>
  <si>
    <t>Umudike-Benin</t>
  </si>
  <si>
    <t>CAR-588</t>
  </si>
  <si>
    <t>2025/04/29</t>
  </si>
  <si>
    <t>Awka-Calabar</t>
  </si>
  <si>
    <t>TRK-202</t>
  </si>
  <si>
    <t>10-09-2023</t>
  </si>
  <si>
    <t>Ilorin-Jos</t>
  </si>
  <si>
    <t>CAR-248</t>
  </si>
  <si>
    <t>2023-05-03</t>
  </si>
  <si>
    <t>Gwagwalada-Calabar</t>
  </si>
  <si>
    <t>BUS-928</t>
  </si>
  <si>
    <t>10/10/2023</t>
  </si>
  <si>
    <t>Oyo-Ogbomosho</t>
  </si>
  <si>
    <t>BUS-786</t>
  </si>
  <si>
    <t>2025-01-19</t>
  </si>
  <si>
    <t>Ondo-Kaduna</t>
  </si>
  <si>
    <t>BIKE-461</t>
  </si>
  <si>
    <t>2024-02-19</t>
  </si>
  <si>
    <t>Orlu-Calabar</t>
  </si>
  <si>
    <t>BUS-324</t>
  </si>
  <si>
    <t>Asaba-Keffi</t>
  </si>
  <si>
    <t>BUS-692</t>
  </si>
  <si>
    <t>2023-10-11</t>
  </si>
  <si>
    <t>Enugu-Jos</t>
  </si>
  <si>
    <t>CAR-697</t>
  </si>
  <si>
    <t>14/04/2024</t>
  </si>
  <si>
    <t>Lagos-Awka</t>
  </si>
  <si>
    <t>CAR-816</t>
  </si>
  <si>
    <t>2024/10/23</t>
  </si>
  <si>
    <t>Benin-Umudike</t>
  </si>
  <si>
    <t>CAR-984</t>
  </si>
  <si>
    <t>2024/01/02</t>
  </si>
  <si>
    <t>BUS-206</t>
  </si>
  <si>
    <t>2023/04/12</t>
  </si>
  <si>
    <t>Aba-Gwagwalada</t>
  </si>
  <si>
    <t>2023-09-08</t>
  </si>
  <si>
    <t>Abuja-Owerri</t>
  </si>
  <si>
    <t>CAR-259</t>
  </si>
  <si>
    <t>11/10/2024</t>
  </si>
  <si>
    <t>02/07/2023</t>
  </si>
  <si>
    <t>Ondo-Enugu</t>
  </si>
  <si>
    <t>TRK-645</t>
  </si>
  <si>
    <t>2024/08/12</t>
  </si>
  <si>
    <t>Oyo-Port Harcourt</t>
  </si>
  <si>
    <t>BIKE-426</t>
  </si>
  <si>
    <t>18-02-2024</t>
  </si>
  <si>
    <t>2025/06/18</t>
  </si>
  <si>
    <t>Lagos-Kaduna</t>
  </si>
  <si>
    <t>BIKE-483</t>
  </si>
  <si>
    <t>16-04-2025</t>
  </si>
  <si>
    <t>Zaria-Port Harcourt</t>
  </si>
  <si>
    <t>BIKE-383</t>
  </si>
  <si>
    <t>2024-10-18</t>
  </si>
  <si>
    <t>Umudike-Lagos</t>
  </si>
  <si>
    <t>BIKE-419</t>
  </si>
  <si>
    <t>Uyo-Jos</t>
  </si>
  <si>
    <t>CAR-530</t>
  </si>
  <si>
    <t>2025-06-13</t>
  </si>
  <si>
    <t>Ilorin-Awka</t>
  </si>
  <si>
    <t>TRK-447</t>
  </si>
  <si>
    <t>08/07/2023</t>
  </si>
  <si>
    <t>Ibadan-Jos</t>
  </si>
  <si>
    <t>BIKE-577</t>
  </si>
  <si>
    <t>2023-07-11</t>
  </si>
  <si>
    <t>Zaria-Owerri</t>
  </si>
  <si>
    <t>BIKE-257</t>
  </si>
  <si>
    <t>2024/08/22</t>
  </si>
  <si>
    <t>BUS-732</t>
  </si>
  <si>
    <t>2024-09-19</t>
  </si>
  <si>
    <t>Abuja-Lagos</t>
  </si>
  <si>
    <t>12/02/2023</t>
  </si>
  <si>
    <t>Orlu-Umudike</t>
  </si>
  <si>
    <t>BIKE-108</t>
  </si>
  <si>
    <t>18/10/2024</t>
  </si>
  <si>
    <t>Zaria-Akure</t>
  </si>
  <si>
    <t>BIKE-150</t>
  </si>
  <si>
    <t>16-10-2023</t>
  </si>
  <si>
    <t>TRK-153</t>
  </si>
  <si>
    <t>20-09-2024</t>
  </si>
  <si>
    <t>CAR-257</t>
  </si>
  <si>
    <t>2024-07-02</t>
  </si>
  <si>
    <t>Enugu-Ilorin</t>
  </si>
  <si>
    <t>BIKE-460</t>
  </si>
  <si>
    <t>15-04-2025</t>
  </si>
  <si>
    <t>Akure-Benin</t>
  </si>
  <si>
    <t>BIKE-816</t>
  </si>
  <si>
    <t>14/05/2024</t>
  </si>
  <si>
    <t>Asaba-Ogbomosho</t>
  </si>
  <si>
    <t>BUS-100</t>
  </si>
  <si>
    <t>27-04-2023</t>
  </si>
  <si>
    <t>Ondo-Abuja</t>
  </si>
  <si>
    <t>TRK-585</t>
  </si>
  <si>
    <t>Onitsha-Zaria</t>
  </si>
  <si>
    <t>TRK-546</t>
  </si>
  <si>
    <t>2024-07-10</t>
  </si>
  <si>
    <t>BUS-679</t>
  </si>
  <si>
    <t>2024-11-23</t>
  </si>
  <si>
    <t>Gwagwalada-Ondo</t>
  </si>
  <si>
    <t>BIKE-676</t>
  </si>
  <si>
    <t>2023-08-09</t>
  </si>
  <si>
    <t>Owerri-Port Harcourt</t>
  </si>
  <si>
    <t>BIKE-475</t>
  </si>
  <si>
    <t>27/06/2024</t>
  </si>
  <si>
    <t>Asaba-Aba</t>
  </si>
  <si>
    <t>2024/10/21</t>
  </si>
  <si>
    <t>Orlu-Onitsha</t>
  </si>
  <si>
    <t>TRK-572</t>
  </si>
  <si>
    <t>22-12-2023</t>
  </si>
  <si>
    <t>Owerri-Zaria</t>
  </si>
  <si>
    <t>BIKE-714</t>
  </si>
  <si>
    <t>Umudike-Orlu</t>
  </si>
  <si>
    <t>BUS-638</t>
  </si>
  <si>
    <t>29-05-2024</t>
  </si>
  <si>
    <t>Kaduna-Umudike</t>
  </si>
  <si>
    <t>BIKE-400</t>
  </si>
  <si>
    <t>2024-07-27</t>
  </si>
  <si>
    <t>Orlu-Zaria</t>
  </si>
  <si>
    <t>BUS-161</t>
  </si>
  <si>
    <t>11-07-2024</t>
  </si>
  <si>
    <t>Kano-Awka</t>
  </si>
  <si>
    <t>BUS-847</t>
  </si>
  <si>
    <t>21/05/2024</t>
  </si>
  <si>
    <t>Port Harcourt-Benin</t>
  </si>
  <si>
    <t>TRK-646</t>
  </si>
  <si>
    <t>25/06/2023</t>
  </si>
  <si>
    <t>Calabar-Umudike</t>
  </si>
  <si>
    <t>BUS-811</t>
  </si>
  <si>
    <t>2023/04/13</t>
  </si>
  <si>
    <t>BIKE-979</t>
  </si>
  <si>
    <t>19-01-2023</t>
  </si>
  <si>
    <t>Ondo-Awka</t>
  </si>
  <si>
    <t>CAR-714</t>
  </si>
  <si>
    <t>2023-09-22</t>
  </si>
  <si>
    <t>Akure-Port Harcourt</t>
  </si>
  <si>
    <t>TRK-358</t>
  </si>
  <si>
    <t>2024/06/02</t>
  </si>
  <si>
    <t>Ibadan-Lagos</t>
  </si>
  <si>
    <t>CAR-765</t>
  </si>
  <si>
    <t>2023/03/05</t>
  </si>
  <si>
    <t>Umudike-Ilorin</t>
  </si>
  <si>
    <t>BUS-498</t>
  </si>
  <si>
    <t>2024-09-05</t>
  </si>
  <si>
    <t>BUS-407</t>
  </si>
  <si>
    <t>18/06/2023</t>
  </si>
  <si>
    <t>Ogbomosho-Kaduna</t>
  </si>
  <si>
    <t>BIKE-720</t>
  </si>
  <si>
    <t>07-11-2023</t>
  </si>
  <si>
    <t>Gwagwalada-Aba</t>
  </si>
  <si>
    <t>BUS-951</t>
  </si>
  <si>
    <t>BIKE-832</t>
  </si>
  <si>
    <t>2025-06-04</t>
  </si>
  <si>
    <t>Oyo-Asaba</t>
  </si>
  <si>
    <t>BIKE-547</t>
  </si>
  <si>
    <t>2024/06/23</t>
  </si>
  <si>
    <t>BUS-686</t>
  </si>
  <si>
    <t>2023/04/22</t>
  </si>
  <si>
    <t>Uyo-Orlu</t>
  </si>
  <si>
    <t>TRK-267</t>
  </si>
  <si>
    <t>04/02/2024</t>
  </si>
  <si>
    <t>BUS-187</t>
  </si>
  <si>
    <t>2024-11-05</t>
  </si>
  <si>
    <t>Enugu-Ogbomosho</t>
  </si>
  <si>
    <t>BUS-113</t>
  </si>
  <si>
    <t>04-02-2024</t>
  </si>
  <si>
    <t>Port Harcourt-Orlu</t>
  </si>
  <si>
    <t>BIKE-476</t>
  </si>
  <si>
    <t>2023/06/14</t>
  </si>
  <si>
    <t>Jos-Onitsha</t>
  </si>
  <si>
    <t>BIKE-673</t>
  </si>
  <si>
    <t>07-02-2025</t>
  </si>
  <si>
    <t>Jos-Kano</t>
  </si>
  <si>
    <t>BIKE-950</t>
  </si>
  <si>
    <t>16-10-2024</t>
  </si>
  <si>
    <t>BUS-418</t>
  </si>
  <si>
    <t>2025-04-16</t>
  </si>
  <si>
    <t>BUS-274</t>
  </si>
  <si>
    <t>2023/04/10</t>
  </si>
  <si>
    <t>Ogbomosho-Benin</t>
  </si>
  <si>
    <t>TRK-468</t>
  </si>
  <si>
    <t>21/05/2025</t>
  </si>
  <si>
    <t>Ogbomosho-Awka</t>
  </si>
  <si>
    <t>TRK-574</t>
  </si>
  <si>
    <t>2024/06/27</t>
  </si>
  <si>
    <t>Asaba-Kano</t>
  </si>
  <si>
    <t>TRK-317</t>
  </si>
  <si>
    <t>10-12-2023</t>
  </si>
  <si>
    <t>Ogbomosho-Enugu</t>
  </si>
  <si>
    <t>TRK-603</t>
  </si>
  <si>
    <t>28-12-2024</t>
  </si>
  <si>
    <t>Kano-Keffi</t>
  </si>
  <si>
    <t>BIKE-372</t>
  </si>
  <si>
    <t>2023/03/10</t>
  </si>
  <si>
    <t>Akure-Asaba</t>
  </si>
  <si>
    <t>BUS-425</t>
  </si>
  <si>
    <t>06-05-2025</t>
  </si>
  <si>
    <t>Zaria-Uyo</t>
  </si>
  <si>
    <t>CAR-461</t>
  </si>
  <si>
    <t>Aba-Asaba</t>
  </si>
  <si>
    <t>BUS-400</t>
  </si>
  <si>
    <t>04/11/2024</t>
  </si>
  <si>
    <t>Benin-Ondo</t>
  </si>
  <si>
    <t>BIKE-606</t>
  </si>
  <si>
    <t>Benin-Awka</t>
  </si>
  <si>
    <t>BIKE-866</t>
  </si>
  <si>
    <t>09/05/2025</t>
  </si>
  <si>
    <t>Oyo-Uyo</t>
  </si>
  <si>
    <t>TRK-400</t>
  </si>
  <si>
    <t>Port Harcourt-Ilorin</t>
  </si>
  <si>
    <t>BIKE-817</t>
  </si>
  <si>
    <t>2024-03-17</t>
  </si>
  <si>
    <t>Ogbomosho-Keffi</t>
  </si>
  <si>
    <t>TRK-886</t>
  </si>
  <si>
    <t>02-07-2024</t>
  </si>
  <si>
    <t>Calabar-Enugu</t>
  </si>
  <si>
    <t>CAR-509</t>
  </si>
  <si>
    <t>2023/08/29</t>
  </si>
  <si>
    <t>Port Harcourt-Akure</t>
  </si>
  <si>
    <t>TRK-548</t>
  </si>
  <si>
    <t>2023/06/19</t>
  </si>
  <si>
    <t>TRK-932</t>
  </si>
  <si>
    <t>21-01-2024</t>
  </si>
  <si>
    <t>Zaria-Ilorin</t>
  </si>
  <si>
    <t>2023/12/03</t>
  </si>
  <si>
    <t>Ibadan-Asaba</t>
  </si>
  <si>
    <t>24/07/2024</t>
  </si>
  <si>
    <t>Ibadan-Umudike</t>
  </si>
  <si>
    <t>TRK-749</t>
  </si>
  <si>
    <t>22-04-2024</t>
  </si>
  <si>
    <t>BIKE-616</t>
  </si>
  <si>
    <t>2025-01-24</t>
  </si>
  <si>
    <t>BIKE-957</t>
  </si>
  <si>
    <t>2024-07-05</t>
  </si>
  <si>
    <t>Enugu-Asaba</t>
  </si>
  <si>
    <t>BIKE-360</t>
  </si>
  <si>
    <t>20-05-2025</t>
  </si>
  <si>
    <t>Ibadan-Aba</t>
  </si>
  <si>
    <t>11-06-2023</t>
  </si>
  <si>
    <t>BIKE-679</t>
  </si>
  <si>
    <t>2024/05/16</t>
  </si>
  <si>
    <t>TRK-892</t>
  </si>
  <si>
    <t>2024/03/18</t>
  </si>
  <si>
    <t>Awka-Ibadan</t>
  </si>
  <si>
    <t>BUS-334</t>
  </si>
  <si>
    <t>CAR-203</t>
  </si>
  <si>
    <t>2024/12/15</t>
  </si>
  <si>
    <t>Port Harcourt-Aba</t>
  </si>
  <si>
    <t>27-09-2023</t>
  </si>
  <si>
    <t>Orlu-Aba</t>
  </si>
  <si>
    <t>TRK-573</t>
  </si>
  <si>
    <t>11/04/2025</t>
  </si>
  <si>
    <t>Zaria-Ondo</t>
  </si>
  <si>
    <t>BIKE-268</t>
  </si>
  <si>
    <t>CAR-918</t>
  </si>
  <si>
    <t>23-01-2023</t>
  </si>
  <si>
    <t>TRK-194</t>
  </si>
  <si>
    <t>31-03-2025</t>
  </si>
  <si>
    <t>BUS-814</t>
  </si>
  <si>
    <t>2025-03-24</t>
  </si>
  <si>
    <t>TRK-602</t>
  </si>
  <si>
    <t>22-10-2024</t>
  </si>
  <si>
    <t>Enugu-Orlu</t>
  </si>
  <si>
    <t>BUS-202</t>
  </si>
  <si>
    <t>02/03/2023</t>
  </si>
  <si>
    <t>Jos-Keffi</t>
  </si>
  <si>
    <t>TRK-950</t>
  </si>
  <si>
    <t>2023/03/14</t>
  </si>
  <si>
    <t>Akure-Uyo</t>
  </si>
  <si>
    <t>BUS-682</t>
  </si>
  <si>
    <t>2025-04-17</t>
  </si>
  <si>
    <t>BUS-343</t>
  </si>
  <si>
    <t>26-06-2024</t>
  </si>
  <si>
    <t>CAR-515</t>
  </si>
  <si>
    <t>2024/05/28</t>
  </si>
  <si>
    <t>Owerri-Lagos</t>
  </si>
  <si>
    <t>CAR-284</t>
  </si>
  <si>
    <t>2025-03-12</t>
  </si>
  <si>
    <t>Uyo-Kaduna</t>
  </si>
  <si>
    <t>TRK-237</t>
  </si>
  <si>
    <t>2023-07-17</t>
  </si>
  <si>
    <t>BIKE-848</t>
  </si>
  <si>
    <t>Gwagwalada-Ilorin</t>
  </si>
  <si>
    <t>CAR-356</t>
  </si>
  <si>
    <t>2024-10-02</t>
  </si>
  <si>
    <t>CAR-778</t>
  </si>
  <si>
    <t>13/06/2024</t>
  </si>
  <si>
    <t>BUS-712</t>
  </si>
  <si>
    <t>15-10-2024</t>
  </si>
  <si>
    <t>Benin-Akure</t>
  </si>
  <si>
    <t>BIKE-603</t>
  </si>
  <si>
    <t>25-03-2024</t>
  </si>
  <si>
    <t>BIKE-809</t>
  </si>
  <si>
    <t>2023-05-16</t>
  </si>
  <si>
    <t>Uyo-Ilorin</t>
  </si>
  <si>
    <t>TRK-213</t>
  </si>
  <si>
    <t>11/03/2024</t>
  </si>
  <si>
    <t>CAR-735</t>
  </si>
  <si>
    <t>08-05-2023</t>
  </si>
  <si>
    <t>Orlu-Gwagwalada</t>
  </si>
  <si>
    <t>BIKE-240</t>
  </si>
  <si>
    <t>2024/04/02</t>
  </si>
  <si>
    <t>Ondo-Jos</t>
  </si>
  <si>
    <t>BUS-292</t>
  </si>
  <si>
    <t>2023/09/13</t>
  </si>
  <si>
    <t>Abuja-Onitsha</t>
  </si>
  <si>
    <t>BIKE-434</t>
  </si>
  <si>
    <t>2024/05/07</t>
  </si>
  <si>
    <t>Enugu-Port Harcourt</t>
  </si>
  <si>
    <t>BUS-912</t>
  </si>
  <si>
    <t>2024/08/27</t>
  </si>
  <si>
    <t>CAR-260</t>
  </si>
  <si>
    <t>13-11-2024</t>
  </si>
  <si>
    <t>Aba-Ogbomosho</t>
  </si>
  <si>
    <t>TRK-626</t>
  </si>
  <si>
    <t>2025/05/31</t>
  </si>
  <si>
    <t>Keffi-Calabar</t>
  </si>
  <si>
    <t>BUS-652</t>
  </si>
  <si>
    <t>25/06/2024</t>
  </si>
  <si>
    <t>TRK-474</t>
  </si>
  <si>
    <t>26-04-2025</t>
  </si>
  <si>
    <t>Ondo-Ilorin</t>
  </si>
  <si>
    <t>CAR-310</t>
  </si>
  <si>
    <t>2025/03/21</t>
  </si>
  <si>
    <t>2024/11/20</t>
  </si>
  <si>
    <t>BIKE-469</t>
  </si>
  <si>
    <t>06/07/2024</t>
  </si>
  <si>
    <t>Ilorin-Uyo</t>
  </si>
  <si>
    <t>BIKE-780</t>
  </si>
  <si>
    <t>Port Harcourt-Ogbomosho</t>
  </si>
  <si>
    <t>BUS-956</t>
  </si>
  <si>
    <t>07/10/2023</t>
  </si>
  <si>
    <t>Aba-Ondo</t>
  </si>
  <si>
    <t>CAR-238</t>
  </si>
  <si>
    <t>2024/10/31</t>
  </si>
  <si>
    <t>Jos-Asaba</t>
  </si>
  <si>
    <t>BUS-345</t>
  </si>
  <si>
    <t>2023-06-28</t>
  </si>
  <si>
    <t>Uyo-Oyo</t>
  </si>
  <si>
    <t>BUS-389</t>
  </si>
  <si>
    <t>01/02/2025</t>
  </si>
  <si>
    <t>Lagos-Uyo</t>
  </si>
  <si>
    <t>Enugu-Zaria</t>
  </si>
  <si>
    <t>BUS-963</t>
  </si>
  <si>
    <t>2023-06-30</t>
  </si>
  <si>
    <t>Ibadan-Akure</t>
  </si>
  <si>
    <t>2025-03-04</t>
  </si>
  <si>
    <t>Abuja-Ondo</t>
  </si>
  <si>
    <t>TRK-651</t>
  </si>
  <si>
    <t>Akure-Owerri</t>
  </si>
  <si>
    <t>TRK-398</t>
  </si>
  <si>
    <t>26/02/2025</t>
  </si>
  <si>
    <t>Ibadan-Port Harcourt</t>
  </si>
  <si>
    <t>17/02/2023</t>
  </si>
  <si>
    <t>BUS-772</t>
  </si>
  <si>
    <t>17-09-2024</t>
  </si>
  <si>
    <t>Ilorin-Ogbomosho</t>
  </si>
  <si>
    <t>BIKE-873</t>
  </si>
  <si>
    <t>23/04/2024</t>
  </si>
  <si>
    <t>BIKE-474</t>
  </si>
  <si>
    <t>18/11/2023</t>
  </si>
  <si>
    <t>BIKE-105</t>
  </si>
  <si>
    <t>2023/11/30</t>
  </si>
  <si>
    <t>Ogbomosho-Uyo</t>
  </si>
  <si>
    <t>TRK-840</t>
  </si>
  <si>
    <t>18-03-2024</t>
  </si>
  <si>
    <t>Orlu-Uyo</t>
  </si>
  <si>
    <t>CAR-116</t>
  </si>
  <si>
    <t>2024-03-27</t>
  </si>
  <si>
    <t>Umudike-Aba</t>
  </si>
  <si>
    <t>CAR-686</t>
  </si>
  <si>
    <t>20-11-2024</t>
  </si>
  <si>
    <t>BIKE-779</t>
  </si>
  <si>
    <t>2023-06-02</t>
  </si>
  <si>
    <t>Umudike-Gwagwalada</t>
  </si>
  <si>
    <t>2023-07-07</t>
  </si>
  <si>
    <t>TRK-859</t>
  </si>
  <si>
    <t>10/11/2023</t>
  </si>
  <si>
    <t>Asaba-Ondo</t>
  </si>
  <si>
    <t>TRK-138</t>
  </si>
  <si>
    <t>Abuja-Zaria</t>
  </si>
  <si>
    <t>CAR-975</t>
  </si>
  <si>
    <t>BUS-955</t>
  </si>
  <si>
    <t>2025-03-30</t>
  </si>
  <si>
    <t>Ibadan-Benin</t>
  </si>
  <si>
    <t>TRK-543</t>
  </si>
  <si>
    <t>2023-08-04</t>
  </si>
  <si>
    <t>Oyo-Keffi</t>
  </si>
  <si>
    <t>BIKE-827</t>
  </si>
  <si>
    <t>2023/02/25</t>
  </si>
  <si>
    <t>Gwagwalada-Kaduna</t>
  </si>
  <si>
    <t>TRK-239</t>
  </si>
  <si>
    <t>02/11/2023</t>
  </si>
  <si>
    <t>Umudike-Owerri</t>
  </si>
  <si>
    <t>25-10-2024</t>
  </si>
  <si>
    <t>Aba-Akure</t>
  </si>
  <si>
    <t>2023/07/01</t>
  </si>
  <si>
    <t>Keffi-Onitsha</t>
  </si>
  <si>
    <t>CAR-866</t>
  </si>
  <si>
    <t>06/09/2023</t>
  </si>
  <si>
    <t>BIKE-394</t>
  </si>
  <si>
    <t>08/03/2025</t>
  </si>
  <si>
    <t>CAR-564</t>
  </si>
  <si>
    <t>19/09/2023</t>
  </si>
  <si>
    <t>Kano-Port Harcourt</t>
  </si>
  <si>
    <t>CAR-887</t>
  </si>
  <si>
    <t>CAR-276</t>
  </si>
  <si>
    <t>CAR-889</t>
  </si>
  <si>
    <t>14/05/2023</t>
  </si>
  <si>
    <t>Ilorin-Calabar</t>
  </si>
  <si>
    <t>TRK-142</t>
  </si>
  <si>
    <t>2025/05/29</t>
  </si>
  <si>
    <t>Jos-Zaria</t>
  </si>
  <si>
    <t>TRK-464</t>
  </si>
  <si>
    <t>2023-08-19</t>
  </si>
  <si>
    <t>TRK-411</t>
  </si>
  <si>
    <t>13-09-2023</t>
  </si>
  <si>
    <t>Uyo-Ibadan</t>
  </si>
  <si>
    <t>TRK-459</t>
  </si>
  <si>
    <t>Oyo-Umudike</t>
  </si>
  <si>
    <t>BUS-971</t>
  </si>
  <si>
    <t>18-04-2023</t>
  </si>
  <si>
    <t>Ogbomosho-Lagos</t>
  </si>
  <si>
    <t>BIKE-761</t>
  </si>
  <si>
    <t>2025/02/23</t>
  </si>
  <si>
    <t>BIKE-788</t>
  </si>
  <si>
    <t>BIKE-718</t>
  </si>
  <si>
    <t>15-11-2023</t>
  </si>
  <si>
    <t>Onitsha-Awka</t>
  </si>
  <si>
    <t>BIKE-301</t>
  </si>
  <si>
    <t>Zaria-Orlu</t>
  </si>
  <si>
    <t>BIKE-259</t>
  </si>
  <si>
    <t>2023/12/23</t>
  </si>
  <si>
    <t>BIKE-890</t>
  </si>
  <si>
    <t>2023/12/11</t>
  </si>
  <si>
    <t>Kano-Asaba</t>
  </si>
  <si>
    <t>BUS-989</t>
  </si>
  <si>
    <t>2024-10-01</t>
  </si>
  <si>
    <t>Abuja-Kaduna</t>
  </si>
  <si>
    <t>15-07-2024</t>
  </si>
  <si>
    <t>Akure-Orlu</t>
  </si>
  <si>
    <t>BUS-463</t>
  </si>
  <si>
    <t>2024-08-11</t>
  </si>
  <si>
    <t>CAR-560</t>
  </si>
  <si>
    <t>2024/12/26</t>
  </si>
  <si>
    <t>Aba-Uyo</t>
  </si>
  <si>
    <t>CAR-234</t>
  </si>
  <si>
    <t>2023-08-18</t>
  </si>
  <si>
    <t>Keffi-Ogbomosho</t>
  </si>
  <si>
    <t>BUS-707</t>
  </si>
  <si>
    <t>2024-10-21</t>
  </si>
  <si>
    <t>TRK-589</t>
  </si>
  <si>
    <t>2025/04/24</t>
  </si>
  <si>
    <t>Kaduna-Jos</t>
  </si>
  <si>
    <t>CAR-877</t>
  </si>
  <si>
    <t>11/04/2023</t>
  </si>
  <si>
    <t>Benin-Calabar</t>
  </si>
  <si>
    <t>CAR-719</t>
  </si>
  <si>
    <t>02/09/2023</t>
  </si>
  <si>
    <t>Zaria-Kaduna</t>
  </si>
  <si>
    <t>BIKE-923</t>
  </si>
  <si>
    <t>08/10/2023</t>
  </si>
  <si>
    <t>Calabar-Lagos</t>
  </si>
  <si>
    <t>TRK-189</t>
  </si>
  <si>
    <t>03/08/2024</t>
  </si>
  <si>
    <t>Zaria-Umudike</t>
  </si>
  <si>
    <t>BIKE-782</t>
  </si>
  <si>
    <t>2023-07-26</t>
  </si>
  <si>
    <t>Ilorin-Aba</t>
  </si>
  <si>
    <t>CAR-472</t>
  </si>
  <si>
    <t>22-11-2023</t>
  </si>
  <si>
    <t>BIKE-567</t>
  </si>
  <si>
    <t>2023/05/12</t>
  </si>
  <si>
    <t>BUS-766</t>
  </si>
  <si>
    <t>19-11-2024</t>
  </si>
  <si>
    <t>Onitsha-Jos</t>
  </si>
  <si>
    <t>CAR-438</t>
  </si>
  <si>
    <t>2025-03-26</t>
  </si>
  <si>
    <t>Abuja-Ogbomosho</t>
  </si>
  <si>
    <t>CAR-935</t>
  </si>
  <si>
    <t>Awka-Owerri</t>
  </si>
  <si>
    <t>TRK-407</t>
  </si>
  <si>
    <t>2024/08/11</t>
  </si>
  <si>
    <t>Umudike-Jos</t>
  </si>
  <si>
    <t>TRK-581</t>
  </si>
  <si>
    <t>2023-10-02</t>
  </si>
  <si>
    <t>Owerri-Asaba</t>
  </si>
  <si>
    <t>CAR-474</t>
  </si>
  <si>
    <t>03-05-2024</t>
  </si>
  <si>
    <t>Keffi-Jos</t>
  </si>
  <si>
    <t>CAR-351</t>
  </si>
  <si>
    <t>2023-03-31</t>
  </si>
  <si>
    <t>Zaria-Abuja</t>
  </si>
  <si>
    <t>CAR-783</t>
  </si>
  <si>
    <t>Port Harcourt-Calabar</t>
  </si>
  <si>
    <t>CAR-243</t>
  </si>
  <si>
    <t>02-07-2023</t>
  </si>
  <si>
    <t>Umudike-Asaba</t>
  </si>
  <si>
    <t>BUS-844</t>
  </si>
  <si>
    <t>08-03-2025</t>
  </si>
  <si>
    <t>Onitsha-Owerri</t>
  </si>
  <si>
    <t>BIKE-862</t>
  </si>
  <si>
    <t>2024/01/16</t>
  </si>
  <si>
    <t>Port Harcourt-Umudike</t>
  </si>
  <si>
    <t>BIKE-895</t>
  </si>
  <si>
    <t>22/09/2024</t>
  </si>
  <si>
    <t>BUS-590</t>
  </si>
  <si>
    <t>09-12-2024</t>
  </si>
  <si>
    <t>2024-08-28</t>
  </si>
  <si>
    <t>Umudike-Ogbomosho</t>
  </si>
  <si>
    <t>TRK-529</t>
  </si>
  <si>
    <t>BUS-490</t>
  </si>
  <si>
    <t>2023-11-14</t>
  </si>
  <si>
    <t>Enugu-Ondo</t>
  </si>
  <si>
    <t>BIKE-527</t>
  </si>
  <si>
    <t>2025/03/31</t>
  </si>
  <si>
    <t>CAR-766</t>
  </si>
  <si>
    <t>16/08/2024</t>
  </si>
  <si>
    <t>2024/03/22</t>
  </si>
  <si>
    <t>TRK-456</t>
  </si>
  <si>
    <t>21-02-2024</t>
  </si>
  <si>
    <t>Calabar-Akure</t>
  </si>
  <si>
    <t>TRK-277</t>
  </si>
  <si>
    <t>30-07-2023</t>
  </si>
  <si>
    <t>TRK-226</t>
  </si>
  <si>
    <t>2025-03-14</t>
  </si>
  <si>
    <t>Ibadan-Gwagwalada</t>
  </si>
  <si>
    <t>BIKE-613</t>
  </si>
  <si>
    <t>2025-03-03</t>
  </si>
  <si>
    <t>CAR-199</t>
  </si>
  <si>
    <t>22-02-2023</t>
  </si>
  <si>
    <t>BIKE-615</t>
  </si>
  <si>
    <t>Ilorin-Orlu</t>
  </si>
  <si>
    <t>CAR-572</t>
  </si>
  <si>
    <t>05-04-2024</t>
  </si>
  <si>
    <t>CAR-541</t>
  </si>
  <si>
    <t>13/11/2024</t>
  </si>
  <si>
    <t>Ondo-Benin</t>
  </si>
  <si>
    <t>CAR-810</t>
  </si>
  <si>
    <t>2025/03/14</t>
  </si>
  <si>
    <t>Abuja-Calabar</t>
  </si>
  <si>
    <t>CAR-537</t>
  </si>
  <si>
    <t>2024-07-19</t>
  </si>
  <si>
    <t>Abuja-Benin</t>
  </si>
  <si>
    <t>BIKE-934</t>
  </si>
  <si>
    <t>28-01-2024</t>
  </si>
  <si>
    <t>Kaduna-Gwagwalada</t>
  </si>
  <si>
    <t>BIKE-649</t>
  </si>
  <si>
    <t>13/08/2023</t>
  </si>
  <si>
    <t>BUS-622</t>
  </si>
  <si>
    <t>24/10/2024</t>
  </si>
  <si>
    <t>Zaria-Enugu</t>
  </si>
  <si>
    <t>BUS-561</t>
  </si>
  <si>
    <t>2025-05-05</t>
  </si>
  <si>
    <t>Ilorin-Akure</t>
  </si>
  <si>
    <t>2025-03-01</t>
  </si>
  <si>
    <t>BUS-341</t>
  </si>
  <si>
    <t>21/10/2023</t>
  </si>
  <si>
    <t>TRK-647</t>
  </si>
  <si>
    <t>2023/04/19</t>
  </si>
  <si>
    <t>TRK-396</t>
  </si>
  <si>
    <t>Abuja-Umudike</t>
  </si>
  <si>
    <t>BUS-922</t>
  </si>
  <si>
    <t>2023/05/18</t>
  </si>
  <si>
    <t>BUS-509</t>
  </si>
  <si>
    <t>2024-11-09</t>
  </si>
  <si>
    <t>Gwagwalada-Port Harcourt</t>
  </si>
  <si>
    <t>20-03-2023</t>
  </si>
  <si>
    <t>Ondo-Gwagwalada</t>
  </si>
  <si>
    <t>BIKE-124</t>
  </si>
  <si>
    <t>Enugu-Lagos</t>
  </si>
  <si>
    <t>TRK-313</t>
  </si>
  <si>
    <t>09/11/2024</t>
  </si>
  <si>
    <t>Kano-Ilorin</t>
  </si>
  <si>
    <t>BUS-938</t>
  </si>
  <si>
    <t>16/03/2024</t>
  </si>
  <si>
    <t>2023-10-12</t>
  </si>
  <si>
    <t>BIKE-762</t>
  </si>
  <si>
    <t>04-07-2023</t>
  </si>
  <si>
    <t>Asaba-Kaduna</t>
  </si>
  <si>
    <t>CAR-159</t>
  </si>
  <si>
    <t>27/11/2023</t>
  </si>
  <si>
    <t>CAR-542</t>
  </si>
  <si>
    <t>2023/06/07</t>
  </si>
  <si>
    <t>Benin-Port Harcourt</t>
  </si>
  <si>
    <t>BIKE-954</t>
  </si>
  <si>
    <t>24/03/2025</t>
  </si>
  <si>
    <t>Ogbomosho-Ondo</t>
  </si>
  <si>
    <t>BUS-632</t>
  </si>
  <si>
    <t>04-03-2023</t>
  </si>
  <si>
    <t>TRK-385</t>
  </si>
  <si>
    <t>2024-08-21</t>
  </si>
  <si>
    <t>Gwagwalada-Enugu</t>
  </si>
  <si>
    <t>27-12-2024</t>
  </si>
  <si>
    <t>BIKE-500</t>
  </si>
  <si>
    <t>2023-04-04</t>
  </si>
  <si>
    <t>Awka-Abuja</t>
  </si>
  <si>
    <t>CAR-146</t>
  </si>
  <si>
    <t>2024-04-16</t>
  </si>
  <si>
    <t>Awka-Zaria</t>
  </si>
  <si>
    <t>BUS-898</t>
  </si>
  <si>
    <t>2023-10-16</t>
  </si>
  <si>
    <t>Keffi-Umudike</t>
  </si>
  <si>
    <t>BUS-763</t>
  </si>
  <si>
    <t>Aba-Port Harcourt</t>
  </si>
  <si>
    <t>CAR-299</t>
  </si>
  <si>
    <t>08/10/2024</t>
  </si>
  <si>
    <t>TRK-295</t>
  </si>
  <si>
    <t>CAR-119</t>
  </si>
  <si>
    <t>2024-03-02</t>
  </si>
  <si>
    <t>Umudike-Onitsha</t>
  </si>
  <si>
    <t>TRK-751</t>
  </si>
  <si>
    <t>2024-10-08</t>
  </si>
  <si>
    <t>CAR-578</t>
  </si>
  <si>
    <t>05-08-2024</t>
  </si>
  <si>
    <t>Uyo-Calabar</t>
  </si>
  <si>
    <t>TRK-607</t>
  </si>
  <si>
    <t>12/01/2024</t>
  </si>
  <si>
    <t>Awka-Oyo</t>
  </si>
  <si>
    <t>BUS-209</t>
  </si>
  <si>
    <t>12-10-2024</t>
  </si>
  <si>
    <t>Abuja-Kano</t>
  </si>
  <si>
    <t>BUS-491</t>
  </si>
  <si>
    <t>2024-02-10</t>
  </si>
  <si>
    <t>CAR-709</t>
  </si>
  <si>
    <t>14/06/2023</t>
  </si>
  <si>
    <t>Abuja-Aba</t>
  </si>
  <si>
    <t>2024-03-23</t>
  </si>
  <si>
    <t>Umudike-Oyo</t>
  </si>
  <si>
    <t>TRK-870</t>
  </si>
  <si>
    <t>13/02/2023</t>
  </si>
  <si>
    <t>Lagos-Onitsha</t>
  </si>
  <si>
    <t>BIKE-279</t>
  </si>
  <si>
    <t>25-03-2023</t>
  </si>
  <si>
    <t>Ibadan-Enugu</t>
  </si>
  <si>
    <t>BIKE-872</t>
  </si>
  <si>
    <t>05-12-2024</t>
  </si>
  <si>
    <t>TRK-327</t>
  </si>
  <si>
    <t>2025/03/11</t>
  </si>
  <si>
    <t>Awka-Kaduna</t>
  </si>
  <si>
    <t>BUS-663</t>
  </si>
  <si>
    <t>03-01-2024</t>
  </si>
  <si>
    <t>Asaba-Zaria</t>
  </si>
  <si>
    <t>2023/07/23</t>
  </si>
  <si>
    <t>BUS-770</t>
  </si>
  <si>
    <t>25-06-2024</t>
  </si>
  <si>
    <t>Umudike-Calabar</t>
  </si>
  <si>
    <t>TRK-101</t>
  </si>
  <si>
    <t>2025-02-19</t>
  </si>
  <si>
    <t>TRK-533</t>
  </si>
  <si>
    <t>19-08-2024</t>
  </si>
  <si>
    <t>Ogbomosho-Port Harcourt</t>
  </si>
  <si>
    <t>CAR-910</t>
  </si>
  <si>
    <t>15/07/2023</t>
  </si>
  <si>
    <t>Benin-Abuja</t>
  </si>
  <si>
    <t>BUS-546</t>
  </si>
  <si>
    <t>03-02-2023</t>
  </si>
  <si>
    <t>Oyo-Orlu</t>
  </si>
  <si>
    <t>2025/02/06</t>
  </si>
  <si>
    <t>Kano-Kaduna</t>
  </si>
  <si>
    <t>TRK-460</t>
  </si>
  <si>
    <t>14/09/2024</t>
  </si>
  <si>
    <t>TRK-382</t>
  </si>
  <si>
    <t>2023/04/26</t>
  </si>
  <si>
    <t>Uyo-Enugu</t>
  </si>
  <si>
    <t>BIKE-711</t>
  </si>
  <si>
    <t>16/01/2025</t>
  </si>
  <si>
    <t>Ondo-Umudike</t>
  </si>
  <si>
    <t>BUS-990</t>
  </si>
  <si>
    <t>2023-05-09</t>
  </si>
  <si>
    <t>BIKE-716</t>
  </si>
  <si>
    <t>2024-12-26</t>
  </si>
  <si>
    <t>CAR-481</t>
  </si>
  <si>
    <t>2024/08/17</t>
  </si>
  <si>
    <t>Enugu-Calabar</t>
  </si>
  <si>
    <t>CAR-651</t>
  </si>
  <si>
    <t>29/09/2024</t>
  </si>
  <si>
    <t>TRK-483</t>
  </si>
  <si>
    <t>11-11-2024</t>
  </si>
  <si>
    <t>BUS-984</t>
  </si>
  <si>
    <t>04/03/2023</t>
  </si>
  <si>
    <t>BUS-493</t>
  </si>
  <si>
    <t>08-08-2024</t>
  </si>
  <si>
    <t>Ibadan-Zaria</t>
  </si>
  <si>
    <t>TRK-439</t>
  </si>
  <si>
    <t>CAR-569</t>
  </si>
  <si>
    <t>04/11/2023</t>
  </si>
  <si>
    <t>2023/05/19</t>
  </si>
  <si>
    <t>BIKE-403</t>
  </si>
  <si>
    <t>2025/05/12</t>
  </si>
  <si>
    <t>BUS-124</t>
  </si>
  <si>
    <t>2023-02-24</t>
  </si>
  <si>
    <t>Ibadan-Kaduna</t>
  </si>
  <si>
    <t>TRK-686</t>
  </si>
  <si>
    <t>08-06-2025</t>
  </si>
  <si>
    <t>Onitsha-Port Harcourt</t>
  </si>
  <si>
    <t>TRK-550</t>
  </si>
  <si>
    <t>07-05-2024</t>
  </si>
  <si>
    <t>Ilorin-Zaria</t>
  </si>
  <si>
    <t>10/01/2025</t>
  </si>
  <si>
    <t>CAR-136</t>
  </si>
  <si>
    <t>2023/07/12</t>
  </si>
  <si>
    <t>BUS-930</t>
  </si>
  <si>
    <t>19-03-2023</t>
  </si>
  <si>
    <t>Gwagwalada-Keffi</t>
  </si>
  <si>
    <t>BUS-794</t>
  </si>
  <si>
    <t>2025/02/12</t>
  </si>
  <si>
    <t>TRK-478</t>
  </si>
  <si>
    <t>29-07-2024</t>
  </si>
  <si>
    <t>Jos-Ilorin</t>
  </si>
  <si>
    <t>BUS-359</t>
  </si>
  <si>
    <t>Orlu-Kaduna</t>
  </si>
  <si>
    <t>CAR-948</t>
  </si>
  <si>
    <t>12/01/2023</t>
  </si>
  <si>
    <t>TRK-952</t>
  </si>
  <si>
    <t>2024/05/01</t>
  </si>
  <si>
    <t>BUS-153</t>
  </si>
  <si>
    <t>23-04-2024</t>
  </si>
  <si>
    <t>Abuja-Asaba</t>
  </si>
  <si>
    <t>2024/06/15</t>
  </si>
  <si>
    <t>Calabar-Aba</t>
  </si>
  <si>
    <t>CAR-506</t>
  </si>
  <si>
    <t>2025-01-08</t>
  </si>
  <si>
    <t>Asaba-Ilorin</t>
  </si>
  <si>
    <t>CAR-540</t>
  </si>
  <si>
    <t>Onitsha-Akure</t>
  </si>
  <si>
    <t>TRK-953</t>
  </si>
  <si>
    <t>BUS-521</t>
  </si>
  <si>
    <t>2023/02/19</t>
  </si>
  <si>
    <t>TRK-665</t>
  </si>
  <si>
    <t>18-06-2024</t>
  </si>
  <si>
    <t>Calabar-Port Harcourt</t>
  </si>
  <si>
    <t>TRK-606</t>
  </si>
  <si>
    <t>2023/06/13</t>
  </si>
  <si>
    <t>Owerri-Gwagwalada</t>
  </si>
  <si>
    <t>CAR-996</t>
  </si>
  <si>
    <t>20-07-2024</t>
  </si>
  <si>
    <t>CAR-679</t>
  </si>
  <si>
    <t>2024-08-17</t>
  </si>
  <si>
    <t>Awka-Port Harcourt</t>
  </si>
  <si>
    <t>01/04/2025</t>
  </si>
  <si>
    <t>Port Harcourt-Uyo</t>
  </si>
  <si>
    <t>BUS-237</t>
  </si>
  <si>
    <t>21-10-2024</t>
  </si>
  <si>
    <t>2023-04-11</t>
  </si>
  <si>
    <t>BIKE-457</t>
  </si>
  <si>
    <t>2025-01-26</t>
  </si>
  <si>
    <t>Kaduna-Kano</t>
  </si>
  <si>
    <t>CAR-723</t>
  </si>
  <si>
    <t>02-05-2024</t>
  </si>
  <si>
    <t>24-02-2024</t>
  </si>
  <si>
    <t>TRK-901</t>
  </si>
  <si>
    <t>01-02-2023</t>
  </si>
  <si>
    <t>Kano-Jos</t>
  </si>
  <si>
    <t>TRK-799</t>
  </si>
  <si>
    <t>2025-05-18</t>
  </si>
  <si>
    <t>TRK-162</t>
  </si>
  <si>
    <t>Aba-Keffi</t>
  </si>
  <si>
    <t>TRK-160</t>
  </si>
  <si>
    <t>22/01/2025</t>
  </si>
  <si>
    <t>BUS-722</t>
  </si>
  <si>
    <t>BUS-311</t>
  </si>
  <si>
    <t>22/06/2023</t>
  </si>
  <si>
    <t>Awka-Lagos</t>
  </si>
  <si>
    <t>BUS-142</t>
  </si>
  <si>
    <t>04/02/2023</t>
  </si>
  <si>
    <t>Kaduna-Awka</t>
  </si>
  <si>
    <t>TRK-320</t>
  </si>
  <si>
    <t>11-09-2024</t>
  </si>
  <si>
    <t>TRK-851</t>
  </si>
  <si>
    <t>06/11/2024</t>
  </si>
  <si>
    <t>Keffi-Aba</t>
  </si>
  <si>
    <t>TRK-146</t>
  </si>
  <si>
    <t>11/05/2023</t>
  </si>
  <si>
    <t>Awka-Enugu</t>
  </si>
  <si>
    <t>BUS-448</t>
  </si>
  <si>
    <t>2023/11/05</t>
  </si>
  <si>
    <t>Ogbomosho-Aba</t>
  </si>
  <si>
    <t>BIKE-246</t>
  </si>
  <si>
    <t>02-01-2025</t>
  </si>
  <si>
    <t>CAR-169</t>
  </si>
  <si>
    <t>12/05/2024</t>
  </si>
  <si>
    <t>TRK-438</t>
  </si>
  <si>
    <t>23/03/2023</t>
  </si>
  <si>
    <t>Lagos-Port Harcourt</t>
  </si>
  <si>
    <t>17-01-2023</t>
  </si>
  <si>
    <t>Gwagwalada-Oyo</t>
  </si>
  <si>
    <t>2024-12-20</t>
  </si>
  <si>
    <t>BUS-504</t>
  </si>
  <si>
    <t>26/05/2023</t>
  </si>
  <si>
    <t>Ogbomosho-Ibadan</t>
  </si>
  <si>
    <t>BIKE-904</t>
  </si>
  <si>
    <t>Aba-Abuja</t>
  </si>
  <si>
    <t>BIKE-125</t>
  </si>
  <si>
    <t>Akure-Onitsha</t>
  </si>
  <si>
    <t>TRK-268</t>
  </si>
  <si>
    <t>2025/01/07</t>
  </si>
  <si>
    <t>CAR-401</t>
  </si>
  <si>
    <t>26-05-2024</t>
  </si>
  <si>
    <t>BUS-543</t>
  </si>
  <si>
    <t>15/10/2023</t>
  </si>
  <si>
    <t>Onitsha-Enugu</t>
  </si>
  <si>
    <t>TRK-488</t>
  </si>
  <si>
    <t>2025-06-09</t>
  </si>
  <si>
    <t>Orlu-Akure</t>
  </si>
  <si>
    <t>BIKE-412</t>
  </si>
  <si>
    <t>2023/09/18</t>
  </si>
  <si>
    <t>Calabar-Ogbomosho</t>
  </si>
  <si>
    <t>BUS-765</t>
  </si>
  <si>
    <t>Keffi-Awka</t>
  </si>
  <si>
    <t>BIKE-586</t>
  </si>
  <si>
    <t>2024/12/10</t>
  </si>
  <si>
    <t>Umudike-Enugu</t>
  </si>
  <si>
    <t>TRK-834</t>
  </si>
  <si>
    <t>2025/05/21</t>
  </si>
  <si>
    <t>BUS-560</t>
  </si>
  <si>
    <t>Port Harcourt-Gwagwalada</t>
  </si>
  <si>
    <t>2023-02-02</t>
  </si>
  <si>
    <t>Owerri-Ilorin</t>
  </si>
  <si>
    <t>CAR-196</t>
  </si>
  <si>
    <t>2025/01/11</t>
  </si>
  <si>
    <t>Onitsha-Calabar</t>
  </si>
  <si>
    <t>BUS-261</t>
  </si>
  <si>
    <t>2024-03-24</t>
  </si>
  <si>
    <t>Lagos-Ilorin</t>
  </si>
  <si>
    <t>13/11/2023</t>
  </si>
  <si>
    <t>Lagos-Gwagwalada</t>
  </si>
  <si>
    <t>BIKE-173</t>
  </si>
  <si>
    <t>2024/11/09</t>
  </si>
  <si>
    <t>Ondo-Owerri</t>
  </si>
  <si>
    <t>TRK-238</t>
  </si>
  <si>
    <t>2024/05/19</t>
  </si>
  <si>
    <t>Ilorin-Owerri</t>
  </si>
  <si>
    <t>BUS-101</t>
  </si>
  <si>
    <t>2023-12-06</t>
  </si>
  <si>
    <t>BUS-488</t>
  </si>
  <si>
    <t>2025-03-28</t>
  </si>
  <si>
    <t>BUS-751</t>
  </si>
  <si>
    <t>2024-02-02</t>
  </si>
  <si>
    <t>CAR-222</t>
  </si>
  <si>
    <t>2024/09/12</t>
  </si>
  <si>
    <t>20-05-2024</t>
  </si>
  <si>
    <t>Kaduna-Ilorin</t>
  </si>
  <si>
    <t>2023/07/17</t>
  </si>
  <si>
    <t>TRK-219</t>
  </si>
  <si>
    <t>25-02-2023</t>
  </si>
  <si>
    <t>Kano-Lagos</t>
  </si>
  <si>
    <t>BUS-897</t>
  </si>
  <si>
    <t>2023/05/28</t>
  </si>
  <si>
    <t>BIKE-237</t>
  </si>
  <si>
    <t>Kano-Calabar</t>
  </si>
  <si>
    <t>CAR-205</t>
  </si>
  <si>
    <t>2024-04-13</t>
  </si>
  <si>
    <t>Ondo-Port Harcourt</t>
  </si>
  <si>
    <t>27-02-2023</t>
  </si>
  <si>
    <t>BIKE-995</t>
  </si>
  <si>
    <t>19/01/2025</t>
  </si>
  <si>
    <t>Zaria-Kano</t>
  </si>
  <si>
    <t>TRK-326</t>
  </si>
  <si>
    <t>2023/01/28</t>
  </si>
  <si>
    <t>BIKE-587</t>
  </si>
  <si>
    <t>07-08-2024</t>
  </si>
  <si>
    <t>BIKE-144</t>
  </si>
  <si>
    <t>06/01/2023</t>
  </si>
  <si>
    <t>Onitsha-Oyo</t>
  </si>
  <si>
    <t>CAR-586</t>
  </si>
  <si>
    <t>27-01-2023</t>
  </si>
  <si>
    <t>Uyo-Owerri</t>
  </si>
  <si>
    <t>BUS-412</t>
  </si>
  <si>
    <t>24-06-2024</t>
  </si>
  <si>
    <t>TRK-826</t>
  </si>
  <si>
    <t>2025-05-31</t>
  </si>
  <si>
    <t>Owerri-Abuja</t>
  </si>
  <si>
    <t>TRK-161</t>
  </si>
  <si>
    <t>BUS-323</t>
  </si>
  <si>
    <t>31-10-2023</t>
  </si>
  <si>
    <t>Oyo-Calabar</t>
  </si>
  <si>
    <t>BIKE-560</t>
  </si>
  <si>
    <t>2025/03/26</t>
  </si>
  <si>
    <t>Ilorin-Kaduna</t>
  </si>
  <si>
    <t>BUS-410</t>
  </si>
  <si>
    <t>05/02/2023</t>
  </si>
  <si>
    <t>TRK-866</t>
  </si>
  <si>
    <t>2024-01-27</t>
  </si>
  <si>
    <t>TRK-699</t>
  </si>
  <si>
    <t>18-03-2023</t>
  </si>
  <si>
    <t>BIKE-674</t>
  </si>
  <si>
    <t>30/03/2024</t>
  </si>
  <si>
    <t>2023-08-15</t>
  </si>
  <si>
    <t>BUS-587</t>
  </si>
  <si>
    <t>BIKE-727</t>
  </si>
  <si>
    <t>2025-02-21</t>
  </si>
  <si>
    <t>Oyo-Gwagwalada</t>
  </si>
  <si>
    <t>CAR-228</t>
  </si>
  <si>
    <t>25/05/2025</t>
  </si>
  <si>
    <t>Kano-Akure</t>
  </si>
  <si>
    <t>CAR-147</t>
  </si>
  <si>
    <t>2023/10/30</t>
  </si>
  <si>
    <t>BUS-552</t>
  </si>
  <si>
    <t>2023/05/05</t>
  </si>
  <si>
    <t>Kaduna-Port Harcourt</t>
  </si>
  <si>
    <t>BUS-838</t>
  </si>
  <si>
    <t>2023/04/16</t>
  </si>
  <si>
    <t>Jos-Gwagwalada</t>
  </si>
  <si>
    <t>TRK-442</t>
  </si>
  <si>
    <t>2023/09/07</t>
  </si>
  <si>
    <t>Aba-Owerri</t>
  </si>
  <si>
    <t>BUS-593</t>
  </si>
  <si>
    <t>2024/09/11</t>
  </si>
  <si>
    <t>BUS-472</t>
  </si>
  <si>
    <t>2023/04/18</t>
  </si>
  <si>
    <t>10-03-2024</t>
  </si>
  <si>
    <t>Akure-Calabar</t>
  </si>
  <si>
    <t>TRK-691</t>
  </si>
  <si>
    <t>2025/06/02</t>
  </si>
  <si>
    <t>Aba-Oyo</t>
  </si>
  <si>
    <t>BUS-520</t>
  </si>
  <si>
    <t>06-06-2024</t>
  </si>
  <si>
    <t>Akure-Awka</t>
  </si>
  <si>
    <t>BUS-459</t>
  </si>
  <si>
    <t>2023/12/07</t>
  </si>
  <si>
    <t>Jos-Port Harcourt</t>
  </si>
  <si>
    <t>BIKE-987</t>
  </si>
  <si>
    <t>22-08-2023</t>
  </si>
  <si>
    <t>Awka-Gwagwalada</t>
  </si>
  <si>
    <t>BIKE-745</t>
  </si>
  <si>
    <t>06/01/2025</t>
  </si>
  <si>
    <t>03-10-2024</t>
  </si>
  <si>
    <t>Benin-Zaria</t>
  </si>
  <si>
    <t>BUS-604</t>
  </si>
  <si>
    <t>2024/07/18</t>
  </si>
  <si>
    <t>2024-04-25</t>
  </si>
  <si>
    <t>BIKE-749</t>
  </si>
  <si>
    <t>30/09/2023</t>
  </si>
  <si>
    <t>Asaba-Port Harcourt</t>
  </si>
  <si>
    <t>CAR-722</t>
  </si>
  <si>
    <t>2023/02/26</t>
  </si>
  <si>
    <t>Calabar-Oyo</t>
  </si>
  <si>
    <t>BUS-544</t>
  </si>
  <si>
    <t>2024-08-23</t>
  </si>
  <si>
    <t>Abuja-Enugu</t>
  </si>
  <si>
    <t>TRK-962</t>
  </si>
  <si>
    <t>07/05/2025</t>
  </si>
  <si>
    <t>Orlu-Ibadan</t>
  </si>
  <si>
    <t>2024/08/09</t>
  </si>
  <si>
    <t>CAR-589</t>
  </si>
  <si>
    <t>2024-11-22</t>
  </si>
  <si>
    <t>CAR-155</t>
  </si>
  <si>
    <t>08-11-2023</t>
  </si>
  <si>
    <t>Enugu-Kaduna</t>
  </si>
  <si>
    <t>BIKE-657</t>
  </si>
  <si>
    <t>2024/05/27</t>
  </si>
  <si>
    <t>2023-05-25</t>
  </si>
  <si>
    <t>Abuja-Ilorin</t>
  </si>
  <si>
    <t>BUS-753</t>
  </si>
  <si>
    <t>17/03/2024</t>
  </si>
  <si>
    <t>Asaba-Gwagwalada</t>
  </si>
  <si>
    <t>TRK-205</t>
  </si>
  <si>
    <t>16/04/2024</t>
  </si>
  <si>
    <t>BIKE-499</t>
  </si>
  <si>
    <t>08/02/2025</t>
  </si>
  <si>
    <t>BUS-542</t>
  </si>
  <si>
    <t>29-09-2023</t>
  </si>
  <si>
    <t>BUS-667</t>
  </si>
  <si>
    <t>2024/11/17</t>
  </si>
  <si>
    <t>BUS-578</t>
  </si>
  <si>
    <t>14/12/2023</t>
  </si>
  <si>
    <t>TRK-502</t>
  </si>
  <si>
    <t>16/03/2023</t>
  </si>
  <si>
    <t>Ilorin-Oyo</t>
  </si>
  <si>
    <t>BUS-878</t>
  </si>
  <si>
    <t>01/05/2024</t>
  </si>
  <si>
    <t>BUS-376</t>
  </si>
  <si>
    <t>2023-02-26</t>
  </si>
  <si>
    <t>Zaria-Ibadan</t>
  </si>
  <si>
    <t>CAR-355</t>
  </si>
  <si>
    <t>2023/09/10</t>
  </si>
  <si>
    <t>BUS-125</t>
  </si>
  <si>
    <t>2024-12-24</t>
  </si>
  <si>
    <t>Ibadan-Ogbomosho</t>
  </si>
  <si>
    <t>CAR-950</t>
  </si>
  <si>
    <t>2025/05/10</t>
  </si>
  <si>
    <t>CAR-317</t>
  </si>
  <si>
    <t>2024/07/07</t>
  </si>
  <si>
    <t>Jos-Abuja</t>
  </si>
  <si>
    <t>BIKE-583</t>
  </si>
  <si>
    <t>11/01/2025</t>
  </si>
  <si>
    <t>2023/05/25</t>
  </si>
  <si>
    <t>Akure-Ibadan</t>
  </si>
  <si>
    <t>CAR-698</t>
  </si>
  <si>
    <t>28/03/2025</t>
  </si>
  <si>
    <t>CAR-240</t>
  </si>
  <si>
    <t>2024-09-28</t>
  </si>
  <si>
    <t>Owerri-Jos</t>
  </si>
  <si>
    <t>BIKE-407</t>
  </si>
  <si>
    <t>2024-12-23</t>
  </si>
  <si>
    <t>BIKE-773</t>
  </si>
  <si>
    <t>09/09/2024</t>
  </si>
  <si>
    <t>2023-03-27</t>
  </si>
  <si>
    <t>BUS-508</t>
  </si>
  <si>
    <t>TRK-918</t>
  </si>
  <si>
    <t>2023/08/23</t>
  </si>
  <si>
    <t>BIKE-269</t>
  </si>
  <si>
    <t>01/02/2023</t>
  </si>
  <si>
    <t>Kaduna-Abuja</t>
  </si>
  <si>
    <t>BIKE-976</t>
  </si>
  <si>
    <t>2025/06/03</t>
  </si>
  <si>
    <t>Port Harcourt-Kaduna</t>
  </si>
  <si>
    <t>CAR-391</t>
  </si>
  <si>
    <t>2024/09/09</t>
  </si>
  <si>
    <t>TRK-299</t>
  </si>
  <si>
    <t>CAR-646</t>
  </si>
  <si>
    <t>TRK-539</t>
  </si>
  <si>
    <t>2024-02-25</t>
  </si>
  <si>
    <t>BIKE-131</t>
  </si>
  <si>
    <t>06-05-2023</t>
  </si>
  <si>
    <t>Port Harcourt-Awka</t>
  </si>
  <si>
    <t>CAR-495</t>
  </si>
  <si>
    <t>15/02/2025</t>
  </si>
  <si>
    <t>TRK-739</t>
  </si>
  <si>
    <t>04/05/2024</t>
  </si>
  <si>
    <t>Umudike-Kaduna</t>
  </si>
  <si>
    <t>CAR-445</t>
  </si>
  <si>
    <t>26-03-2023</t>
  </si>
  <si>
    <t>BIKE-243</t>
  </si>
  <si>
    <t>2023/06/05</t>
  </si>
  <si>
    <t>BIKE-730</t>
  </si>
  <si>
    <t>2025-03-10</t>
  </si>
  <si>
    <t>TRK-736</t>
  </si>
  <si>
    <t>19-06-2025</t>
  </si>
  <si>
    <t>BIKE-299</t>
  </si>
  <si>
    <t>2024/12/03</t>
  </si>
  <si>
    <t>TRK-806</t>
  </si>
  <si>
    <t>2024/02/14</t>
  </si>
  <si>
    <t>BUS-535</t>
  </si>
  <si>
    <t>2023/07/18</t>
  </si>
  <si>
    <t>Oyo-Zaria</t>
  </si>
  <si>
    <t>TRK-391</t>
  </si>
  <si>
    <t>10-05-2023</t>
  </si>
  <si>
    <t>Jos-Oyo</t>
  </si>
  <si>
    <t>TRK-717</t>
  </si>
  <si>
    <t>18/03/2024</t>
  </si>
  <si>
    <t>2023-09-23</t>
  </si>
  <si>
    <t>CAR-402</t>
  </si>
  <si>
    <t>2024-09-27</t>
  </si>
  <si>
    <t>Akure-Umudike</t>
  </si>
  <si>
    <t>TRK-900</t>
  </si>
  <si>
    <t>14/03/2025</t>
  </si>
  <si>
    <t>Aba-Orlu</t>
  </si>
  <si>
    <t>BUS-262</t>
  </si>
  <si>
    <t>25-03-2025</t>
  </si>
  <si>
    <t>BUS-110</t>
  </si>
  <si>
    <t>02/02/2025</t>
  </si>
  <si>
    <t>Kaduna-Keffi</t>
  </si>
  <si>
    <t>BIKE-244</t>
  </si>
  <si>
    <t>2025-01-22</t>
  </si>
  <si>
    <t>TRK-294</t>
  </si>
  <si>
    <t>2023-12-14</t>
  </si>
  <si>
    <t>Owerri-Oyo</t>
  </si>
  <si>
    <t>BUS-468</t>
  </si>
  <si>
    <t>BUS-571</t>
  </si>
  <si>
    <t>09-03-2023</t>
  </si>
  <si>
    <t>14/06/2025</t>
  </si>
  <si>
    <t>TRK-758</t>
  </si>
  <si>
    <t>25/12/2024</t>
  </si>
  <si>
    <t>TRK-176</t>
  </si>
  <si>
    <t>2025-05-02</t>
  </si>
  <si>
    <t>19/12/2023</t>
  </si>
  <si>
    <t>BIKE-326</t>
  </si>
  <si>
    <t>2023-08-17</t>
  </si>
  <si>
    <t>TRK-281</t>
  </si>
  <si>
    <t>BUS-470</t>
  </si>
  <si>
    <t>BIKE-332</t>
  </si>
  <si>
    <t>2023/10/18</t>
  </si>
  <si>
    <t>Abuja-Jos</t>
  </si>
  <si>
    <t>BUS-831</t>
  </si>
  <si>
    <t>28-09-2023</t>
  </si>
  <si>
    <t>TRK-211</t>
  </si>
  <si>
    <t>25/02/2023</t>
  </si>
  <si>
    <t>Owerri-Kaduna</t>
  </si>
  <si>
    <t>TRK-479</t>
  </si>
  <si>
    <t>2024-12-05</t>
  </si>
  <si>
    <t>Ogbomosho-Akure</t>
  </si>
  <si>
    <t>BUS-207</t>
  </si>
  <si>
    <t>BIKE-639</t>
  </si>
  <si>
    <t>02/05/2025</t>
  </si>
  <si>
    <t>Onitsha-Abuja</t>
  </si>
  <si>
    <t>BUS-903</t>
  </si>
  <si>
    <t>2024/12/29</t>
  </si>
  <si>
    <t>Awka-Ondo</t>
  </si>
  <si>
    <t>2023/04/08</t>
  </si>
  <si>
    <t>BUS-627</t>
  </si>
  <si>
    <t>21/09/2024</t>
  </si>
  <si>
    <t>Enugu-Kano</t>
  </si>
  <si>
    <t>BUS-417</t>
  </si>
  <si>
    <t>2024-06-16</t>
  </si>
  <si>
    <t>Ilorin-Onitsha</t>
  </si>
  <si>
    <t>BUS-781</t>
  </si>
  <si>
    <t>Oyo-Lagos</t>
  </si>
  <si>
    <t>BUS-123</t>
  </si>
  <si>
    <t>BIKE-465</t>
  </si>
  <si>
    <t>14/10/2023</t>
  </si>
  <si>
    <t>CAR-350</t>
  </si>
  <si>
    <t>2024-07-28</t>
  </si>
  <si>
    <t>TRK-782</t>
  </si>
  <si>
    <t>BUS-850</t>
  </si>
  <si>
    <t>10-07-2023</t>
  </si>
  <si>
    <t>Zaria-Keffi</t>
  </si>
  <si>
    <t>BIKE-538</t>
  </si>
  <si>
    <t>Asaba-Jos</t>
  </si>
  <si>
    <t>CAR-469</t>
  </si>
  <si>
    <t>2025/01/08</t>
  </si>
  <si>
    <t>Kaduna-Benin</t>
  </si>
  <si>
    <t>CAR-848</t>
  </si>
  <si>
    <t>2023-03-07</t>
  </si>
  <si>
    <t>BIKE-184</t>
  </si>
  <si>
    <t>2025-03-25</t>
  </si>
  <si>
    <t>Keffi-Lagos</t>
  </si>
  <si>
    <t>BIKE-550</t>
  </si>
  <si>
    <t>BIKE-183</t>
  </si>
  <si>
    <t>27-10-2023</t>
  </si>
  <si>
    <t>Jos-Benin</t>
  </si>
  <si>
    <t>BIKE-249</t>
  </si>
  <si>
    <t>2023/01/16</t>
  </si>
  <si>
    <t>Ilorin-Lagos</t>
  </si>
  <si>
    <t>BIKE-251</t>
  </si>
  <si>
    <t>05/12/2023</t>
  </si>
  <si>
    <t>BUS-518</t>
  </si>
  <si>
    <t>2024-09-17</t>
  </si>
  <si>
    <t>Ilorin-Kano</t>
  </si>
  <si>
    <t>BIKE-618</t>
  </si>
  <si>
    <t>14-10-2024</t>
  </si>
  <si>
    <t>TRK-283</t>
  </si>
  <si>
    <t>27/01/2025</t>
  </si>
  <si>
    <t>TRK-338</t>
  </si>
  <si>
    <t>10/09/2023</t>
  </si>
  <si>
    <t>Ogbomosho-Umudike</t>
  </si>
  <si>
    <t>BUS-339</t>
  </si>
  <si>
    <t>23/05/2024</t>
  </si>
  <si>
    <t>TRK-960</t>
  </si>
  <si>
    <t>29/01/2023</t>
  </si>
  <si>
    <t>CAR-165</t>
  </si>
  <si>
    <t>24-07-2023</t>
  </si>
  <si>
    <t>BUS-789</t>
  </si>
  <si>
    <t>CAR-596</t>
  </si>
  <si>
    <t>2024/01/13</t>
  </si>
  <si>
    <t>Uyo-Akure</t>
  </si>
  <si>
    <t>CAR-707</t>
  </si>
  <si>
    <t>BIKE-783</t>
  </si>
  <si>
    <t>2024/10/30</t>
  </si>
  <si>
    <t>CAR-457</t>
  </si>
  <si>
    <t>2024-09-03</t>
  </si>
  <si>
    <t>2024/08/26</t>
  </si>
  <si>
    <t>BIKE-963</t>
  </si>
  <si>
    <t>13-09-2024</t>
  </si>
  <si>
    <t>BUS-373</t>
  </si>
  <si>
    <t>BUS-806</t>
  </si>
  <si>
    <t>2023-07-19</t>
  </si>
  <si>
    <t>TRK-467</t>
  </si>
  <si>
    <t>12-12-2023</t>
  </si>
  <si>
    <t>16/02/2024</t>
  </si>
  <si>
    <t>Orlu-Port Harcourt</t>
  </si>
  <si>
    <t>BUS-665</t>
  </si>
  <si>
    <t>16-02-2023</t>
  </si>
  <si>
    <t>Ogbomosho-Asaba</t>
  </si>
  <si>
    <t>TRK-999</t>
  </si>
  <si>
    <t>2024/03/07</t>
  </si>
  <si>
    <t>Ondo-Akure</t>
  </si>
  <si>
    <t>2023/11/14</t>
  </si>
  <si>
    <t>Jos-Uyo</t>
  </si>
  <si>
    <t>20/04/2024</t>
  </si>
  <si>
    <t>BUS-964</t>
  </si>
  <si>
    <t>2024/07/26</t>
  </si>
  <si>
    <t>CAR-867</t>
  </si>
  <si>
    <t>10/01/2024</t>
  </si>
  <si>
    <t>TRK-471</t>
  </si>
  <si>
    <t>17/01/2024</t>
  </si>
  <si>
    <t>BUS-833</t>
  </si>
  <si>
    <t>09-07-2023</t>
  </si>
  <si>
    <t>Gwagwalada-Umudike</t>
  </si>
  <si>
    <t>CAR-745</t>
  </si>
  <si>
    <t>20/12/2024</t>
  </si>
  <si>
    <t>Keffi-Oyo</t>
  </si>
  <si>
    <t>TRK-748</t>
  </si>
  <si>
    <t>2023-10-31</t>
  </si>
  <si>
    <t>CAR-729</t>
  </si>
  <si>
    <t>CAR-822</t>
  </si>
  <si>
    <t>2024-01-04</t>
  </si>
  <si>
    <t>Calabar-Uyo</t>
  </si>
  <si>
    <t>24-05-2025</t>
  </si>
  <si>
    <t>CAR-716</t>
  </si>
  <si>
    <t>15/10/2024</t>
  </si>
  <si>
    <t>Oyo-Kano</t>
  </si>
  <si>
    <t>CAR-605</t>
  </si>
  <si>
    <t>2024/11/19</t>
  </si>
  <si>
    <t>26/12/2023</t>
  </si>
  <si>
    <t>BIKE-688</t>
  </si>
  <si>
    <t>Owerri-Calabar</t>
  </si>
  <si>
    <t>BUS-492</t>
  </si>
  <si>
    <t>2025-03-21</t>
  </si>
  <si>
    <t>TRK-170</t>
  </si>
  <si>
    <t>20/05/2023</t>
  </si>
  <si>
    <t>CAR-194</t>
  </si>
  <si>
    <t>17/01/2025</t>
  </si>
  <si>
    <t>BUS-319</t>
  </si>
  <si>
    <t>Awka-Kano</t>
  </si>
  <si>
    <t>CAR-236</t>
  </si>
  <si>
    <t>08-09-2023</t>
  </si>
  <si>
    <t>BUS-947</t>
  </si>
  <si>
    <t>23/04/2023</t>
  </si>
  <si>
    <t>CAR-713</t>
  </si>
  <si>
    <t>17/07/2023</t>
  </si>
  <si>
    <t>Akure-Keffi</t>
  </si>
  <si>
    <t>05/03/2025</t>
  </si>
  <si>
    <t>Aba-Kano</t>
  </si>
  <si>
    <t>BIKE-365</t>
  </si>
  <si>
    <t>2024-05-03</t>
  </si>
  <si>
    <t>Benin-Ogbomosho</t>
  </si>
  <si>
    <t>TRK-690</t>
  </si>
  <si>
    <t>Kano-Ibadan</t>
  </si>
  <si>
    <t>BUS-886</t>
  </si>
  <si>
    <t>2024-06-14</t>
  </si>
  <si>
    <t>BUS-522</t>
  </si>
  <si>
    <t>07/07/2024</t>
  </si>
  <si>
    <t>Calabar-Awka</t>
  </si>
  <si>
    <t>BIKE-102</t>
  </si>
  <si>
    <t>Kaduna-Onitsha</t>
  </si>
  <si>
    <t>BUS-881</t>
  </si>
  <si>
    <t>28/05/2023</t>
  </si>
  <si>
    <t>BIKE-868</t>
  </si>
  <si>
    <t>10-03-2023</t>
  </si>
  <si>
    <t>2023-05-24</t>
  </si>
  <si>
    <t>BIKE-444</t>
  </si>
  <si>
    <t>13/10/2024</t>
  </si>
  <si>
    <t>Benin-Keffi</t>
  </si>
  <si>
    <t>TRK-703</t>
  </si>
  <si>
    <t>2023/07/02</t>
  </si>
  <si>
    <t>Calabar-Orlu</t>
  </si>
  <si>
    <t>BIKE-492</t>
  </si>
  <si>
    <t>24/12/2023</t>
  </si>
  <si>
    <t>Awka-Aba</t>
  </si>
  <si>
    <t>07-03-2025</t>
  </si>
  <si>
    <t>2023/10/09</t>
  </si>
  <si>
    <t>Ogbomosho-Kano</t>
  </si>
  <si>
    <t>TRK-506</t>
  </si>
  <si>
    <t>2024/04/26</t>
  </si>
  <si>
    <t>Oyo-Akure</t>
  </si>
  <si>
    <t>TRK-275</t>
  </si>
  <si>
    <t>31/05/2023</t>
  </si>
  <si>
    <t>BUS-965</t>
  </si>
  <si>
    <t>2024/07/16</t>
  </si>
  <si>
    <t>CAR-870</t>
  </si>
  <si>
    <t>30-01-2024</t>
  </si>
  <si>
    <t>Ogbomosho-Zaria</t>
  </si>
  <si>
    <t>CAR-385</t>
  </si>
  <si>
    <t>2025-04-20</t>
  </si>
  <si>
    <t>BIKE-568</t>
  </si>
  <si>
    <t>25-07-2024</t>
  </si>
  <si>
    <t>BIKE-348</t>
  </si>
  <si>
    <t>2024-09-13</t>
  </si>
  <si>
    <t>Jos-Ondo</t>
  </si>
  <si>
    <t>TRK-769</t>
  </si>
  <si>
    <t>27/03/2023</t>
  </si>
  <si>
    <t>TRK-305</t>
  </si>
  <si>
    <t>CAR-617</t>
  </si>
  <si>
    <t>2025-05-22</t>
  </si>
  <si>
    <t>Onitsha-Uyo</t>
  </si>
  <si>
    <t>TRK-995</t>
  </si>
  <si>
    <t>2025/01/28</t>
  </si>
  <si>
    <t>BUS-601</t>
  </si>
  <si>
    <t>26-09-2023</t>
  </si>
  <si>
    <t>Keffi-Gwagwalada</t>
  </si>
  <si>
    <t>BUS-401</t>
  </si>
  <si>
    <t>2024-09-11</t>
  </si>
  <si>
    <t>2024/10/18</t>
  </si>
  <si>
    <t>Benin-Lagos</t>
  </si>
  <si>
    <t>BIKE-893</t>
  </si>
  <si>
    <t>Kaduna-Ibadan</t>
  </si>
  <si>
    <t>BIKE-519</t>
  </si>
  <si>
    <t>2024/06/10</t>
  </si>
  <si>
    <t>Umudike-Awka</t>
  </si>
  <si>
    <t>TRK-760</t>
  </si>
  <si>
    <t>Oyo-Kaduna</t>
  </si>
  <si>
    <t>CAR-700</t>
  </si>
  <si>
    <t>20-02-2025</t>
  </si>
  <si>
    <t>Umudike-Ibadan</t>
  </si>
  <si>
    <t>BIKE-924</t>
  </si>
  <si>
    <t>Onitsha-Kaduna</t>
  </si>
  <si>
    <t>BIKE-647</t>
  </si>
  <si>
    <t>Akure-Zaria</t>
  </si>
  <si>
    <t>BIKE-188</t>
  </si>
  <si>
    <t>07-01-2025</t>
  </si>
  <si>
    <t>CAR-736</t>
  </si>
  <si>
    <t>2025/05/24</t>
  </si>
  <si>
    <t>TRK-880</t>
  </si>
  <si>
    <t>2024/10/16</t>
  </si>
  <si>
    <t>Benin-Aba</t>
  </si>
  <si>
    <t>BUS-608</t>
  </si>
  <si>
    <t>2025/01/10</t>
  </si>
  <si>
    <t>BIKE-453</t>
  </si>
  <si>
    <t>2023-08-31</t>
  </si>
  <si>
    <t>TRK-875</t>
  </si>
  <si>
    <t>BUS-173</t>
  </si>
  <si>
    <t>2024/03/04</t>
  </si>
  <si>
    <t>CAR-246</t>
  </si>
  <si>
    <t>2024-05-02</t>
  </si>
  <si>
    <t>BUS-210</t>
  </si>
  <si>
    <t>31-01-2025</t>
  </si>
  <si>
    <t>Gwagwalada-Orlu</t>
  </si>
  <si>
    <t>BUS-752</t>
  </si>
  <si>
    <t>2024/05/06</t>
  </si>
  <si>
    <t>BUS-563</t>
  </si>
  <si>
    <t>2025/05/16</t>
  </si>
  <si>
    <t>Abuja-Port Harcourt</t>
  </si>
  <si>
    <t>CAR-554</t>
  </si>
  <si>
    <t>27-04-2024</t>
  </si>
  <si>
    <t>11/06/2024</t>
  </si>
  <si>
    <t>Uyo-Awka</t>
  </si>
  <si>
    <t>TRK-854</t>
  </si>
  <si>
    <t>20/04/2023</t>
  </si>
  <si>
    <t>TRK-911</t>
  </si>
  <si>
    <t>2023-07-22</t>
  </si>
  <si>
    <t>Ondo-Oyo</t>
  </si>
  <si>
    <t>CAR-886</t>
  </si>
  <si>
    <t>05/04/2025</t>
  </si>
  <si>
    <t>Asaba-Benin</t>
  </si>
  <si>
    <t>BUS-954</t>
  </si>
  <si>
    <t>2023/06/21</t>
  </si>
  <si>
    <t>Keffi-Orlu</t>
  </si>
  <si>
    <t>CAR-487</t>
  </si>
  <si>
    <t>BUS-539</t>
  </si>
  <si>
    <t>2023/11/24</t>
  </si>
  <si>
    <t>TRK-865</t>
  </si>
  <si>
    <t>2023/12/28</t>
  </si>
  <si>
    <t>BUS-133</t>
  </si>
  <si>
    <t>10/12/2023</t>
  </si>
  <si>
    <t>BUS-181</t>
  </si>
  <si>
    <t>2024/11/14</t>
  </si>
  <si>
    <t>BUS-516</t>
  </si>
  <si>
    <t>24-03-2024</t>
  </si>
  <si>
    <t>Akure-Aba</t>
  </si>
  <si>
    <t>CAR-407</t>
  </si>
  <si>
    <t>09-07-2024</t>
  </si>
  <si>
    <t>BIKE-274</t>
  </si>
  <si>
    <t>BIKE-961</t>
  </si>
  <si>
    <t>07-05-2025</t>
  </si>
  <si>
    <t>CAR-151</t>
  </si>
  <si>
    <t>2024-10-11</t>
  </si>
  <si>
    <t>CAR-842</t>
  </si>
  <si>
    <t>BIKE-292</t>
  </si>
  <si>
    <t>27/07/2023</t>
  </si>
  <si>
    <t>BUS-357</t>
  </si>
  <si>
    <t>2024/07/09</t>
  </si>
  <si>
    <t>CAR-241</t>
  </si>
  <si>
    <t>2023-03-20</t>
  </si>
  <si>
    <t>BUS-694</t>
  </si>
  <si>
    <t>09/03/2025</t>
  </si>
  <si>
    <t>CAR-397</t>
  </si>
  <si>
    <t>2023/10/10</t>
  </si>
  <si>
    <t>BIKE-178</t>
  </si>
  <si>
    <t>2024/11/27</t>
  </si>
  <si>
    <t>BUS-796</t>
  </si>
  <si>
    <t>2023/03/13</t>
  </si>
  <si>
    <t>14/02/2025</t>
  </si>
  <si>
    <t>Ogbomosho-Abuja</t>
  </si>
  <si>
    <t>BUS-481</t>
  </si>
  <si>
    <t>02-01-2024</t>
  </si>
  <si>
    <t>BUS-144</t>
  </si>
  <si>
    <t>2023/07/09</t>
  </si>
  <si>
    <t>BIKE-630</t>
  </si>
  <si>
    <t>09-04-2024</t>
  </si>
  <si>
    <t>06/10/2023</t>
  </si>
  <si>
    <t>BIKE-198</t>
  </si>
  <si>
    <t>30/08/2024</t>
  </si>
  <si>
    <t>Oyo-Ondo</t>
  </si>
  <si>
    <t>BIKE-138</t>
  </si>
  <si>
    <t>12/02/2024</t>
  </si>
  <si>
    <t>Akure-Jos</t>
  </si>
  <si>
    <t>CAR-258</t>
  </si>
  <si>
    <t>BUS-256</t>
  </si>
  <si>
    <t>27/01/2024</t>
  </si>
  <si>
    <t>Keffi-Ibadan</t>
  </si>
  <si>
    <t>TRK-121</t>
  </si>
  <si>
    <t>31/12/2024</t>
  </si>
  <si>
    <t>TRK-933</t>
  </si>
  <si>
    <t>Gwagwalada-Owerri</t>
  </si>
  <si>
    <t>BUS-253</t>
  </si>
  <si>
    <t>2024-04-23</t>
  </si>
  <si>
    <t>BIKE-250</t>
  </si>
  <si>
    <t>2023/08/08</t>
  </si>
  <si>
    <t>CAR-756</t>
  </si>
  <si>
    <t>22/11/2023</t>
  </si>
  <si>
    <t>TRK-272</t>
  </si>
  <si>
    <t>2023/06/23</t>
  </si>
  <si>
    <t>Enugu-Aba</t>
  </si>
  <si>
    <t>CAR-459</t>
  </si>
  <si>
    <t>13/07/2023</t>
  </si>
  <si>
    <t>BIKE-590</t>
  </si>
  <si>
    <t>2023/03/25</t>
  </si>
  <si>
    <t>BUS-970</t>
  </si>
  <si>
    <t>08-10-2024</t>
  </si>
  <si>
    <t>CAR-154</t>
  </si>
  <si>
    <t>2024/04/15</t>
  </si>
  <si>
    <t>CAR-871</t>
  </si>
  <si>
    <t>21-03-2024</t>
  </si>
  <si>
    <t>CAR-270</t>
  </si>
  <si>
    <t>TRK-312</t>
  </si>
  <si>
    <t>07/04/2024</t>
  </si>
  <si>
    <t>Zaria-Onitsha</t>
  </si>
  <si>
    <t>BIKE-690</t>
  </si>
  <si>
    <t>07/02/2025</t>
  </si>
  <si>
    <t>BIKE-915</t>
  </si>
  <si>
    <t>12-09-2024</t>
  </si>
  <si>
    <t>BIKE-692</t>
  </si>
  <si>
    <t>26-03-2025</t>
  </si>
  <si>
    <t>BUS-382</t>
  </si>
  <si>
    <t>2024/04/07</t>
  </si>
  <si>
    <t>BUS-107</t>
  </si>
  <si>
    <t>2025/04/25</t>
  </si>
  <si>
    <t>CAR-197</t>
  </si>
  <si>
    <t>30/06/2024</t>
  </si>
  <si>
    <t>TRK-175</t>
  </si>
  <si>
    <t>Ibadan-Onitsha</t>
  </si>
  <si>
    <t>BUS-696</t>
  </si>
  <si>
    <t>CAR-943</t>
  </si>
  <si>
    <t>26-11-2023</t>
  </si>
  <si>
    <t>11-03-2023</t>
  </si>
  <si>
    <t>Port Harcourt-Owerri</t>
  </si>
  <si>
    <t>BUS-330</t>
  </si>
  <si>
    <t>05/07/2024</t>
  </si>
  <si>
    <t>BIKE-672</t>
  </si>
  <si>
    <t>Lagos-Calabar</t>
  </si>
  <si>
    <t>BIKE-529</t>
  </si>
  <si>
    <t>06-08-2023</t>
  </si>
  <si>
    <t>BIKE-317</t>
  </si>
  <si>
    <t>2025-01-13</t>
  </si>
  <si>
    <t>BIKE-839</t>
  </si>
  <si>
    <t>27/08/2024</t>
  </si>
  <si>
    <t>TRK-319</t>
  </si>
  <si>
    <t>CAR-268</t>
  </si>
  <si>
    <t>07/05/2023</t>
  </si>
  <si>
    <t>TRK-518</t>
  </si>
  <si>
    <t>16-06-2023</t>
  </si>
  <si>
    <t>Abuja-Orlu</t>
  </si>
  <si>
    <t>BIKE-734</t>
  </si>
  <si>
    <t>29/05/2024</t>
  </si>
  <si>
    <t>BIKE-192</t>
  </si>
  <si>
    <t>2024-04-04</t>
  </si>
  <si>
    <t>Awka-Ogbomosho</t>
  </si>
  <si>
    <t>17-05-2024</t>
  </si>
  <si>
    <t>Kaduna-Calabar</t>
  </si>
  <si>
    <t>CAR-738</t>
  </si>
  <si>
    <t>2023-06-22</t>
  </si>
  <si>
    <t>BUS-242</t>
  </si>
  <si>
    <t>2025/03/22</t>
  </si>
  <si>
    <t>Jos-Akure</t>
  </si>
  <si>
    <t>TRK-372</t>
  </si>
  <si>
    <t>2024/07/05</t>
  </si>
  <si>
    <t>BUS-301</t>
  </si>
  <si>
    <t>2025-05-21</t>
  </si>
  <si>
    <t>BIKE-903</t>
  </si>
  <si>
    <t>TRK-742</t>
  </si>
  <si>
    <t>2024/10/02</t>
  </si>
  <si>
    <t>Uyo-Port Harcourt</t>
  </si>
  <si>
    <t>TRK-755</t>
  </si>
  <si>
    <t>2024-10-14</t>
  </si>
  <si>
    <t>BUS-318</t>
  </si>
  <si>
    <t>2024/01/29</t>
  </si>
  <si>
    <t>Uyo-Lagos</t>
  </si>
  <si>
    <t>CAR-106</t>
  </si>
  <si>
    <t>16-04-2023</t>
  </si>
  <si>
    <t>TRK-233</t>
  </si>
  <si>
    <t>2025/03/01</t>
  </si>
  <si>
    <t>Keffi-Ondo</t>
  </si>
  <si>
    <t>BIKE-854</t>
  </si>
  <si>
    <t>2023-06-01</t>
  </si>
  <si>
    <t>Ondo-Keffi</t>
  </si>
  <si>
    <t>CAR-961</t>
  </si>
  <si>
    <t>11/02/2023</t>
  </si>
  <si>
    <t>BUS-567</t>
  </si>
  <si>
    <t>CAR-627</t>
  </si>
  <si>
    <t>10/10/2024</t>
  </si>
  <si>
    <t>TRK-109</t>
  </si>
  <si>
    <t>2023-11-09</t>
  </si>
  <si>
    <t>CAR-104</t>
  </si>
  <si>
    <t>30/01/2023</t>
  </si>
  <si>
    <t>BUS-927</t>
  </si>
  <si>
    <t>TRK-513</t>
  </si>
  <si>
    <t>Orlu-Enugu</t>
  </si>
  <si>
    <t>BIKE-881</t>
  </si>
  <si>
    <t>2024/05/23</t>
  </si>
  <si>
    <t>2024-02-28</t>
  </si>
  <si>
    <t>Awka-Uyo</t>
  </si>
  <si>
    <t>BUS-710</t>
  </si>
  <si>
    <t>17-03-2024</t>
  </si>
  <si>
    <t>CAR-657</t>
  </si>
  <si>
    <t>BUS-793</t>
  </si>
  <si>
    <t>Owerri-Enugu</t>
  </si>
  <si>
    <t>TRK-198</t>
  </si>
  <si>
    <t>2023-03-11</t>
  </si>
  <si>
    <t>CAR-904</t>
  </si>
  <si>
    <t>26/08/2024</t>
  </si>
  <si>
    <t>2023/09/15</t>
  </si>
  <si>
    <t>TRK-107</t>
  </si>
  <si>
    <t>BIKE-701</t>
  </si>
  <si>
    <t>13-06-2024</t>
  </si>
  <si>
    <t>Kano-Owerri</t>
  </si>
  <si>
    <t>BUS-923</t>
  </si>
  <si>
    <t>12/07/2024</t>
  </si>
  <si>
    <t>CAR-117</t>
  </si>
  <si>
    <t>14/11/2023</t>
  </si>
  <si>
    <t>Kaduna-Asaba</t>
  </si>
  <si>
    <t>TRK-102</t>
  </si>
  <si>
    <t>2024-02-20</t>
  </si>
  <si>
    <t>Orlu-Ogbomosho</t>
  </si>
  <si>
    <t>22/08/2023</t>
  </si>
  <si>
    <t>BIKE-117</t>
  </si>
  <si>
    <t>17-10-2023</t>
  </si>
  <si>
    <t>CAR-608</t>
  </si>
  <si>
    <t>23/02/2023</t>
  </si>
  <si>
    <t>BIKE-867</t>
  </si>
  <si>
    <t>2024-12-11</t>
  </si>
  <si>
    <t>BUS-422</t>
  </si>
  <si>
    <t>2023-01-03</t>
  </si>
  <si>
    <t>2024/06/20</t>
  </si>
  <si>
    <t>CAR-837</t>
  </si>
  <si>
    <t>2024/01/25</t>
  </si>
  <si>
    <t>Kano-Benin</t>
  </si>
  <si>
    <t>TRK-141</t>
  </si>
  <si>
    <t>03/09/2023</t>
  </si>
  <si>
    <t>Owerri-Ibadan</t>
  </si>
  <si>
    <t>CAR-386</t>
  </si>
  <si>
    <t>17/06/2025</t>
  </si>
  <si>
    <t>BIKE-814</t>
  </si>
  <si>
    <t>BIKE-756</t>
  </si>
  <si>
    <t>2024/04/11</t>
  </si>
  <si>
    <t>BUS-434</t>
  </si>
  <si>
    <t>BIKE-482</t>
  </si>
  <si>
    <t>CAR-906</t>
  </si>
  <si>
    <t>16/01/2024</t>
  </si>
  <si>
    <t>BIKE-876</t>
  </si>
  <si>
    <t>16/10/2024</t>
  </si>
  <si>
    <t>CAR-137</t>
  </si>
  <si>
    <t>05/01/2023</t>
  </si>
  <si>
    <t>TRK-265</t>
  </si>
  <si>
    <t>2024/10/29</t>
  </si>
  <si>
    <t>Gwagwalada-Zaria</t>
  </si>
  <si>
    <t>CAR-884</t>
  </si>
  <si>
    <t>30-09-2024</t>
  </si>
  <si>
    <t>CAR-543</t>
  </si>
  <si>
    <t>2024/09/24</t>
  </si>
  <si>
    <t>BUS-115</t>
  </si>
  <si>
    <t>Orlu-Ondo</t>
  </si>
  <si>
    <t>TRK-369</t>
  </si>
  <si>
    <t>2024/12/12</t>
  </si>
  <si>
    <t>BUS-945</t>
  </si>
  <si>
    <t>2023/08/04</t>
  </si>
  <si>
    <t>CAR-864</t>
  </si>
  <si>
    <t>2023/09/03</t>
  </si>
  <si>
    <t>BIKE-739</t>
  </si>
  <si>
    <t>05/02/2024</t>
  </si>
  <si>
    <t>Awka-Benin</t>
  </si>
  <si>
    <t>Asaba-Abuja</t>
  </si>
  <si>
    <t>BIKE-351</t>
  </si>
  <si>
    <t>TRK-853</t>
  </si>
  <si>
    <t>2023-09-29</t>
  </si>
  <si>
    <t>BUS-200</t>
  </si>
  <si>
    <t>10/01/2023</t>
  </si>
  <si>
    <t>Asaba-Enugu</t>
  </si>
  <si>
    <t>2023-09-15</t>
  </si>
  <si>
    <t>BIKE-275</t>
  </si>
  <si>
    <t>04-05-2024</t>
  </si>
  <si>
    <t>TRK-183</t>
  </si>
  <si>
    <t>2024/07/20</t>
  </si>
  <si>
    <t>BUS-458</t>
  </si>
  <si>
    <t>BIKE-588</t>
  </si>
  <si>
    <t>2023/02/01</t>
  </si>
  <si>
    <t>Port Harcourt-Lagos</t>
  </si>
  <si>
    <t>2023-06-18</t>
  </si>
  <si>
    <t>Onitsha-Kano</t>
  </si>
  <si>
    <t>CAR-535</t>
  </si>
  <si>
    <t>09/04/2025</t>
  </si>
  <si>
    <t>Aba-Zaria</t>
  </si>
  <si>
    <t>TRK-311</t>
  </si>
  <si>
    <t>05-01-2025</t>
  </si>
  <si>
    <t>Zaria-Ogbomosho</t>
  </si>
  <si>
    <t>17-06-2025</t>
  </si>
  <si>
    <t>BUS-134</t>
  </si>
  <si>
    <t>2024/03/15</t>
  </si>
  <si>
    <t>Kano-Umudike</t>
  </si>
  <si>
    <t>CAR-603</t>
  </si>
  <si>
    <t>04/05/2025</t>
  </si>
  <si>
    <t>CAR-434</t>
  </si>
  <si>
    <t>24/04/2023</t>
  </si>
  <si>
    <t>BUS-175</t>
  </si>
  <si>
    <t>2024-05-09</t>
  </si>
  <si>
    <t>Benin-Oyo</t>
  </si>
  <si>
    <t>BIKE-346</t>
  </si>
  <si>
    <t>01-12-2023</t>
  </si>
  <si>
    <t>Oyo-Enugu</t>
  </si>
  <si>
    <t>10/02/2023</t>
  </si>
  <si>
    <t>Lagos-Abuja</t>
  </si>
  <si>
    <t>BIKE-507</t>
  </si>
  <si>
    <t>25-04-2023</t>
  </si>
  <si>
    <t>CAR-344</t>
  </si>
  <si>
    <t>2023-12-10</t>
  </si>
  <si>
    <t>Umudike-Zaria</t>
  </si>
  <si>
    <t>BIKE-771</t>
  </si>
  <si>
    <t>04-05-2023</t>
  </si>
  <si>
    <t>CAR-281</t>
  </si>
  <si>
    <t>07-06-2025</t>
  </si>
  <si>
    <t>CAR-670</t>
  </si>
  <si>
    <t>16/07/2024</t>
  </si>
  <si>
    <t>BIKE-671</t>
  </si>
  <si>
    <t>CAR-166</t>
  </si>
  <si>
    <t>19-01-2024</t>
  </si>
  <si>
    <t>CAR-467</t>
  </si>
  <si>
    <t>2024/11/11</t>
  </si>
  <si>
    <t>Gwagwalada-Asaba</t>
  </si>
  <si>
    <t>BUS-275</t>
  </si>
  <si>
    <t>2023-07-28</t>
  </si>
  <si>
    <t>Keffi-Akure</t>
  </si>
  <si>
    <t>TRK-635</t>
  </si>
  <si>
    <t>2025-05-19</t>
  </si>
  <si>
    <t>BUS-226</t>
  </si>
  <si>
    <t>2024-12-22</t>
  </si>
  <si>
    <t>BIKE-396</t>
  </si>
  <si>
    <t>2023/09/16</t>
  </si>
  <si>
    <t>Ilorin-Asaba</t>
  </si>
  <si>
    <t>TRK-818</t>
  </si>
  <si>
    <t>2024/09/10</t>
  </si>
  <si>
    <t>Kano-Oyo</t>
  </si>
  <si>
    <t>TRK-199</t>
  </si>
  <si>
    <t>07/04/2025</t>
  </si>
  <si>
    <t>BIKE-454</t>
  </si>
  <si>
    <t>2024-08-05</t>
  </si>
  <si>
    <t>Ilorin-Port Harcourt</t>
  </si>
  <si>
    <t>Calabar-Ilorin</t>
  </si>
  <si>
    <t>CAR-255</t>
  </si>
  <si>
    <t>02-03-2024</t>
  </si>
  <si>
    <t>01/05/2023</t>
  </si>
  <si>
    <t>TRK-509</t>
  </si>
  <si>
    <t>2024/04/18</t>
  </si>
  <si>
    <t>TRK-304</t>
  </si>
  <si>
    <t>BUS-836</t>
  </si>
  <si>
    <t>26-05-2023</t>
  </si>
  <si>
    <t>Port Harcourt-Keffi</t>
  </si>
  <si>
    <t>TRK-505</t>
  </si>
  <si>
    <t>TRK-846</t>
  </si>
  <si>
    <t>2023-03-01</t>
  </si>
  <si>
    <t>Aba-Calabar</t>
  </si>
  <si>
    <t>TRK-789</t>
  </si>
  <si>
    <t>2023-08-22</t>
  </si>
  <si>
    <t>24-08-2024</t>
  </si>
  <si>
    <t>BUS-475</t>
  </si>
  <si>
    <t>2023-11-23</t>
  </si>
  <si>
    <t>BUS-219</t>
  </si>
  <si>
    <t>2024/04/06</t>
  </si>
  <si>
    <t>CAR-398</t>
  </si>
  <si>
    <t>2025/04/02</t>
  </si>
  <si>
    <t>BIKE-852</t>
  </si>
  <si>
    <t>BUS-625</t>
  </si>
  <si>
    <t>Ondo-Ibadan</t>
  </si>
  <si>
    <t>TRK-192</t>
  </si>
  <si>
    <t>10/03/2025</t>
  </si>
  <si>
    <t>BUS-672</t>
  </si>
  <si>
    <t>10-10-2024</t>
  </si>
  <si>
    <t>TRK-262</t>
  </si>
  <si>
    <t>2025/05/18</t>
  </si>
  <si>
    <t>CAR-145</t>
  </si>
  <si>
    <t>2023-08-29</t>
  </si>
  <si>
    <t>Gwagwalada-Onitsha</t>
  </si>
  <si>
    <t>05/09/2023</t>
  </si>
  <si>
    <t>CAR-773</t>
  </si>
  <si>
    <t>2023/07/13</t>
  </si>
  <si>
    <t>BIKE-804</t>
  </si>
  <si>
    <t>03-04-2023</t>
  </si>
  <si>
    <t>CAR-394</t>
  </si>
  <si>
    <t>23/02/2024</t>
  </si>
  <si>
    <t>TRK-877</t>
  </si>
  <si>
    <t>03/01/2023</t>
  </si>
  <si>
    <t>Orlu-Abuja</t>
  </si>
  <si>
    <t>TRK-234</t>
  </si>
  <si>
    <t>12-11-2023</t>
  </si>
  <si>
    <t>CAR-637</t>
  </si>
  <si>
    <t>18-11-2023</t>
  </si>
  <si>
    <t>BIKE-218</t>
  </si>
  <si>
    <t>2024/08/29</t>
  </si>
  <si>
    <t>Oyo-Aba</t>
  </si>
  <si>
    <t>TRK-988</t>
  </si>
  <si>
    <t>19/12/2024</t>
  </si>
  <si>
    <t>BIKE-748</t>
  </si>
  <si>
    <t>TRK-973</t>
  </si>
  <si>
    <t>2023-07-25</t>
  </si>
  <si>
    <t>Ogbomosho-Orlu</t>
  </si>
  <si>
    <t>TRK-817</t>
  </si>
  <si>
    <t>2023/10/04</t>
  </si>
  <si>
    <t>BIKE-846</t>
  </si>
  <si>
    <t>30/12/2023</t>
  </si>
  <si>
    <t>BIKE-305</t>
  </si>
  <si>
    <t>2025/05/15</t>
  </si>
  <si>
    <t>BUS-981</t>
  </si>
  <si>
    <t>2023-10-23</t>
  </si>
  <si>
    <t>Kano-Zaria</t>
  </si>
  <si>
    <t>BIKE-432</t>
  </si>
  <si>
    <t>2023/07/28</t>
  </si>
  <si>
    <t>Gwagwalada-Kano</t>
  </si>
  <si>
    <t>CAR-536</t>
  </si>
  <si>
    <t>2023/12/15</t>
  </si>
  <si>
    <t>BUS-866</t>
  </si>
  <si>
    <t>TRK-649</t>
  </si>
  <si>
    <t>2025/05/02</t>
  </si>
  <si>
    <t>CAR-126</t>
  </si>
  <si>
    <t>2024-12-01</t>
  </si>
  <si>
    <t>CAR-609</t>
  </si>
  <si>
    <t>2023/06/09</t>
  </si>
  <si>
    <t>18/05/2025</t>
  </si>
  <si>
    <t>TRK-930</t>
  </si>
  <si>
    <t>BUS-147</t>
  </si>
  <si>
    <t>07/09/2023</t>
  </si>
  <si>
    <t>BIKE-266</t>
  </si>
  <si>
    <t>28-02-2023</t>
  </si>
  <si>
    <t>BIKE-663</t>
  </si>
  <si>
    <t>2023/07/08</t>
  </si>
  <si>
    <t>Owerri-Ogbomosho</t>
  </si>
  <si>
    <t>BIKE-636</t>
  </si>
  <si>
    <t>31-12-2023</t>
  </si>
  <si>
    <t>BUS-953</t>
  </si>
  <si>
    <t>2023-10-22</t>
  </si>
  <si>
    <t>Jos-Awka</t>
  </si>
  <si>
    <t>TRK-273</t>
  </si>
  <si>
    <t>07-04-2023</t>
  </si>
  <si>
    <t>CAR-390</t>
  </si>
  <si>
    <t>01/12/2024</t>
  </si>
  <si>
    <t>Aba-Awka</t>
  </si>
  <si>
    <t>BIKE-928</t>
  </si>
  <si>
    <t>2023/04/28</t>
  </si>
  <si>
    <t>Kalu</t>
  </si>
  <si>
    <t>Bus-014</t>
  </si>
  <si>
    <t>Bus-020</t>
  </si>
  <si>
    <t>Bus-031</t>
  </si>
  <si>
    <t>Bus-033</t>
  </si>
  <si>
    <t>Bus-041</t>
  </si>
  <si>
    <t>Bus-050</t>
  </si>
  <si>
    <t>Bus-832</t>
  </si>
  <si>
    <t>Bus-391</t>
  </si>
  <si>
    <t>Bus-785</t>
  </si>
  <si>
    <t>Bus-307</t>
  </si>
  <si>
    <t>Bus-914</t>
  </si>
  <si>
    <t>Bus-605</t>
  </si>
  <si>
    <t>Bus-285</t>
  </si>
  <si>
    <t>Bus-453</t>
  </si>
  <si>
    <t>Bus-982</t>
  </si>
  <si>
    <t>Bus-402</t>
  </si>
  <si>
    <t>Bus-507</t>
  </si>
  <si>
    <t>Bus-186</t>
  </si>
  <si>
    <t>Bus-792</t>
  </si>
  <si>
    <t>Bus-550</t>
  </si>
  <si>
    <t>Bus-477</t>
  </si>
  <si>
    <t>Bus-716</t>
  </si>
  <si>
    <t>Bus-749</t>
  </si>
  <si>
    <t>Bus-962</t>
  </si>
  <si>
    <t>Bus-645</t>
  </si>
  <si>
    <t>Bus-404</t>
  </si>
  <si>
    <t>Bus-244</t>
  </si>
  <si>
    <t>Bus-346</t>
  </si>
  <si>
    <t>Bus-948</t>
  </si>
  <si>
    <t>Bus-241</t>
  </si>
  <si>
    <t>Bus-502</t>
  </si>
  <si>
    <t>Bus-441</t>
  </si>
  <si>
    <t>Bus-558</t>
  </si>
  <si>
    <t>Bus-924</t>
  </si>
  <si>
    <t>Bus-649</t>
  </si>
  <si>
    <t>Bus-449</t>
  </si>
  <si>
    <t>Bus-310</t>
  </si>
  <si>
    <t>Bus-377</t>
  </si>
  <si>
    <t>Bus-687</t>
  </si>
  <si>
    <t>Bus-819</t>
  </si>
  <si>
    <t>Bus-939</t>
  </si>
  <si>
    <t>Bus-272</t>
  </si>
  <si>
    <t>Bus-928</t>
  </si>
  <si>
    <t>Bus-786</t>
  </si>
  <si>
    <t>Bus-324</t>
  </si>
  <si>
    <t>Bus-692</t>
  </si>
  <si>
    <t>Bus-206</t>
  </si>
  <si>
    <t>Bus-732</t>
  </si>
  <si>
    <t>Bus-100</t>
  </si>
  <si>
    <t>Bus-679</t>
  </si>
  <si>
    <t>Bus-638</t>
  </si>
  <si>
    <t>Bus-161</t>
  </si>
  <si>
    <t>Bus-847</t>
  </si>
  <si>
    <t>Bus-811</t>
  </si>
  <si>
    <t>Bus-498</t>
  </si>
  <si>
    <t>Bus-407</t>
  </si>
  <si>
    <t>Bus-951</t>
  </si>
  <si>
    <t>Bus-686</t>
  </si>
  <si>
    <t>Bus-187</t>
  </si>
  <si>
    <t>Bus-113</t>
  </si>
  <si>
    <t>Bus-418</t>
  </si>
  <si>
    <t>Bus-274</t>
  </si>
  <si>
    <t>Bus-425</t>
  </si>
  <si>
    <t>Bus-400</t>
  </si>
  <si>
    <t>Bus-334</t>
  </si>
  <si>
    <t>Bus-814</t>
  </si>
  <si>
    <t>Bus-202</t>
  </si>
  <si>
    <t>Bus-682</t>
  </si>
  <si>
    <t>Bus-343</t>
  </si>
  <si>
    <t>Bus-712</t>
  </si>
  <si>
    <t>Bus-292</t>
  </si>
  <si>
    <t>Bus-912</t>
  </si>
  <si>
    <t>Bus-652</t>
  </si>
  <si>
    <t>Bus-956</t>
  </si>
  <si>
    <t>Bus-345</t>
  </si>
  <si>
    <t>Bus-389</t>
  </si>
  <si>
    <t>Bus-963</t>
  </si>
  <si>
    <t>Bus-772</t>
  </si>
  <si>
    <t>Bus-955</t>
  </si>
  <si>
    <t>Bus-971</t>
  </si>
  <si>
    <t>Bus-989</t>
  </si>
  <si>
    <t>Bus-463</t>
  </si>
  <si>
    <t>Bus-707</t>
  </si>
  <si>
    <t>Bus-766</t>
  </si>
  <si>
    <t>Bus-844</t>
  </si>
  <si>
    <t>Bus-590</t>
  </si>
  <si>
    <t>Bus-490</t>
  </si>
  <si>
    <t>Bus-622</t>
  </si>
  <si>
    <t>Bus-561</t>
  </si>
  <si>
    <t>Bus-341</t>
  </si>
  <si>
    <t>Bus-922</t>
  </si>
  <si>
    <t>Bus-509</t>
  </si>
  <si>
    <t>Bus-938</t>
  </si>
  <si>
    <t>Bus-632</t>
  </si>
  <si>
    <t>Bus-898</t>
  </si>
  <si>
    <t>Bus-763</t>
  </si>
  <si>
    <t>Bus-209</t>
  </si>
  <si>
    <t>Bus-491</t>
  </si>
  <si>
    <t>Bus-663</t>
  </si>
  <si>
    <t>Bus-770</t>
  </si>
  <si>
    <t>Bus-546</t>
  </si>
  <si>
    <t>Bus-990</t>
  </si>
  <si>
    <t>Bus-984</t>
  </si>
  <si>
    <t>Bus-493</t>
  </si>
  <si>
    <t>Bus-124</t>
  </si>
  <si>
    <t>Bus-930</t>
  </si>
  <si>
    <t>Bus-794</t>
  </si>
  <si>
    <t>Bus-359</t>
  </si>
  <si>
    <t>Bus-153</t>
  </si>
  <si>
    <t>Bus-521</t>
  </si>
  <si>
    <t>Bus-237</t>
  </si>
  <si>
    <t>Bus-722</t>
  </si>
  <si>
    <t>Bus-311</t>
  </si>
  <si>
    <t>Bus-142</t>
  </si>
  <si>
    <t>Bus-448</t>
  </si>
  <si>
    <t>Bus-504</t>
  </si>
  <si>
    <t>Bus-543</t>
  </si>
  <si>
    <t>Bus-765</t>
  </si>
  <si>
    <t>Bus-560</t>
  </si>
  <si>
    <t>Bus-261</t>
  </si>
  <si>
    <t>Bus-101</t>
  </si>
  <si>
    <t>Bus-488</t>
  </si>
  <si>
    <t>Bus-751</t>
  </si>
  <si>
    <t>Bus-897</t>
  </si>
  <si>
    <t>Bus-412</t>
  </si>
  <si>
    <t>Bus-323</t>
  </si>
  <si>
    <t>Bus-410</t>
  </si>
  <si>
    <t>Bus-587</t>
  </si>
  <si>
    <t>Bus-552</t>
  </si>
  <si>
    <t>Bus-838</t>
  </si>
  <si>
    <t>Bus-593</t>
  </si>
  <si>
    <t>Bus-472</t>
  </si>
  <si>
    <t>Bus-520</t>
  </si>
  <si>
    <t>Bus-459</t>
  </si>
  <si>
    <t>Bus-604</t>
  </si>
  <si>
    <t>Bus-544</t>
  </si>
  <si>
    <t>Bus-753</t>
  </si>
  <si>
    <t>Bus-542</t>
  </si>
  <si>
    <t>Bus-667</t>
  </si>
  <si>
    <t>Bus-578</t>
  </si>
  <si>
    <t>Bus-878</t>
  </si>
  <si>
    <t>Bus-376</t>
  </si>
  <si>
    <t>Bus-125</t>
  </si>
  <si>
    <t>Bus-508</t>
  </si>
  <si>
    <t>Bus-535</t>
  </si>
  <si>
    <t>Bus-262</t>
  </si>
  <si>
    <t>Bus-110</t>
  </si>
  <si>
    <t>Bus-468</t>
  </si>
  <si>
    <t>Bus-571</t>
  </si>
  <si>
    <t>Bus-470</t>
  </si>
  <si>
    <t>Bus-831</t>
  </si>
  <si>
    <t>Bus-207</t>
  </si>
  <si>
    <t>Bus-903</t>
  </si>
  <si>
    <t>Bus-627</t>
  </si>
  <si>
    <t>Bus-417</t>
  </si>
  <si>
    <t>Bus-781</t>
  </si>
  <si>
    <t>Bus-123</t>
  </si>
  <si>
    <t>Bus-850</t>
  </si>
  <si>
    <t>Bus-518</t>
  </si>
  <si>
    <t>Bus-339</t>
  </si>
  <si>
    <t>Bus-789</t>
  </si>
  <si>
    <t>Bus-373</t>
  </si>
  <si>
    <t>Bus-806</t>
  </si>
  <si>
    <t>Bus-665</t>
  </si>
  <si>
    <t>Bus-964</t>
  </si>
  <si>
    <t>Bus-833</t>
  </si>
  <si>
    <t>Bus-492</t>
  </si>
  <si>
    <t>Bus-319</t>
  </si>
  <si>
    <t>Bus-947</t>
  </si>
  <si>
    <t>Bus-886</t>
  </si>
  <si>
    <t>Bus-522</t>
  </si>
  <si>
    <t>Bus-881</t>
  </si>
  <si>
    <t>Bus-965</t>
  </si>
  <si>
    <t>Bus-601</t>
  </si>
  <si>
    <t>Bus-401</t>
  </si>
  <si>
    <t>Bus-608</t>
  </si>
  <si>
    <t>Bus-173</t>
  </si>
  <si>
    <t>Bus-210</t>
  </si>
  <si>
    <t>Bus-752</t>
  </si>
  <si>
    <t>Bus-563</t>
  </si>
  <si>
    <t>Bus-954</t>
  </si>
  <si>
    <t>Bus-539</t>
  </si>
  <si>
    <t>Bus-133</t>
  </si>
  <si>
    <t>Bus-181</t>
  </si>
  <si>
    <t>Bus-516</t>
  </si>
  <si>
    <t>Bus-357</t>
  </si>
  <si>
    <t>Bus-694</t>
  </si>
  <si>
    <t>Bus-796</t>
  </si>
  <si>
    <t>Bus-481</t>
  </si>
  <si>
    <t>Bus-144</t>
  </si>
  <si>
    <t>Bus-256</t>
  </si>
  <si>
    <t>Bus-253</t>
  </si>
  <si>
    <t>Bus-970</t>
  </si>
  <si>
    <t>Bus-382</t>
  </si>
  <si>
    <t>Bus-107</t>
  </si>
  <si>
    <t>Bus-696</t>
  </si>
  <si>
    <t>Bus-330</t>
  </si>
  <si>
    <t>Bus-242</t>
  </si>
  <si>
    <t>Bus-301</t>
  </si>
  <si>
    <t>Bus-318</t>
  </si>
  <si>
    <t>Bus-567</t>
  </si>
  <si>
    <t>Bus-927</t>
  </si>
  <si>
    <t>Bus-710</t>
  </si>
  <si>
    <t>Bus-793</t>
  </si>
  <si>
    <t>Bus-923</t>
  </si>
  <si>
    <t>Bus-422</t>
  </si>
  <si>
    <t>Bus-434</t>
  </si>
  <si>
    <t>Bus-115</t>
  </si>
  <si>
    <t>Bus-945</t>
  </si>
  <si>
    <t>Bus-200</t>
  </si>
  <si>
    <t>Bus-458</t>
  </si>
  <si>
    <t>Bus-134</t>
  </si>
  <si>
    <t>Bus-175</t>
  </si>
  <si>
    <t>Bus-275</t>
  </si>
  <si>
    <t>Bus-226</t>
  </si>
  <si>
    <t>Bus-836</t>
  </si>
  <si>
    <t>Bus-475</t>
  </si>
  <si>
    <t>Bus-219</t>
  </si>
  <si>
    <t>Bus-625</t>
  </si>
  <si>
    <t>Bus-672</t>
  </si>
  <si>
    <t>Bus-981</t>
  </si>
  <si>
    <t>Bus-866</t>
  </si>
  <si>
    <t>Bus-147</t>
  </si>
  <si>
    <t>Bus-953</t>
  </si>
  <si>
    <t>Litres</t>
  </si>
  <si>
    <r>
      <t>CO</t>
    </r>
    <r>
      <rPr>
        <b/>
        <sz val="10"/>
        <rFont val="Times New Roman"/>
        <family val="1"/>
      </rPr>
      <t>2</t>
    </r>
    <r>
      <rPr>
        <b/>
        <sz val="11"/>
        <rFont val="Times New Roman"/>
        <family val="1"/>
      </rPr>
      <t>_Emissions</t>
    </r>
  </si>
  <si>
    <t>Trip_Date Bin</t>
  </si>
  <si>
    <t>Michael</t>
  </si>
  <si>
    <t>Chidi</t>
  </si>
  <si>
    <t>Okafor</t>
  </si>
  <si>
    <t>Fuel_Cost Bin</t>
  </si>
  <si>
    <t>FueL_Unit(Corrected)</t>
  </si>
  <si>
    <t>FueL_Unit</t>
  </si>
  <si>
    <t>Vehicle_Age Years</t>
  </si>
  <si>
    <t>Vehicle_Age Years Bins</t>
  </si>
  <si>
    <t>Fuel Efficiency</t>
  </si>
  <si>
    <r>
      <t xml:space="preserve"> </t>
    </r>
    <r>
      <rPr>
        <b/>
        <sz val="11"/>
        <color theme="1"/>
        <rFont val="Times New Roman"/>
        <family val="1"/>
      </rPr>
      <t>Fuel Cost per Km</t>
    </r>
  </si>
  <si>
    <r>
      <rPr>
        <b/>
        <sz val="11"/>
        <color theme="1"/>
        <rFont val="Times New Roman"/>
        <family val="1"/>
      </rPr>
      <t>CO</t>
    </r>
    <r>
      <rPr>
        <b/>
        <sz val="10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_Emissions per km</t>
    </r>
  </si>
  <si>
    <r>
      <t>CO</t>
    </r>
    <r>
      <rPr>
        <b/>
        <sz val="10"/>
        <rFont val="Times New Roman"/>
        <family val="1"/>
      </rPr>
      <t>2</t>
    </r>
    <r>
      <rPr>
        <b/>
        <sz val="11"/>
        <rFont val="Times New Roman"/>
        <family val="1"/>
      </rPr>
      <t>_Emissions Bins</t>
    </r>
  </si>
  <si>
    <t>Trip_Date(Corrected)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</si>
</sst>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left" vertical="top"/>
    </xf>
    <xf numFmtId="2" fontId="2" fillId="0" borderId="1" xfId="0" applyNumberFormat="1" applyFont="1" applyBorder="1" applyAlignment="1">
      <alignment horizontal="left" vertical="top"/>
    </xf>
    <xf numFmtId="1" fontId="2" fillId="0" borderId="1" xfId="0" applyNumberFormat="1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01"/>
  <sheetViews>
    <sheetView zoomScale="85" zoomScaleNormal="85" workbookViewId="0">
      <selection activeCell="Q15" sqref="Q15"/>
    </sheetView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45</v>
      </c>
      <c r="F2" t="s">
        <v>18</v>
      </c>
      <c r="G2">
        <v>320</v>
      </c>
      <c r="H2" t="s">
        <v>19</v>
      </c>
      <c r="I2">
        <v>42000</v>
      </c>
      <c r="J2" t="s">
        <v>20</v>
      </c>
      <c r="K2" t="s">
        <v>21</v>
      </c>
      <c r="L2" t="s">
        <v>22</v>
      </c>
      <c r="M2" t="s">
        <v>23</v>
      </c>
      <c r="N2">
        <v>8</v>
      </c>
      <c r="O2">
        <v>120</v>
      </c>
    </row>
    <row r="3" spans="1:15">
      <c r="A3">
        <v>2</v>
      </c>
      <c r="B3" t="s">
        <v>24</v>
      </c>
      <c r="C3" t="s">
        <v>25</v>
      </c>
      <c r="D3" t="s">
        <v>17</v>
      </c>
      <c r="E3">
        <v>38</v>
      </c>
      <c r="F3" t="s">
        <v>26</v>
      </c>
      <c r="G3">
        <v>280</v>
      </c>
      <c r="H3" t="s">
        <v>27</v>
      </c>
      <c r="I3">
        <v>39000</v>
      </c>
      <c r="J3" t="s">
        <v>20</v>
      </c>
      <c r="K3" t="s">
        <v>28</v>
      </c>
      <c r="L3" t="s">
        <v>29</v>
      </c>
      <c r="M3" t="s">
        <v>30</v>
      </c>
      <c r="N3">
        <v>10</v>
      </c>
      <c r="O3">
        <v>110</v>
      </c>
    </row>
    <row r="4" spans="1:15">
      <c r="A4">
        <v>3</v>
      </c>
      <c r="B4" t="s">
        <v>31</v>
      </c>
      <c r="C4" t="s">
        <v>32</v>
      </c>
      <c r="D4" t="s">
        <v>33</v>
      </c>
      <c r="E4">
        <v>25</v>
      </c>
      <c r="F4" t="s">
        <v>34</v>
      </c>
      <c r="G4">
        <v>150</v>
      </c>
      <c r="H4" t="s">
        <v>19</v>
      </c>
      <c r="I4">
        <v>18000</v>
      </c>
      <c r="J4" t="s">
        <v>20</v>
      </c>
      <c r="K4" t="s">
        <v>35</v>
      </c>
      <c r="L4" t="s">
        <v>36</v>
      </c>
      <c r="M4" t="s">
        <v>37</v>
      </c>
      <c r="N4">
        <v>5</v>
      </c>
      <c r="O4">
        <v>85</v>
      </c>
    </row>
    <row r="5" spans="1:15">
      <c r="A5">
        <v>4</v>
      </c>
      <c r="B5" t="s">
        <v>38</v>
      </c>
      <c r="C5" t="s">
        <v>39</v>
      </c>
      <c r="D5" t="s">
        <v>40</v>
      </c>
      <c r="E5">
        <v>12</v>
      </c>
      <c r="F5" t="s">
        <v>41</v>
      </c>
      <c r="G5">
        <v>95</v>
      </c>
      <c r="H5" t="s">
        <v>19</v>
      </c>
      <c r="I5">
        <v>9500</v>
      </c>
      <c r="J5" t="s">
        <v>20</v>
      </c>
      <c r="K5" t="s">
        <v>42</v>
      </c>
      <c r="L5" t="s">
        <v>43</v>
      </c>
      <c r="M5" t="s">
        <v>44</v>
      </c>
      <c r="N5">
        <v>3</v>
      </c>
      <c r="O5">
        <v>45</v>
      </c>
    </row>
    <row r="6" spans="1:15">
      <c r="A6">
        <v>5</v>
      </c>
      <c r="B6" t="s">
        <v>45</v>
      </c>
      <c r="C6" t="s">
        <v>16</v>
      </c>
      <c r="D6" t="s">
        <v>17</v>
      </c>
      <c r="F6" t="s">
        <v>18</v>
      </c>
      <c r="G6">
        <v>410</v>
      </c>
      <c r="H6" t="s">
        <v>19</v>
      </c>
      <c r="I6">
        <v>55000</v>
      </c>
      <c r="J6" t="s">
        <v>20</v>
      </c>
      <c r="K6" t="s">
        <v>46</v>
      </c>
      <c r="L6" t="s">
        <v>47</v>
      </c>
      <c r="M6" t="s">
        <v>48</v>
      </c>
      <c r="N6">
        <v>12</v>
      </c>
      <c r="O6">
        <v>140</v>
      </c>
    </row>
    <row r="7" spans="1:15">
      <c r="A7">
        <v>6</v>
      </c>
      <c r="B7" t="s">
        <v>45</v>
      </c>
      <c r="C7" t="s">
        <v>16</v>
      </c>
      <c r="D7" t="s">
        <v>17</v>
      </c>
      <c r="E7">
        <v>60</v>
      </c>
      <c r="F7" t="s">
        <v>18</v>
      </c>
      <c r="G7">
        <v>410</v>
      </c>
      <c r="H7" t="s">
        <v>19</v>
      </c>
      <c r="I7">
        <v>55000</v>
      </c>
      <c r="J7" t="s">
        <v>20</v>
      </c>
      <c r="K7" t="s">
        <v>46</v>
      </c>
      <c r="L7" t="s">
        <v>47</v>
      </c>
      <c r="M7" t="s">
        <v>48</v>
      </c>
      <c r="N7">
        <v>12</v>
      </c>
      <c r="O7">
        <v>140</v>
      </c>
    </row>
    <row r="8" spans="1:15">
      <c r="A8">
        <v>7</v>
      </c>
      <c r="B8" t="s">
        <v>49</v>
      </c>
      <c r="C8" t="s">
        <v>50</v>
      </c>
      <c r="D8" t="s">
        <v>33</v>
      </c>
      <c r="E8">
        <v>4</v>
      </c>
      <c r="F8" t="s">
        <v>51</v>
      </c>
      <c r="G8">
        <v>40</v>
      </c>
      <c r="H8" t="s">
        <v>19</v>
      </c>
      <c r="I8">
        <v>2500</v>
      </c>
      <c r="J8" t="s">
        <v>20</v>
      </c>
      <c r="K8" t="s">
        <v>52</v>
      </c>
      <c r="L8" t="s">
        <v>53</v>
      </c>
      <c r="M8" t="s">
        <v>54</v>
      </c>
      <c r="N8">
        <v>2</v>
      </c>
      <c r="O8">
        <v>12</v>
      </c>
    </row>
    <row r="9" spans="1:15">
      <c r="A9">
        <v>8</v>
      </c>
      <c r="B9" t="s">
        <v>55</v>
      </c>
      <c r="C9" t="s">
        <v>32</v>
      </c>
      <c r="D9" t="s">
        <v>17</v>
      </c>
      <c r="E9">
        <v>30</v>
      </c>
      <c r="F9" t="s">
        <v>56</v>
      </c>
      <c r="G9">
        <v>180</v>
      </c>
      <c r="H9" t="s">
        <v>19</v>
      </c>
      <c r="I9">
        <v>30000</v>
      </c>
      <c r="J9" t="s">
        <v>20</v>
      </c>
      <c r="K9" t="s">
        <v>57</v>
      </c>
      <c r="L9" t="s">
        <v>58</v>
      </c>
      <c r="M9" t="s">
        <v>59</v>
      </c>
      <c r="N9">
        <v>7</v>
      </c>
      <c r="O9">
        <v>95</v>
      </c>
    </row>
    <row r="10" spans="1:15">
      <c r="A10">
        <v>9</v>
      </c>
      <c r="B10" t="s">
        <v>60</v>
      </c>
      <c r="C10" t="s">
        <v>39</v>
      </c>
      <c r="D10" t="s">
        <v>61</v>
      </c>
      <c r="E10">
        <v>0</v>
      </c>
      <c r="F10" t="s">
        <v>62</v>
      </c>
      <c r="G10">
        <v>120</v>
      </c>
      <c r="H10" t="s">
        <v>19</v>
      </c>
      <c r="I10">
        <v>4000</v>
      </c>
      <c r="J10" t="s">
        <v>20</v>
      </c>
      <c r="K10" t="s">
        <v>63</v>
      </c>
      <c r="L10" t="s">
        <v>64</v>
      </c>
      <c r="M10" t="s">
        <v>65</v>
      </c>
      <c r="N10">
        <v>1</v>
      </c>
      <c r="O10">
        <v>0</v>
      </c>
    </row>
    <row r="11" spans="1:15">
      <c r="A11">
        <v>10</v>
      </c>
      <c r="B11" t="s">
        <v>66</v>
      </c>
      <c r="C11" t="s">
        <v>16</v>
      </c>
      <c r="D11" t="s">
        <v>17</v>
      </c>
      <c r="E11">
        <v>52</v>
      </c>
      <c r="F11" t="s">
        <v>18</v>
      </c>
      <c r="G11">
        <v>380</v>
      </c>
      <c r="H11" t="s">
        <v>19</v>
      </c>
      <c r="I11">
        <v>48000</v>
      </c>
      <c r="J11" t="s">
        <v>20</v>
      </c>
      <c r="K11" t="s">
        <v>67</v>
      </c>
      <c r="L11" t="s">
        <v>68</v>
      </c>
      <c r="M11" t="s">
        <v>69</v>
      </c>
      <c r="N11">
        <v>9</v>
      </c>
      <c r="O11">
        <v>130</v>
      </c>
    </row>
    <row r="12" spans="1:15">
      <c r="A12">
        <v>11</v>
      </c>
      <c r="B12" t="s">
        <v>70</v>
      </c>
      <c r="C12" t="s">
        <v>16</v>
      </c>
      <c r="D12" t="s">
        <v>17</v>
      </c>
      <c r="E12">
        <v>49</v>
      </c>
      <c r="F12" t="s">
        <v>18</v>
      </c>
      <c r="G12">
        <v>360</v>
      </c>
      <c r="H12" t="s">
        <v>19</v>
      </c>
      <c r="I12">
        <v>47000</v>
      </c>
      <c r="J12" t="s">
        <v>20</v>
      </c>
      <c r="K12" t="s">
        <v>71</v>
      </c>
      <c r="L12" t="s">
        <v>68</v>
      </c>
      <c r="M12" t="s">
        <v>69</v>
      </c>
      <c r="N12">
        <v>9</v>
      </c>
      <c r="O12">
        <v>128</v>
      </c>
    </row>
    <row r="13" spans="1:15">
      <c r="A13">
        <v>12</v>
      </c>
      <c r="B13" t="s">
        <v>72</v>
      </c>
      <c r="C13" t="s">
        <v>39</v>
      </c>
      <c r="D13" t="s">
        <v>33</v>
      </c>
      <c r="E13">
        <v>10</v>
      </c>
      <c r="F13" t="s">
        <v>26</v>
      </c>
      <c r="G13">
        <v>85</v>
      </c>
      <c r="H13" t="s">
        <v>19</v>
      </c>
      <c r="I13">
        <v>8800</v>
      </c>
      <c r="J13" t="s">
        <v>20</v>
      </c>
      <c r="K13" t="s">
        <v>73</v>
      </c>
      <c r="L13" t="s">
        <v>74</v>
      </c>
      <c r="M13" t="s">
        <v>75</v>
      </c>
      <c r="N13">
        <v>4</v>
      </c>
      <c r="O13">
        <v>40</v>
      </c>
    </row>
    <row r="14" spans="1:15">
      <c r="A14">
        <v>13</v>
      </c>
      <c r="B14" t="s">
        <v>76</v>
      </c>
      <c r="C14" t="s">
        <v>32</v>
      </c>
      <c r="D14" t="s">
        <v>17</v>
      </c>
      <c r="E14">
        <v>35</v>
      </c>
      <c r="F14" t="s">
        <v>18</v>
      </c>
      <c r="G14">
        <v>200</v>
      </c>
      <c r="H14" t="s">
        <v>19</v>
      </c>
      <c r="I14">
        <v>32000</v>
      </c>
      <c r="J14" t="s">
        <v>20</v>
      </c>
      <c r="K14" t="s">
        <v>77</v>
      </c>
      <c r="L14" t="s">
        <v>78</v>
      </c>
      <c r="N14">
        <v>6</v>
      </c>
      <c r="O14">
        <v>100</v>
      </c>
    </row>
    <row r="15" spans="1:15">
      <c r="A15">
        <v>14</v>
      </c>
      <c r="B15" t="s">
        <v>79</v>
      </c>
      <c r="C15" t="s">
        <v>16</v>
      </c>
      <c r="D15" t="s">
        <v>17</v>
      </c>
      <c r="E15">
        <v>70</v>
      </c>
      <c r="F15" t="s">
        <v>18</v>
      </c>
      <c r="G15">
        <v>500</v>
      </c>
      <c r="H15" t="s">
        <v>19</v>
      </c>
      <c r="I15">
        <v>75000</v>
      </c>
      <c r="J15" t="s">
        <v>20</v>
      </c>
      <c r="K15" t="s">
        <v>80</v>
      </c>
      <c r="L15" t="s">
        <v>81</v>
      </c>
      <c r="M15" t="s">
        <v>82</v>
      </c>
      <c r="N15">
        <v>15</v>
      </c>
      <c r="O15">
        <v>190</v>
      </c>
    </row>
    <row r="16" spans="1:15">
      <c r="A16">
        <v>15</v>
      </c>
      <c r="B16" t="s">
        <v>83</v>
      </c>
      <c r="C16" t="s">
        <v>39</v>
      </c>
      <c r="D16" t="s">
        <v>33</v>
      </c>
      <c r="E16">
        <v>8</v>
      </c>
      <c r="F16" t="s">
        <v>18</v>
      </c>
      <c r="G16">
        <v>70</v>
      </c>
      <c r="H16" t="s">
        <v>19</v>
      </c>
      <c r="I16">
        <v>7200</v>
      </c>
      <c r="J16" t="s">
        <v>20</v>
      </c>
      <c r="K16" t="s">
        <v>84</v>
      </c>
      <c r="L16" t="s">
        <v>85</v>
      </c>
      <c r="M16" t="s">
        <v>86</v>
      </c>
      <c r="N16">
        <v>2</v>
      </c>
      <c r="O16">
        <v>35</v>
      </c>
    </row>
    <row r="17" spans="1:15">
      <c r="A17">
        <v>16</v>
      </c>
      <c r="B17" t="s">
        <v>87</v>
      </c>
      <c r="C17" t="s">
        <v>32</v>
      </c>
      <c r="D17" t="s">
        <v>17</v>
      </c>
      <c r="E17">
        <v>32</v>
      </c>
      <c r="F17" t="s">
        <v>18</v>
      </c>
      <c r="G17">
        <v>190</v>
      </c>
      <c r="H17" t="s">
        <v>19</v>
      </c>
      <c r="I17">
        <v>31000</v>
      </c>
      <c r="J17" t="s">
        <v>20</v>
      </c>
      <c r="K17" t="s">
        <v>88</v>
      </c>
      <c r="L17" t="s">
        <v>89</v>
      </c>
      <c r="M17" t="s">
        <v>90</v>
      </c>
      <c r="N17">
        <v>6</v>
      </c>
      <c r="O17">
        <v>98</v>
      </c>
    </row>
    <row r="18" spans="1:15">
      <c r="A18">
        <v>17</v>
      </c>
      <c r="B18" t="s">
        <v>91</v>
      </c>
      <c r="C18" t="s">
        <v>16</v>
      </c>
      <c r="D18" t="s">
        <v>17</v>
      </c>
      <c r="E18">
        <v>90</v>
      </c>
      <c r="F18" t="s">
        <v>18</v>
      </c>
      <c r="G18">
        <v>620</v>
      </c>
      <c r="H18" t="s">
        <v>19</v>
      </c>
      <c r="I18">
        <v>91000</v>
      </c>
      <c r="J18" t="s">
        <v>20</v>
      </c>
      <c r="K18" t="s">
        <v>92</v>
      </c>
      <c r="L18" t="s">
        <v>93</v>
      </c>
      <c r="M18" t="s">
        <v>94</v>
      </c>
      <c r="N18">
        <v>18</v>
      </c>
      <c r="O18">
        <v>240</v>
      </c>
    </row>
    <row r="19" spans="1:15">
      <c r="A19">
        <v>18</v>
      </c>
      <c r="B19" t="s">
        <v>95</v>
      </c>
      <c r="C19" t="s">
        <v>39</v>
      </c>
      <c r="D19" t="s">
        <v>40</v>
      </c>
      <c r="E19">
        <v>11</v>
      </c>
      <c r="F19" t="s">
        <v>26</v>
      </c>
      <c r="G19">
        <v>92</v>
      </c>
      <c r="H19" t="s">
        <v>19</v>
      </c>
      <c r="I19">
        <v>9100</v>
      </c>
      <c r="J19" t="s">
        <v>20</v>
      </c>
      <c r="K19" t="s">
        <v>96</v>
      </c>
      <c r="L19" t="s">
        <v>97</v>
      </c>
      <c r="M19" t="s">
        <v>98</v>
      </c>
      <c r="N19">
        <v>5</v>
      </c>
      <c r="O19">
        <v>42</v>
      </c>
    </row>
    <row r="20" spans="1:15">
      <c r="A20">
        <v>19</v>
      </c>
      <c r="B20" t="s">
        <v>99</v>
      </c>
      <c r="C20" t="s">
        <v>50</v>
      </c>
      <c r="D20" t="s">
        <v>33</v>
      </c>
      <c r="E20">
        <v>3.5</v>
      </c>
      <c r="F20" t="s">
        <v>41</v>
      </c>
      <c r="G20">
        <v>35</v>
      </c>
      <c r="H20" t="s">
        <v>19</v>
      </c>
      <c r="I20">
        <v>2200</v>
      </c>
      <c r="J20" t="s">
        <v>20</v>
      </c>
      <c r="K20" t="s">
        <v>100</v>
      </c>
      <c r="L20" t="s">
        <v>53</v>
      </c>
      <c r="M20" t="s">
        <v>54</v>
      </c>
      <c r="N20">
        <v>2</v>
      </c>
      <c r="O20">
        <v>10</v>
      </c>
    </row>
    <row r="21" spans="1:15">
      <c r="A21">
        <v>20</v>
      </c>
      <c r="B21" t="s">
        <v>101</v>
      </c>
      <c r="C21" t="s">
        <v>32</v>
      </c>
      <c r="D21" t="s">
        <v>17</v>
      </c>
      <c r="E21">
        <v>29</v>
      </c>
      <c r="F21" t="s">
        <v>26</v>
      </c>
      <c r="G21">
        <v>175</v>
      </c>
      <c r="H21" t="s">
        <v>19</v>
      </c>
      <c r="I21">
        <v>29500</v>
      </c>
      <c r="J21" t="s">
        <v>20</v>
      </c>
      <c r="K21" t="s">
        <v>102</v>
      </c>
      <c r="L21" t="s">
        <v>103</v>
      </c>
      <c r="M21" t="s">
        <v>104</v>
      </c>
      <c r="N21">
        <v>8</v>
      </c>
      <c r="O21">
        <v>92</v>
      </c>
    </row>
    <row r="22" spans="1:15">
      <c r="A22">
        <v>21</v>
      </c>
      <c r="B22" t="s">
        <v>105</v>
      </c>
      <c r="C22" t="s">
        <v>39</v>
      </c>
      <c r="D22" t="s">
        <v>33</v>
      </c>
      <c r="E22">
        <v>9</v>
      </c>
      <c r="F22" t="s">
        <v>18</v>
      </c>
      <c r="G22">
        <v>80</v>
      </c>
      <c r="H22" t="s">
        <v>19</v>
      </c>
      <c r="I22">
        <v>8200</v>
      </c>
      <c r="J22" t="s">
        <v>20</v>
      </c>
      <c r="K22" t="s">
        <v>106</v>
      </c>
      <c r="L22" t="s">
        <v>107</v>
      </c>
      <c r="M22" t="s">
        <v>108</v>
      </c>
      <c r="N22">
        <v>4</v>
      </c>
      <c r="O22">
        <v>38</v>
      </c>
    </row>
    <row r="23" spans="1:15">
      <c r="A23">
        <v>22</v>
      </c>
      <c r="B23" t="s">
        <v>109</v>
      </c>
      <c r="C23" t="s">
        <v>16</v>
      </c>
      <c r="D23" t="s">
        <v>17</v>
      </c>
      <c r="E23">
        <v>65</v>
      </c>
      <c r="F23" t="s">
        <v>18</v>
      </c>
      <c r="G23">
        <v>450</v>
      </c>
      <c r="H23" t="s">
        <v>19</v>
      </c>
      <c r="I23">
        <v>68000</v>
      </c>
      <c r="J23" t="s">
        <v>20</v>
      </c>
      <c r="K23" t="s">
        <v>110</v>
      </c>
      <c r="L23" t="s">
        <v>111</v>
      </c>
      <c r="M23" t="s">
        <v>112</v>
      </c>
      <c r="N23">
        <v>11</v>
      </c>
      <c r="O23">
        <v>170</v>
      </c>
    </row>
    <row r="24" spans="1:15">
      <c r="A24">
        <v>23</v>
      </c>
      <c r="B24" t="s">
        <v>109</v>
      </c>
      <c r="C24" t="s">
        <v>16</v>
      </c>
      <c r="D24" t="s">
        <v>17</v>
      </c>
      <c r="E24">
        <v>65</v>
      </c>
      <c r="F24" t="s">
        <v>18</v>
      </c>
      <c r="G24">
        <v>450</v>
      </c>
      <c r="H24" t="s">
        <v>19</v>
      </c>
      <c r="I24">
        <v>68000</v>
      </c>
      <c r="J24" t="s">
        <v>20</v>
      </c>
      <c r="K24" t="s">
        <v>110</v>
      </c>
      <c r="L24" t="s">
        <v>111</v>
      </c>
      <c r="M24" t="s">
        <v>112</v>
      </c>
      <c r="N24">
        <v>11</v>
      </c>
      <c r="O24">
        <v>170</v>
      </c>
    </row>
    <row r="25" spans="1:15">
      <c r="A25">
        <v>24</v>
      </c>
      <c r="B25" t="s">
        <v>113</v>
      </c>
      <c r="C25" t="s">
        <v>39</v>
      </c>
      <c r="D25" t="s">
        <v>114</v>
      </c>
      <c r="E25">
        <v>5</v>
      </c>
      <c r="F25" t="s">
        <v>18</v>
      </c>
      <c r="G25">
        <v>110</v>
      </c>
      <c r="H25" t="s">
        <v>19</v>
      </c>
      <c r="I25">
        <v>6000</v>
      </c>
      <c r="J25" t="s">
        <v>20</v>
      </c>
      <c r="K25" t="s">
        <v>115</v>
      </c>
      <c r="L25" t="s">
        <v>116</v>
      </c>
      <c r="M25" t="s">
        <v>117</v>
      </c>
      <c r="N25">
        <v>3</v>
      </c>
      <c r="O25">
        <v>25</v>
      </c>
    </row>
    <row r="26" spans="1:15">
      <c r="A26">
        <v>25</v>
      </c>
      <c r="B26" t="s">
        <v>118</v>
      </c>
      <c r="C26" t="s">
        <v>32</v>
      </c>
      <c r="D26" t="s">
        <v>17</v>
      </c>
      <c r="E26">
        <v>40</v>
      </c>
      <c r="F26" t="s">
        <v>18</v>
      </c>
      <c r="G26">
        <v>210</v>
      </c>
      <c r="H26" t="s">
        <v>19</v>
      </c>
      <c r="I26">
        <v>35000</v>
      </c>
      <c r="J26" t="s">
        <v>20</v>
      </c>
      <c r="K26" t="s">
        <v>119</v>
      </c>
      <c r="L26" t="s">
        <v>120</v>
      </c>
      <c r="M26" t="s">
        <v>121</v>
      </c>
      <c r="N26">
        <v>9</v>
      </c>
      <c r="O26">
        <v>105</v>
      </c>
    </row>
    <row r="27" spans="1:15">
      <c r="A27">
        <v>26</v>
      </c>
      <c r="B27" t="s">
        <v>122</v>
      </c>
      <c r="C27" t="s">
        <v>123</v>
      </c>
      <c r="D27" t="s">
        <v>33</v>
      </c>
      <c r="E27">
        <v>12.6</v>
      </c>
      <c r="F27" t="s">
        <v>41</v>
      </c>
      <c r="G27">
        <v>481</v>
      </c>
      <c r="H27" t="s">
        <v>27</v>
      </c>
      <c r="I27">
        <v>28890</v>
      </c>
      <c r="J27" t="s">
        <v>124</v>
      </c>
      <c r="K27" t="s">
        <v>125</v>
      </c>
      <c r="L27" t="s">
        <v>126</v>
      </c>
      <c r="M27" t="s">
        <v>127</v>
      </c>
      <c r="N27">
        <v>20</v>
      </c>
      <c r="O27">
        <v>26.9</v>
      </c>
    </row>
    <row r="28" spans="1:15">
      <c r="A28">
        <v>27</v>
      </c>
      <c r="B28" t="s">
        <v>128</v>
      </c>
      <c r="C28" t="s">
        <v>32</v>
      </c>
      <c r="D28" t="s">
        <v>17</v>
      </c>
      <c r="E28">
        <v>54</v>
      </c>
      <c r="F28" t="s">
        <v>26</v>
      </c>
      <c r="G28">
        <v>356</v>
      </c>
      <c r="H28" t="s">
        <v>19</v>
      </c>
      <c r="I28">
        <v>27305</v>
      </c>
      <c r="J28" t="s">
        <v>124</v>
      </c>
      <c r="K28" t="s">
        <v>129</v>
      </c>
      <c r="L28" t="s">
        <v>130</v>
      </c>
      <c r="M28" t="s">
        <v>131</v>
      </c>
      <c r="N28">
        <v>4</v>
      </c>
      <c r="O28">
        <v>160.69999999999999</v>
      </c>
    </row>
    <row r="29" spans="1:15">
      <c r="A29">
        <v>28</v>
      </c>
      <c r="B29" t="s">
        <v>132</v>
      </c>
      <c r="C29" t="s">
        <v>133</v>
      </c>
      <c r="D29" t="s">
        <v>114</v>
      </c>
      <c r="E29">
        <v>72.900000000000006</v>
      </c>
      <c r="F29" t="s">
        <v>18</v>
      </c>
      <c r="G29">
        <v>518</v>
      </c>
      <c r="H29" t="s">
        <v>19</v>
      </c>
      <c r="I29">
        <v>25013</v>
      </c>
      <c r="J29" t="s">
        <v>124</v>
      </c>
      <c r="K29" t="s">
        <v>134</v>
      </c>
      <c r="L29" t="s">
        <v>135</v>
      </c>
      <c r="N29">
        <v>17</v>
      </c>
      <c r="O29">
        <v>214</v>
      </c>
    </row>
    <row r="30" spans="1:15">
      <c r="A30">
        <v>29</v>
      </c>
      <c r="B30" t="s">
        <v>136</v>
      </c>
      <c r="C30" t="s">
        <v>133</v>
      </c>
      <c r="D30" t="s">
        <v>137</v>
      </c>
      <c r="E30">
        <v>82.3</v>
      </c>
      <c r="F30" t="s">
        <v>26</v>
      </c>
      <c r="G30">
        <v>393</v>
      </c>
      <c r="H30" t="s">
        <v>27</v>
      </c>
      <c r="I30">
        <v>18595</v>
      </c>
      <c r="J30" t="s">
        <v>20</v>
      </c>
      <c r="K30" t="s">
        <v>138</v>
      </c>
      <c r="L30" t="s">
        <v>139</v>
      </c>
      <c r="M30" t="s">
        <v>127</v>
      </c>
      <c r="N30">
        <v>7</v>
      </c>
      <c r="O30">
        <v>179.6</v>
      </c>
    </row>
    <row r="31" spans="1:15">
      <c r="A31">
        <v>30</v>
      </c>
      <c r="B31" t="s">
        <v>140</v>
      </c>
      <c r="C31" t="s">
        <v>25</v>
      </c>
      <c r="D31" t="s">
        <v>137</v>
      </c>
      <c r="E31">
        <v>9.1999999999999993</v>
      </c>
      <c r="F31" t="s">
        <v>18</v>
      </c>
      <c r="G31">
        <v>536</v>
      </c>
      <c r="H31" t="s">
        <v>27</v>
      </c>
      <c r="I31">
        <v>93693</v>
      </c>
      <c r="J31" t="s">
        <v>20</v>
      </c>
      <c r="K31" t="s">
        <v>141</v>
      </c>
      <c r="L31" t="s">
        <v>142</v>
      </c>
      <c r="N31">
        <v>1</v>
      </c>
      <c r="O31">
        <v>26.7</v>
      </c>
    </row>
    <row r="32" spans="1:15">
      <c r="A32">
        <v>31</v>
      </c>
      <c r="B32" t="s">
        <v>143</v>
      </c>
      <c r="C32" t="s">
        <v>39</v>
      </c>
      <c r="D32" t="s">
        <v>17</v>
      </c>
      <c r="E32">
        <v>10.7</v>
      </c>
      <c r="F32" t="s">
        <v>41</v>
      </c>
      <c r="G32">
        <v>422</v>
      </c>
      <c r="H32" t="s">
        <v>27</v>
      </c>
      <c r="I32">
        <v>47789</v>
      </c>
      <c r="J32" t="s">
        <v>124</v>
      </c>
      <c r="K32" t="s">
        <v>144</v>
      </c>
      <c r="L32" t="s">
        <v>145</v>
      </c>
      <c r="M32" t="s">
        <v>146</v>
      </c>
      <c r="N32">
        <v>20</v>
      </c>
      <c r="O32">
        <v>28.3</v>
      </c>
    </row>
    <row r="33" spans="1:15">
      <c r="A33">
        <v>32</v>
      </c>
      <c r="B33" t="s">
        <v>147</v>
      </c>
      <c r="C33" t="s">
        <v>32</v>
      </c>
      <c r="D33" t="s">
        <v>17</v>
      </c>
      <c r="E33">
        <v>58.4</v>
      </c>
      <c r="F33" t="s">
        <v>18</v>
      </c>
      <c r="G33">
        <v>695</v>
      </c>
      <c r="H33" t="s">
        <v>19</v>
      </c>
      <c r="I33">
        <v>74022</v>
      </c>
      <c r="J33" t="s">
        <v>124</v>
      </c>
      <c r="K33" t="s">
        <v>148</v>
      </c>
      <c r="L33" t="s">
        <v>149</v>
      </c>
      <c r="N33">
        <v>13</v>
      </c>
      <c r="O33">
        <v>133.69999999999999</v>
      </c>
    </row>
    <row r="34" spans="1:15">
      <c r="A34">
        <v>33</v>
      </c>
      <c r="B34" t="s">
        <v>150</v>
      </c>
      <c r="C34" t="s">
        <v>39</v>
      </c>
      <c r="D34" t="s">
        <v>40</v>
      </c>
      <c r="E34">
        <v>78.3</v>
      </c>
      <c r="F34" t="s">
        <v>56</v>
      </c>
      <c r="G34">
        <v>218</v>
      </c>
      <c r="H34" t="s">
        <v>27</v>
      </c>
      <c r="I34">
        <v>14262</v>
      </c>
      <c r="J34" t="s">
        <v>20</v>
      </c>
      <c r="K34" t="s">
        <v>151</v>
      </c>
      <c r="L34" t="s">
        <v>152</v>
      </c>
      <c r="M34" t="s">
        <v>153</v>
      </c>
      <c r="N34">
        <v>13</v>
      </c>
      <c r="O34">
        <v>181.1</v>
      </c>
    </row>
    <row r="35" spans="1:15">
      <c r="A35">
        <v>34</v>
      </c>
      <c r="B35" t="s">
        <v>154</v>
      </c>
      <c r="C35" t="s">
        <v>16</v>
      </c>
      <c r="D35" t="s">
        <v>137</v>
      </c>
      <c r="E35">
        <v>50.6</v>
      </c>
      <c r="F35" t="s">
        <v>62</v>
      </c>
      <c r="G35">
        <v>635</v>
      </c>
      <c r="H35" t="s">
        <v>19</v>
      </c>
      <c r="I35">
        <v>83159</v>
      </c>
      <c r="J35" t="s">
        <v>20</v>
      </c>
      <c r="K35" t="s">
        <v>155</v>
      </c>
      <c r="L35" t="s">
        <v>156</v>
      </c>
      <c r="N35">
        <v>5</v>
      </c>
      <c r="O35">
        <v>170.6</v>
      </c>
    </row>
    <row r="36" spans="1:15">
      <c r="A36">
        <v>35</v>
      </c>
      <c r="B36" t="s">
        <v>157</v>
      </c>
      <c r="C36" t="s">
        <v>158</v>
      </c>
      <c r="D36" t="s">
        <v>40</v>
      </c>
      <c r="E36">
        <v>80.3</v>
      </c>
      <c r="F36" t="s">
        <v>62</v>
      </c>
      <c r="G36">
        <v>550</v>
      </c>
      <c r="H36" t="s">
        <v>27</v>
      </c>
      <c r="I36">
        <v>41098</v>
      </c>
      <c r="J36" t="s">
        <v>20</v>
      </c>
      <c r="K36" t="s">
        <v>159</v>
      </c>
      <c r="L36" t="s">
        <v>160</v>
      </c>
      <c r="N36">
        <v>1</v>
      </c>
      <c r="O36">
        <v>241.2</v>
      </c>
    </row>
    <row r="37" spans="1:15">
      <c r="A37">
        <v>36</v>
      </c>
      <c r="B37" t="s">
        <v>161</v>
      </c>
      <c r="C37" t="s">
        <v>32</v>
      </c>
      <c r="D37" t="s">
        <v>17</v>
      </c>
      <c r="E37">
        <v>57</v>
      </c>
      <c r="F37" t="s">
        <v>62</v>
      </c>
      <c r="G37">
        <v>116</v>
      </c>
      <c r="H37" t="s">
        <v>19</v>
      </c>
      <c r="I37">
        <v>40831</v>
      </c>
      <c r="J37" t="s">
        <v>20</v>
      </c>
      <c r="K37" t="s">
        <v>162</v>
      </c>
      <c r="L37" t="s">
        <v>163</v>
      </c>
      <c r="M37" t="s">
        <v>164</v>
      </c>
      <c r="N37">
        <v>9</v>
      </c>
      <c r="O37">
        <v>161</v>
      </c>
    </row>
    <row r="38" spans="1:15">
      <c r="A38">
        <v>37</v>
      </c>
      <c r="B38" t="s">
        <v>165</v>
      </c>
      <c r="C38" t="s">
        <v>123</v>
      </c>
      <c r="D38" t="s">
        <v>40</v>
      </c>
      <c r="E38">
        <v>31.3</v>
      </c>
      <c r="F38" t="s">
        <v>41</v>
      </c>
      <c r="G38">
        <v>638</v>
      </c>
      <c r="H38" t="s">
        <v>19</v>
      </c>
      <c r="I38">
        <v>51901</v>
      </c>
      <c r="J38" t="s">
        <v>124</v>
      </c>
      <c r="K38" t="s">
        <v>166</v>
      </c>
      <c r="L38" t="s">
        <v>167</v>
      </c>
      <c r="N38">
        <v>7</v>
      </c>
      <c r="O38">
        <v>70.400000000000006</v>
      </c>
    </row>
    <row r="39" spans="1:15">
      <c r="A39">
        <v>38</v>
      </c>
      <c r="B39" t="s">
        <v>168</v>
      </c>
      <c r="C39" t="s">
        <v>25</v>
      </c>
      <c r="D39" t="s">
        <v>61</v>
      </c>
      <c r="E39">
        <v>0</v>
      </c>
      <c r="F39" t="s">
        <v>62</v>
      </c>
      <c r="G39">
        <v>212</v>
      </c>
      <c r="H39" t="s">
        <v>19</v>
      </c>
      <c r="I39">
        <v>50947</v>
      </c>
      <c r="J39" t="s">
        <v>124</v>
      </c>
      <c r="K39" t="s">
        <v>169</v>
      </c>
      <c r="L39" t="s">
        <v>170</v>
      </c>
      <c r="M39" t="s">
        <v>171</v>
      </c>
      <c r="N39">
        <v>1</v>
      </c>
      <c r="O39">
        <v>0</v>
      </c>
    </row>
    <row r="40" spans="1:15">
      <c r="A40">
        <v>39</v>
      </c>
      <c r="B40" t="s">
        <v>172</v>
      </c>
      <c r="C40" t="s">
        <v>25</v>
      </c>
      <c r="D40" t="s">
        <v>61</v>
      </c>
      <c r="E40">
        <v>0</v>
      </c>
      <c r="F40" t="s">
        <v>18</v>
      </c>
      <c r="G40">
        <v>572</v>
      </c>
      <c r="H40" t="s">
        <v>27</v>
      </c>
      <c r="I40">
        <v>65719</v>
      </c>
      <c r="J40" t="s">
        <v>124</v>
      </c>
      <c r="K40" t="s">
        <v>173</v>
      </c>
      <c r="L40" t="s">
        <v>174</v>
      </c>
      <c r="M40" t="s">
        <v>127</v>
      </c>
      <c r="N40">
        <v>6</v>
      </c>
      <c r="O40">
        <v>0</v>
      </c>
    </row>
    <row r="41" spans="1:15">
      <c r="A41">
        <v>40</v>
      </c>
      <c r="B41" t="s">
        <v>175</v>
      </c>
      <c r="C41" t="s">
        <v>16</v>
      </c>
      <c r="D41" t="s">
        <v>61</v>
      </c>
      <c r="E41">
        <v>0</v>
      </c>
      <c r="F41" t="s">
        <v>26</v>
      </c>
      <c r="G41">
        <v>104</v>
      </c>
      <c r="H41" t="s">
        <v>27</v>
      </c>
      <c r="I41">
        <v>28844</v>
      </c>
      <c r="J41" t="s">
        <v>20</v>
      </c>
      <c r="K41" t="s">
        <v>176</v>
      </c>
      <c r="L41" t="s">
        <v>177</v>
      </c>
      <c r="M41" t="s">
        <v>178</v>
      </c>
      <c r="N41">
        <v>3</v>
      </c>
      <c r="O41">
        <v>0</v>
      </c>
    </row>
    <row r="42" spans="1:15">
      <c r="A42">
        <v>41</v>
      </c>
      <c r="B42" t="s">
        <v>179</v>
      </c>
      <c r="C42" t="s">
        <v>39</v>
      </c>
      <c r="D42" t="s">
        <v>137</v>
      </c>
      <c r="E42">
        <v>29.6</v>
      </c>
      <c r="F42" t="s">
        <v>18</v>
      </c>
      <c r="G42">
        <v>674</v>
      </c>
      <c r="H42" t="s">
        <v>19</v>
      </c>
      <c r="I42">
        <v>14509</v>
      </c>
      <c r="J42" t="s">
        <v>124</v>
      </c>
      <c r="K42" t="s">
        <v>180</v>
      </c>
      <c r="L42" t="s">
        <v>181</v>
      </c>
      <c r="M42" t="s">
        <v>182</v>
      </c>
      <c r="N42">
        <v>18</v>
      </c>
      <c r="O42">
        <v>77.900000000000006</v>
      </c>
    </row>
    <row r="43" spans="1:15">
      <c r="A43">
        <v>42</v>
      </c>
      <c r="B43" t="s">
        <v>183</v>
      </c>
      <c r="C43" t="s">
        <v>123</v>
      </c>
      <c r="D43" t="s">
        <v>137</v>
      </c>
      <c r="E43">
        <v>10.6</v>
      </c>
      <c r="F43" t="s">
        <v>56</v>
      </c>
      <c r="G43">
        <v>546</v>
      </c>
      <c r="H43" t="s">
        <v>19</v>
      </c>
      <c r="I43">
        <v>27970</v>
      </c>
      <c r="J43" t="s">
        <v>20</v>
      </c>
      <c r="K43" t="s">
        <v>184</v>
      </c>
      <c r="L43" t="s">
        <v>185</v>
      </c>
      <c r="M43" t="s">
        <v>186</v>
      </c>
      <c r="N43">
        <v>8</v>
      </c>
      <c r="O43">
        <v>27.9</v>
      </c>
    </row>
    <row r="44" spans="1:15">
      <c r="A44">
        <v>43</v>
      </c>
      <c r="B44" t="s">
        <v>187</v>
      </c>
      <c r="C44" t="s">
        <v>123</v>
      </c>
      <c r="D44" t="s">
        <v>40</v>
      </c>
      <c r="E44">
        <v>86.8</v>
      </c>
      <c r="F44" t="s">
        <v>26</v>
      </c>
      <c r="G44">
        <v>171</v>
      </c>
      <c r="H44" t="s">
        <v>19</v>
      </c>
      <c r="I44">
        <v>80305</v>
      </c>
      <c r="J44" t="s">
        <v>20</v>
      </c>
      <c r="K44" t="s">
        <v>188</v>
      </c>
      <c r="L44" t="s">
        <v>189</v>
      </c>
      <c r="N44">
        <v>4</v>
      </c>
      <c r="O44">
        <v>199</v>
      </c>
    </row>
    <row r="45" spans="1:15">
      <c r="A45">
        <v>44</v>
      </c>
      <c r="B45" t="s">
        <v>190</v>
      </c>
      <c r="C45" t="s">
        <v>50</v>
      </c>
      <c r="D45" t="s">
        <v>61</v>
      </c>
      <c r="E45">
        <v>0</v>
      </c>
      <c r="F45" t="s">
        <v>41</v>
      </c>
      <c r="G45">
        <v>382</v>
      </c>
      <c r="H45" t="s">
        <v>19</v>
      </c>
      <c r="I45">
        <v>93154</v>
      </c>
      <c r="J45" t="s">
        <v>124</v>
      </c>
      <c r="K45" t="s">
        <v>191</v>
      </c>
      <c r="L45" t="s">
        <v>192</v>
      </c>
      <c r="N45">
        <v>18</v>
      </c>
      <c r="O45">
        <v>0</v>
      </c>
    </row>
    <row r="46" spans="1:15">
      <c r="A46">
        <v>45</v>
      </c>
      <c r="B46" t="s">
        <v>193</v>
      </c>
      <c r="C46" t="s">
        <v>32</v>
      </c>
      <c r="D46" t="s">
        <v>61</v>
      </c>
      <c r="E46">
        <v>0</v>
      </c>
      <c r="F46" t="s">
        <v>18</v>
      </c>
      <c r="G46">
        <v>589</v>
      </c>
      <c r="H46" t="s">
        <v>19</v>
      </c>
      <c r="I46">
        <v>37412</v>
      </c>
      <c r="J46" t="s">
        <v>124</v>
      </c>
      <c r="K46" t="s">
        <v>194</v>
      </c>
      <c r="L46" t="s">
        <v>195</v>
      </c>
      <c r="N46">
        <v>20</v>
      </c>
      <c r="O46">
        <v>0</v>
      </c>
    </row>
    <row r="47" spans="1:15">
      <c r="A47">
        <v>46</v>
      </c>
      <c r="B47" t="s">
        <v>196</v>
      </c>
      <c r="C47" t="s">
        <v>39</v>
      </c>
      <c r="D47" t="s">
        <v>33</v>
      </c>
      <c r="E47">
        <v>58.3</v>
      </c>
      <c r="F47" t="s">
        <v>18</v>
      </c>
      <c r="G47">
        <v>636</v>
      </c>
      <c r="H47" t="s">
        <v>19</v>
      </c>
      <c r="I47">
        <v>31357</v>
      </c>
      <c r="J47" t="s">
        <v>20</v>
      </c>
      <c r="K47" t="s">
        <v>197</v>
      </c>
      <c r="L47" t="s">
        <v>198</v>
      </c>
      <c r="M47" t="s">
        <v>199</v>
      </c>
      <c r="N47">
        <v>1</v>
      </c>
      <c r="O47">
        <v>154.5</v>
      </c>
    </row>
    <row r="48" spans="1:15">
      <c r="A48">
        <v>47</v>
      </c>
      <c r="B48" t="s">
        <v>200</v>
      </c>
      <c r="C48" t="s">
        <v>133</v>
      </c>
      <c r="D48" t="s">
        <v>61</v>
      </c>
      <c r="E48">
        <v>0</v>
      </c>
      <c r="F48" t="s">
        <v>18</v>
      </c>
      <c r="G48">
        <v>445</v>
      </c>
      <c r="H48" t="s">
        <v>27</v>
      </c>
      <c r="I48">
        <v>72672</v>
      </c>
      <c r="J48" t="s">
        <v>20</v>
      </c>
      <c r="K48" t="s">
        <v>201</v>
      </c>
      <c r="L48" t="s">
        <v>202</v>
      </c>
      <c r="M48" t="s">
        <v>203</v>
      </c>
      <c r="N48">
        <v>14</v>
      </c>
      <c r="O48">
        <v>0</v>
      </c>
    </row>
    <row r="49" spans="1:15">
      <c r="A49">
        <v>48</v>
      </c>
      <c r="B49" t="s">
        <v>204</v>
      </c>
      <c r="C49" t="s">
        <v>16</v>
      </c>
      <c r="D49" t="s">
        <v>17</v>
      </c>
      <c r="E49">
        <v>55.6</v>
      </c>
      <c r="F49" t="s">
        <v>41</v>
      </c>
      <c r="G49">
        <v>640</v>
      </c>
      <c r="H49" t="s">
        <v>19</v>
      </c>
      <c r="I49">
        <v>51311</v>
      </c>
      <c r="J49" t="s">
        <v>124</v>
      </c>
      <c r="K49" t="s">
        <v>205</v>
      </c>
      <c r="L49" t="s">
        <v>206</v>
      </c>
      <c r="M49" t="s">
        <v>127</v>
      </c>
      <c r="N49">
        <v>4</v>
      </c>
      <c r="O49">
        <v>131.69999999999999</v>
      </c>
    </row>
    <row r="50" spans="1:15">
      <c r="A50">
        <v>49</v>
      </c>
      <c r="B50" t="s">
        <v>207</v>
      </c>
      <c r="C50" t="s">
        <v>123</v>
      </c>
      <c r="D50" t="s">
        <v>40</v>
      </c>
      <c r="E50">
        <v>56</v>
      </c>
      <c r="F50" t="s">
        <v>18</v>
      </c>
      <c r="G50">
        <v>626</v>
      </c>
      <c r="H50" t="s">
        <v>27</v>
      </c>
      <c r="I50">
        <v>78247</v>
      </c>
      <c r="J50" t="s">
        <v>20</v>
      </c>
      <c r="K50" t="s">
        <v>208</v>
      </c>
      <c r="L50" t="s">
        <v>209</v>
      </c>
      <c r="M50" t="s">
        <v>127</v>
      </c>
      <c r="N50">
        <v>13</v>
      </c>
      <c r="O50">
        <v>171.3</v>
      </c>
    </row>
    <row r="51" spans="1:15">
      <c r="A51">
        <v>50</v>
      </c>
      <c r="B51" t="s">
        <v>210</v>
      </c>
      <c r="C51" t="s">
        <v>16</v>
      </c>
      <c r="D51" t="s">
        <v>61</v>
      </c>
      <c r="E51">
        <v>0</v>
      </c>
      <c r="F51" t="s">
        <v>41</v>
      </c>
      <c r="G51">
        <v>45</v>
      </c>
      <c r="H51" t="s">
        <v>19</v>
      </c>
      <c r="I51">
        <v>25126</v>
      </c>
      <c r="J51" t="s">
        <v>20</v>
      </c>
      <c r="K51" t="s">
        <v>211</v>
      </c>
      <c r="L51" t="s">
        <v>212</v>
      </c>
      <c r="N51">
        <v>1</v>
      </c>
      <c r="O51">
        <v>0</v>
      </c>
    </row>
    <row r="52" spans="1:15">
      <c r="A52">
        <v>51</v>
      </c>
      <c r="B52" t="s">
        <v>213</v>
      </c>
      <c r="C52" t="s">
        <v>16</v>
      </c>
      <c r="D52" t="s">
        <v>114</v>
      </c>
      <c r="E52">
        <v>31.4</v>
      </c>
      <c r="F52" t="s">
        <v>56</v>
      </c>
      <c r="G52">
        <v>653</v>
      </c>
      <c r="H52" t="s">
        <v>19</v>
      </c>
      <c r="I52">
        <v>87024</v>
      </c>
      <c r="J52" t="s">
        <v>124</v>
      </c>
      <c r="K52" t="s">
        <v>214</v>
      </c>
      <c r="L52" t="s">
        <v>215</v>
      </c>
      <c r="M52" t="s">
        <v>216</v>
      </c>
      <c r="N52">
        <v>10</v>
      </c>
      <c r="O52">
        <v>74.8</v>
      </c>
    </row>
    <row r="53" spans="1:15">
      <c r="A53">
        <v>52</v>
      </c>
      <c r="B53" t="s">
        <v>217</v>
      </c>
      <c r="C53" t="s">
        <v>158</v>
      </c>
      <c r="D53" t="s">
        <v>61</v>
      </c>
      <c r="E53">
        <v>0</v>
      </c>
      <c r="F53" t="s">
        <v>62</v>
      </c>
      <c r="G53">
        <v>184</v>
      </c>
      <c r="H53" t="s">
        <v>27</v>
      </c>
      <c r="I53">
        <v>73663</v>
      </c>
      <c r="J53" t="s">
        <v>124</v>
      </c>
      <c r="K53" t="s">
        <v>218</v>
      </c>
      <c r="L53" t="s">
        <v>219</v>
      </c>
      <c r="M53" t="s">
        <v>220</v>
      </c>
      <c r="N53">
        <v>8</v>
      </c>
      <c r="O53">
        <v>0</v>
      </c>
    </row>
    <row r="54" spans="1:15">
      <c r="A54">
        <v>53</v>
      </c>
      <c r="B54" t="s">
        <v>221</v>
      </c>
      <c r="C54" t="s">
        <v>123</v>
      </c>
      <c r="D54" t="s">
        <v>137</v>
      </c>
      <c r="E54">
        <v>59.5</v>
      </c>
      <c r="F54" t="s">
        <v>62</v>
      </c>
      <c r="G54">
        <v>412</v>
      </c>
      <c r="H54" t="s">
        <v>27</v>
      </c>
      <c r="I54">
        <v>65390</v>
      </c>
      <c r="J54" t="s">
        <v>20</v>
      </c>
      <c r="K54" t="s">
        <v>222</v>
      </c>
      <c r="L54" t="s">
        <v>223</v>
      </c>
      <c r="N54">
        <v>6</v>
      </c>
      <c r="O54">
        <v>177.7</v>
      </c>
    </row>
    <row r="55" spans="1:15">
      <c r="A55">
        <v>54</v>
      </c>
      <c r="B55" t="s">
        <v>224</v>
      </c>
      <c r="C55" t="s">
        <v>123</v>
      </c>
      <c r="D55" t="s">
        <v>61</v>
      </c>
      <c r="E55">
        <v>0</v>
      </c>
      <c r="F55" t="s">
        <v>62</v>
      </c>
      <c r="G55">
        <v>32</v>
      </c>
      <c r="H55" t="s">
        <v>27</v>
      </c>
      <c r="I55">
        <v>84232</v>
      </c>
      <c r="J55" t="s">
        <v>20</v>
      </c>
      <c r="K55" t="s">
        <v>225</v>
      </c>
      <c r="L55" t="s">
        <v>226</v>
      </c>
      <c r="M55" t="s">
        <v>127</v>
      </c>
      <c r="N55">
        <v>9</v>
      </c>
      <c r="O55">
        <v>0</v>
      </c>
    </row>
    <row r="56" spans="1:15">
      <c r="A56">
        <v>55</v>
      </c>
      <c r="B56" t="s">
        <v>227</v>
      </c>
      <c r="C56" t="s">
        <v>50</v>
      </c>
      <c r="D56" t="s">
        <v>137</v>
      </c>
      <c r="E56">
        <v>96.7</v>
      </c>
      <c r="F56" t="s">
        <v>26</v>
      </c>
      <c r="G56">
        <v>415</v>
      </c>
      <c r="H56" t="s">
        <v>27</v>
      </c>
      <c r="I56">
        <v>33915</v>
      </c>
      <c r="J56" t="s">
        <v>20</v>
      </c>
      <c r="K56" t="s">
        <v>228</v>
      </c>
      <c r="L56" t="s">
        <v>229</v>
      </c>
      <c r="M56" t="s">
        <v>230</v>
      </c>
      <c r="N56">
        <v>7</v>
      </c>
      <c r="O56">
        <v>286.89999999999998</v>
      </c>
    </row>
    <row r="57" spans="1:15">
      <c r="A57">
        <v>56</v>
      </c>
      <c r="B57" t="s">
        <v>231</v>
      </c>
      <c r="C57" t="s">
        <v>25</v>
      </c>
      <c r="D57" t="s">
        <v>114</v>
      </c>
      <c r="E57">
        <v>17</v>
      </c>
      <c r="F57" t="s">
        <v>41</v>
      </c>
      <c r="G57">
        <v>475</v>
      </c>
      <c r="H57" t="s">
        <v>19</v>
      </c>
      <c r="I57">
        <v>37557</v>
      </c>
      <c r="J57" t="s">
        <v>20</v>
      </c>
      <c r="K57" t="s">
        <v>232</v>
      </c>
      <c r="L57" t="s">
        <v>233</v>
      </c>
      <c r="M57" t="s">
        <v>234</v>
      </c>
      <c r="N57">
        <v>14</v>
      </c>
      <c r="O57">
        <v>38.799999999999997</v>
      </c>
    </row>
    <row r="58" spans="1:15">
      <c r="A58">
        <v>57</v>
      </c>
      <c r="B58" t="s">
        <v>235</v>
      </c>
      <c r="C58" t="s">
        <v>39</v>
      </c>
      <c r="D58" t="s">
        <v>61</v>
      </c>
      <c r="E58">
        <v>0</v>
      </c>
      <c r="F58" t="s">
        <v>56</v>
      </c>
      <c r="G58">
        <v>82</v>
      </c>
      <c r="H58" t="s">
        <v>19</v>
      </c>
      <c r="I58">
        <v>26551</v>
      </c>
      <c r="J58" t="s">
        <v>124</v>
      </c>
      <c r="K58" t="s">
        <v>236</v>
      </c>
      <c r="L58" t="s">
        <v>237</v>
      </c>
      <c r="M58" t="s">
        <v>238</v>
      </c>
      <c r="N58">
        <v>19</v>
      </c>
      <c r="O58">
        <v>0</v>
      </c>
    </row>
    <row r="59" spans="1:15">
      <c r="A59">
        <v>58</v>
      </c>
      <c r="B59" t="s">
        <v>239</v>
      </c>
      <c r="C59" t="s">
        <v>158</v>
      </c>
      <c r="D59" t="s">
        <v>33</v>
      </c>
      <c r="E59">
        <v>8.1</v>
      </c>
      <c r="F59" t="s">
        <v>26</v>
      </c>
      <c r="G59">
        <v>131</v>
      </c>
      <c r="H59" t="s">
        <v>19</v>
      </c>
      <c r="I59">
        <v>4432</v>
      </c>
      <c r="J59" t="s">
        <v>20</v>
      </c>
      <c r="K59" t="s">
        <v>240</v>
      </c>
      <c r="L59" t="s">
        <v>241</v>
      </c>
      <c r="M59" t="s">
        <v>127</v>
      </c>
      <c r="N59">
        <v>20</v>
      </c>
      <c r="O59">
        <v>21.6</v>
      </c>
    </row>
    <row r="60" spans="1:15">
      <c r="A60">
        <v>59</v>
      </c>
      <c r="B60" t="s">
        <v>242</v>
      </c>
      <c r="C60" t="s">
        <v>16</v>
      </c>
      <c r="D60" t="s">
        <v>114</v>
      </c>
      <c r="E60">
        <v>38.700000000000003</v>
      </c>
      <c r="F60" t="s">
        <v>56</v>
      </c>
      <c r="G60">
        <v>85</v>
      </c>
      <c r="H60" t="s">
        <v>27</v>
      </c>
      <c r="I60">
        <v>36443</v>
      </c>
      <c r="J60" t="s">
        <v>20</v>
      </c>
      <c r="K60" t="s">
        <v>243</v>
      </c>
      <c r="L60" t="s">
        <v>244</v>
      </c>
      <c r="N60">
        <v>4</v>
      </c>
      <c r="O60">
        <v>107.4</v>
      </c>
    </row>
    <row r="61" spans="1:15">
      <c r="A61">
        <v>60</v>
      </c>
      <c r="B61" t="s">
        <v>245</v>
      </c>
      <c r="C61" t="s">
        <v>39</v>
      </c>
      <c r="D61" t="s">
        <v>137</v>
      </c>
      <c r="E61">
        <v>83.3</v>
      </c>
      <c r="F61" t="s">
        <v>56</v>
      </c>
      <c r="G61">
        <v>272</v>
      </c>
      <c r="H61" t="s">
        <v>19</v>
      </c>
      <c r="I61">
        <v>60242</v>
      </c>
      <c r="J61" t="s">
        <v>20</v>
      </c>
      <c r="K61" t="s">
        <v>246</v>
      </c>
      <c r="L61" t="s">
        <v>247</v>
      </c>
      <c r="M61" t="s">
        <v>248</v>
      </c>
      <c r="N61">
        <v>8</v>
      </c>
      <c r="O61">
        <v>248.1</v>
      </c>
    </row>
    <row r="62" spans="1:15">
      <c r="A62">
        <v>61</v>
      </c>
      <c r="B62" t="s">
        <v>249</v>
      </c>
      <c r="C62" t="s">
        <v>133</v>
      </c>
      <c r="D62" t="s">
        <v>114</v>
      </c>
      <c r="E62">
        <v>66.099999999999994</v>
      </c>
      <c r="F62" t="s">
        <v>62</v>
      </c>
      <c r="G62">
        <v>350</v>
      </c>
      <c r="H62" t="s">
        <v>19</v>
      </c>
      <c r="I62">
        <v>10560</v>
      </c>
      <c r="J62" t="s">
        <v>20</v>
      </c>
      <c r="K62" t="s">
        <v>250</v>
      </c>
      <c r="L62" t="s">
        <v>251</v>
      </c>
      <c r="N62">
        <v>14</v>
      </c>
      <c r="O62">
        <v>218.8</v>
      </c>
    </row>
    <row r="63" spans="1:15">
      <c r="A63">
        <v>62</v>
      </c>
      <c r="B63" t="s">
        <v>252</v>
      </c>
      <c r="C63" t="s">
        <v>123</v>
      </c>
      <c r="D63" t="s">
        <v>61</v>
      </c>
      <c r="E63">
        <v>0</v>
      </c>
      <c r="F63" t="s">
        <v>41</v>
      </c>
      <c r="G63">
        <v>620</v>
      </c>
      <c r="H63" t="s">
        <v>19</v>
      </c>
      <c r="I63">
        <v>80959</v>
      </c>
      <c r="J63" t="s">
        <v>124</v>
      </c>
      <c r="K63" t="s">
        <v>253</v>
      </c>
      <c r="L63" t="s">
        <v>254</v>
      </c>
      <c r="M63" t="s">
        <v>127</v>
      </c>
      <c r="N63">
        <v>3</v>
      </c>
      <c r="O63">
        <v>0</v>
      </c>
    </row>
    <row r="64" spans="1:15">
      <c r="A64">
        <v>63</v>
      </c>
      <c r="B64" t="s">
        <v>255</v>
      </c>
      <c r="C64" t="s">
        <v>32</v>
      </c>
      <c r="D64" t="s">
        <v>17</v>
      </c>
      <c r="E64">
        <v>15.7</v>
      </c>
      <c r="F64" t="s">
        <v>62</v>
      </c>
      <c r="G64">
        <v>355</v>
      </c>
      <c r="H64" t="s">
        <v>19</v>
      </c>
      <c r="I64">
        <v>99569</v>
      </c>
      <c r="J64" t="s">
        <v>124</v>
      </c>
      <c r="K64" t="s">
        <v>256</v>
      </c>
      <c r="L64" t="s">
        <v>257</v>
      </c>
      <c r="N64">
        <v>8</v>
      </c>
      <c r="O64">
        <v>51.1</v>
      </c>
    </row>
    <row r="65" spans="1:15">
      <c r="A65">
        <v>64</v>
      </c>
      <c r="B65" t="s">
        <v>258</v>
      </c>
      <c r="C65" t="s">
        <v>50</v>
      </c>
      <c r="D65" t="s">
        <v>40</v>
      </c>
      <c r="E65">
        <v>39.5</v>
      </c>
      <c r="F65" t="s">
        <v>41</v>
      </c>
      <c r="G65">
        <v>101</v>
      </c>
      <c r="H65" t="s">
        <v>19</v>
      </c>
      <c r="I65">
        <v>95839</v>
      </c>
      <c r="J65" t="s">
        <v>20</v>
      </c>
      <c r="K65" t="s">
        <v>259</v>
      </c>
      <c r="L65" t="s">
        <v>260</v>
      </c>
      <c r="M65" t="s">
        <v>127</v>
      </c>
      <c r="N65">
        <v>15</v>
      </c>
      <c r="O65">
        <v>136.1</v>
      </c>
    </row>
    <row r="66" spans="1:15">
      <c r="A66">
        <v>65</v>
      </c>
      <c r="B66" t="s">
        <v>261</v>
      </c>
      <c r="C66" t="s">
        <v>133</v>
      </c>
      <c r="D66" t="s">
        <v>33</v>
      </c>
      <c r="E66">
        <v>15.6</v>
      </c>
      <c r="F66" t="s">
        <v>18</v>
      </c>
      <c r="G66">
        <v>377</v>
      </c>
      <c r="H66" t="s">
        <v>27</v>
      </c>
      <c r="I66">
        <v>55766</v>
      </c>
      <c r="J66" t="s">
        <v>20</v>
      </c>
      <c r="K66" t="s">
        <v>262</v>
      </c>
      <c r="L66" t="s">
        <v>263</v>
      </c>
      <c r="M66" t="s">
        <v>65</v>
      </c>
      <c r="N66">
        <v>16</v>
      </c>
      <c r="O66">
        <v>48.5</v>
      </c>
    </row>
    <row r="67" spans="1:15">
      <c r="A67">
        <v>66</v>
      </c>
      <c r="B67" t="s">
        <v>264</v>
      </c>
      <c r="C67" t="s">
        <v>50</v>
      </c>
      <c r="D67" t="s">
        <v>17</v>
      </c>
      <c r="E67">
        <v>44.8</v>
      </c>
      <c r="F67" t="s">
        <v>41</v>
      </c>
      <c r="G67">
        <v>221</v>
      </c>
      <c r="H67" t="s">
        <v>27</v>
      </c>
      <c r="I67">
        <v>41825</v>
      </c>
      <c r="J67" t="s">
        <v>124</v>
      </c>
      <c r="K67" t="s">
        <v>265</v>
      </c>
      <c r="L67" t="s">
        <v>266</v>
      </c>
      <c r="N67">
        <v>19</v>
      </c>
      <c r="O67">
        <v>155.6</v>
      </c>
    </row>
    <row r="68" spans="1:15">
      <c r="A68">
        <v>67</v>
      </c>
      <c r="B68" t="s">
        <v>267</v>
      </c>
      <c r="C68" t="s">
        <v>158</v>
      </c>
      <c r="D68" t="s">
        <v>114</v>
      </c>
      <c r="E68">
        <v>30.1</v>
      </c>
      <c r="F68" t="s">
        <v>26</v>
      </c>
      <c r="G68">
        <v>364</v>
      </c>
      <c r="H68" t="s">
        <v>27</v>
      </c>
      <c r="I68">
        <v>29751</v>
      </c>
      <c r="J68" t="s">
        <v>124</v>
      </c>
      <c r="K68" t="s">
        <v>268</v>
      </c>
      <c r="L68" t="s">
        <v>269</v>
      </c>
      <c r="N68">
        <v>10</v>
      </c>
      <c r="O68">
        <v>67.5</v>
      </c>
    </row>
    <row r="69" spans="1:15">
      <c r="A69">
        <v>68</v>
      </c>
      <c r="B69" t="s">
        <v>270</v>
      </c>
      <c r="C69" t="s">
        <v>50</v>
      </c>
      <c r="D69" t="s">
        <v>17</v>
      </c>
      <c r="E69">
        <v>80.2</v>
      </c>
      <c r="F69" t="s">
        <v>62</v>
      </c>
      <c r="G69">
        <v>272</v>
      </c>
      <c r="H69" t="s">
        <v>19</v>
      </c>
      <c r="I69">
        <v>9064</v>
      </c>
      <c r="J69" t="s">
        <v>124</v>
      </c>
      <c r="K69" t="s">
        <v>271</v>
      </c>
      <c r="L69" t="s">
        <v>272</v>
      </c>
      <c r="M69" t="s">
        <v>273</v>
      </c>
      <c r="N69">
        <v>3</v>
      </c>
      <c r="O69">
        <v>277.2</v>
      </c>
    </row>
    <row r="70" spans="1:15">
      <c r="A70">
        <v>69</v>
      </c>
      <c r="B70" t="s">
        <v>274</v>
      </c>
      <c r="C70" t="s">
        <v>158</v>
      </c>
      <c r="D70" t="s">
        <v>40</v>
      </c>
      <c r="E70">
        <v>55</v>
      </c>
      <c r="F70" t="s">
        <v>26</v>
      </c>
      <c r="G70">
        <v>380</v>
      </c>
      <c r="H70" t="s">
        <v>19</v>
      </c>
      <c r="I70">
        <v>67328</v>
      </c>
      <c r="J70" t="s">
        <v>124</v>
      </c>
      <c r="K70" t="s">
        <v>275</v>
      </c>
      <c r="L70" t="s">
        <v>276</v>
      </c>
      <c r="N70">
        <v>14</v>
      </c>
      <c r="O70">
        <v>177.4</v>
      </c>
    </row>
    <row r="71" spans="1:15">
      <c r="A71">
        <v>70</v>
      </c>
      <c r="B71" t="s">
        <v>277</v>
      </c>
      <c r="C71" t="s">
        <v>133</v>
      </c>
      <c r="D71" t="s">
        <v>137</v>
      </c>
      <c r="E71">
        <v>76.2</v>
      </c>
      <c r="F71" t="s">
        <v>18</v>
      </c>
      <c r="G71">
        <v>164</v>
      </c>
      <c r="H71" t="s">
        <v>27</v>
      </c>
      <c r="I71">
        <v>86511</v>
      </c>
      <c r="J71" t="s">
        <v>124</v>
      </c>
      <c r="K71" t="s">
        <v>278</v>
      </c>
      <c r="L71" t="s">
        <v>279</v>
      </c>
      <c r="M71" t="s">
        <v>127</v>
      </c>
      <c r="N71">
        <v>17</v>
      </c>
      <c r="O71">
        <v>199.6</v>
      </c>
    </row>
    <row r="72" spans="1:15">
      <c r="A72">
        <v>71</v>
      </c>
      <c r="B72" t="s">
        <v>280</v>
      </c>
      <c r="C72" t="s">
        <v>39</v>
      </c>
      <c r="D72" t="s">
        <v>33</v>
      </c>
      <c r="E72">
        <v>49.8</v>
      </c>
      <c r="F72" t="s">
        <v>62</v>
      </c>
      <c r="G72">
        <v>679</v>
      </c>
      <c r="H72" t="s">
        <v>27</v>
      </c>
      <c r="I72">
        <v>88767</v>
      </c>
      <c r="J72" t="s">
        <v>20</v>
      </c>
      <c r="K72" t="s">
        <v>281</v>
      </c>
      <c r="L72" t="s">
        <v>282</v>
      </c>
      <c r="M72" t="s">
        <v>283</v>
      </c>
      <c r="N72">
        <v>13</v>
      </c>
      <c r="O72">
        <v>106.7</v>
      </c>
    </row>
    <row r="73" spans="1:15">
      <c r="A73">
        <v>72</v>
      </c>
      <c r="B73" t="s">
        <v>284</v>
      </c>
      <c r="C73" t="s">
        <v>25</v>
      </c>
      <c r="D73" t="s">
        <v>33</v>
      </c>
      <c r="E73">
        <v>66.3</v>
      </c>
      <c r="F73" t="s">
        <v>26</v>
      </c>
      <c r="G73">
        <v>310</v>
      </c>
      <c r="H73" t="s">
        <v>27</v>
      </c>
      <c r="I73">
        <v>64246</v>
      </c>
      <c r="J73" t="s">
        <v>20</v>
      </c>
      <c r="K73" t="s">
        <v>285</v>
      </c>
      <c r="L73" t="s">
        <v>286</v>
      </c>
      <c r="M73" t="s">
        <v>287</v>
      </c>
      <c r="N73">
        <v>12</v>
      </c>
      <c r="O73">
        <v>194.3</v>
      </c>
    </row>
    <row r="74" spans="1:15">
      <c r="A74">
        <v>73</v>
      </c>
      <c r="B74" t="s">
        <v>288</v>
      </c>
      <c r="C74" t="s">
        <v>39</v>
      </c>
      <c r="D74" t="s">
        <v>137</v>
      </c>
      <c r="E74">
        <v>84.7</v>
      </c>
      <c r="F74" t="s">
        <v>56</v>
      </c>
      <c r="G74">
        <v>593</v>
      </c>
      <c r="H74" t="s">
        <v>19</v>
      </c>
      <c r="I74">
        <v>42538</v>
      </c>
      <c r="J74" t="s">
        <v>124</v>
      </c>
      <c r="K74" t="s">
        <v>289</v>
      </c>
      <c r="L74" t="s">
        <v>290</v>
      </c>
      <c r="M74" t="s">
        <v>291</v>
      </c>
      <c r="N74">
        <v>11</v>
      </c>
      <c r="O74">
        <v>242.5</v>
      </c>
    </row>
    <row r="75" spans="1:15">
      <c r="A75">
        <v>74</v>
      </c>
      <c r="B75" t="s">
        <v>292</v>
      </c>
      <c r="C75" t="s">
        <v>50</v>
      </c>
      <c r="D75" t="s">
        <v>137</v>
      </c>
      <c r="E75">
        <v>62.2</v>
      </c>
      <c r="F75" t="s">
        <v>18</v>
      </c>
      <c r="G75">
        <v>407</v>
      </c>
      <c r="H75" t="s">
        <v>19</v>
      </c>
      <c r="I75">
        <v>36492</v>
      </c>
      <c r="J75" t="s">
        <v>124</v>
      </c>
      <c r="K75" t="s">
        <v>293</v>
      </c>
      <c r="L75" t="s">
        <v>294</v>
      </c>
      <c r="M75" t="s">
        <v>127</v>
      </c>
      <c r="N75">
        <v>6</v>
      </c>
      <c r="O75">
        <v>203.7</v>
      </c>
    </row>
    <row r="76" spans="1:15">
      <c r="A76">
        <v>75</v>
      </c>
      <c r="B76" t="s">
        <v>295</v>
      </c>
      <c r="C76" t="s">
        <v>39</v>
      </c>
      <c r="D76" t="s">
        <v>40</v>
      </c>
      <c r="E76">
        <v>22.3</v>
      </c>
      <c r="F76" t="s">
        <v>56</v>
      </c>
      <c r="G76">
        <v>641</v>
      </c>
      <c r="H76" t="s">
        <v>27</v>
      </c>
      <c r="I76">
        <v>41020</v>
      </c>
      <c r="J76" t="s">
        <v>124</v>
      </c>
      <c r="K76" t="s">
        <v>296</v>
      </c>
      <c r="L76" t="s">
        <v>297</v>
      </c>
      <c r="M76" t="s">
        <v>298</v>
      </c>
      <c r="N76">
        <v>8</v>
      </c>
      <c r="O76">
        <v>51.8</v>
      </c>
    </row>
    <row r="77" spans="1:15">
      <c r="A77">
        <v>76</v>
      </c>
      <c r="B77" t="s">
        <v>299</v>
      </c>
      <c r="C77" t="s">
        <v>158</v>
      </c>
      <c r="D77" t="s">
        <v>114</v>
      </c>
      <c r="E77">
        <v>9.1999999999999993</v>
      </c>
      <c r="F77" t="s">
        <v>62</v>
      </c>
      <c r="G77">
        <v>420</v>
      </c>
      <c r="H77" t="s">
        <v>27</v>
      </c>
      <c r="I77">
        <v>75583</v>
      </c>
      <c r="J77" t="s">
        <v>124</v>
      </c>
      <c r="K77" t="s">
        <v>300</v>
      </c>
      <c r="L77" t="s">
        <v>301</v>
      </c>
      <c r="M77" t="s">
        <v>302</v>
      </c>
      <c r="N77">
        <v>8</v>
      </c>
      <c r="O77">
        <v>31.1</v>
      </c>
    </row>
    <row r="78" spans="1:15">
      <c r="A78">
        <v>77</v>
      </c>
      <c r="B78" t="s">
        <v>303</v>
      </c>
      <c r="C78" t="s">
        <v>32</v>
      </c>
      <c r="D78" t="s">
        <v>17</v>
      </c>
      <c r="E78">
        <v>15.4</v>
      </c>
      <c r="F78" t="s">
        <v>56</v>
      </c>
      <c r="G78">
        <v>101</v>
      </c>
      <c r="H78" t="s">
        <v>19</v>
      </c>
      <c r="I78">
        <v>15442</v>
      </c>
      <c r="J78" t="s">
        <v>20</v>
      </c>
      <c r="K78" t="s">
        <v>304</v>
      </c>
      <c r="L78" t="s">
        <v>305</v>
      </c>
      <c r="M78" t="s">
        <v>127</v>
      </c>
      <c r="N78">
        <v>19</v>
      </c>
      <c r="O78">
        <v>36.6</v>
      </c>
    </row>
    <row r="79" spans="1:15">
      <c r="A79">
        <v>78</v>
      </c>
      <c r="B79" t="s">
        <v>306</v>
      </c>
      <c r="C79" t="s">
        <v>32</v>
      </c>
      <c r="D79" t="s">
        <v>61</v>
      </c>
      <c r="E79">
        <v>0</v>
      </c>
      <c r="F79" t="s">
        <v>26</v>
      </c>
      <c r="G79">
        <v>524</v>
      </c>
      <c r="H79" t="s">
        <v>19</v>
      </c>
      <c r="I79">
        <v>60356</v>
      </c>
      <c r="J79" t="s">
        <v>124</v>
      </c>
      <c r="K79" t="s">
        <v>307</v>
      </c>
      <c r="L79" t="s">
        <v>308</v>
      </c>
      <c r="M79" t="s">
        <v>127</v>
      </c>
      <c r="N79">
        <v>18</v>
      </c>
      <c r="O79">
        <v>0</v>
      </c>
    </row>
    <row r="80" spans="1:15">
      <c r="A80">
        <v>79</v>
      </c>
      <c r="B80" t="s">
        <v>309</v>
      </c>
      <c r="C80" t="s">
        <v>133</v>
      </c>
      <c r="D80" t="s">
        <v>114</v>
      </c>
      <c r="E80">
        <v>58.1</v>
      </c>
      <c r="F80" t="s">
        <v>41</v>
      </c>
      <c r="G80">
        <v>453</v>
      </c>
      <c r="H80" t="s">
        <v>27</v>
      </c>
      <c r="I80">
        <v>32101</v>
      </c>
      <c r="J80" t="s">
        <v>124</v>
      </c>
      <c r="K80" t="s">
        <v>310</v>
      </c>
      <c r="L80" t="s">
        <v>311</v>
      </c>
      <c r="M80" t="s">
        <v>312</v>
      </c>
      <c r="N80">
        <v>1</v>
      </c>
      <c r="O80">
        <v>142.19999999999999</v>
      </c>
    </row>
    <row r="81" spans="1:15">
      <c r="A81">
        <v>80</v>
      </c>
      <c r="B81" t="s">
        <v>313</v>
      </c>
      <c r="C81" t="s">
        <v>123</v>
      </c>
      <c r="D81" t="s">
        <v>17</v>
      </c>
      <c r="E81">
        <v>57.7</v>
      </c>
      <c r="F81" t="s">
        <v>41</v>
      </c>
      <c r="G81">
        <v>277</v>
      </c>
      <c r="H81" t="s">
        <v>27</v>
      </c>
      <c r="I81">
        <v>40804</v>
      </c>
      <c r="J81" t="s">
        <v>20</v>
      </c>
      <c r="K81" t="s">
        <v>314</v>
      </c>
      <c r="L81" t="s">
        <v>315</v>
      </c>
      <c r="M81" t="s">
        <v>316</v>
      </c>
      <c r="N81">
        <v>15</v>
      </c>
      <c r="O81">
        <v>192.9</v>
      </c>
    </row>
    <row r="82" spans="1:15">
      <c r="A82">
        <v>81</v>
      </c>
      <c r="B82" t="s">
        <v>317</v>
      </c>
      <c r="C82" t="s">
        <v>123</v>
      </c>
      <c r="D82" t="s">
        <v>33</v>
      </c>
      <c r="E82">
        <v>48.5</v>
      </c>
      <c r="F82" t="s">
        <v>56</v>
      </c>
      <c r="G82">
        <v>697</v>
      </c>
      <c r="H82" t="s">
        <v>19</v>
      </c>
      <c r="I82">
        <v>85777</v>
      </c>
      <c r="J82" t="s">
        <v>124</v>
      </c>
      <c r="K82" t="s">
        <v>318</v>
      </c>
      <c r="L82" t="s">
        <v>319</v>
      </c>
      <c r="M82" t="s">
        <v>320</v>
      </c>
      <c r="N82">
        <v>3</v>
      </c>
      <c r="O82">
        <v>135.30000000000001</v>
      </c>
    </row>
    <row r="83" spans="1:15">
      <c r="A83">
        <v>82</v>
      </c>
      <c r="B83" t="s">
        <v>321</v>
      </c>
      <c r="C83" t="s">
        <v>25</v>
      </c>
      <c r="D83" t="s">
        <v>137</v>
      </c>
      <c r="E83">
        <v>89</v>
      </c>
      <c r="F83" t="s">
        <v>18</v>
      </c>
      <c r="G83">
        <v>49</v>
      </c>
      <c r="H83" t="s">
        <v>27</v>
      </c>
      <c r="I83">
        <v>7763</v>
      </c>
      <c r="J83" t="s">
        <v>124</v>
      </c>
      <c r="K83" t="s">
        <v>322</v>
      </c>
      <c r="L83" t="s">
        <v>323</v>
      </c>
      <c r="M83" t="s">
        <v>127</v>
      </c>
      <c r="N83">
        <v>18</v>
      </c>
      <c r="O83">
        <v>252.1</v>
      </c>
    </row>
    <row r="84" spans="1:15">
      <c r="A84">
        <v>83</v>
      </c>
      <c r="B84" t="s">
        <v>324</v>
      </c>
      <c r="C84" t="s">
        <v>158</v>
      </c>
      <c r="D84" t="s">
        <v>33</v>
      </c>
      <c r="E84">
        <v>59.7</v>
      </c>
      <c r="F84" t="s">
        <v>62</v>
      </c>
      <c r="G84">
        <v>665</v>
      </c>
      <c r="H84" t="s">
        <v>19</v>
      </c>
      <c r="I84">
        <v>49494</v>
      </c>
      <c r="J84" t="s">
        <v>20</v>
      </c>
      <c r="K84" t="s">
        <v>325</v>
      </c>
      <c r="L84" t="s">
        <v>326</v>
      </c>
      <c r="M84" t="s">
        <v>327</v>
      </c>
      <c r="N84">
        <v>13</v>
      </c>
      <c r="O84">
        <v>141.1</v>
      </c>
    </row>
    <row r="85" spans="1:15">
      <c r="A85">
        <v>84</v>
      </c>
      <c r="B85" t="s">
        <v>328</v>
      </c>
      <c r="C85" t="s">
        <v>158</v>
      </c>
      <c r="D85" t="s">
        <v>137</v>
      </c>
      <c r="E85">
        <v>27.4</v>
      </c>
      <c r="F85" t="s">
        <v>26</v>
      </c>
      <c r="G85">
        <v>199</v>
      </c>
      <c r="H85" t="s">
        <v>27</v>
      </c>
      <c r="I85">
        <v>83922</v>
      </c>
      <c r="J85" t="s">
        <v>20</v>
      </c>
      <c r="K85" t="s">
        <v>329</v>
      </c>
      <c r="L85" t="s">
        <v>330</v>
      </c>
      <c r="M85" t="s">
        <v>127</v>
      </c>
      <c r="N85">
        <v>6</v>
      </c>
      <c r="O85">
        <v>73.5</v>
      </c>
    </row>
    <row r="86" spans="1:15">
      <c r="A86">
        <v>85</v>
      </c>
      <c r="B86" t="s">
        <v>331</v>
      </c>
      <c r="C86" t="s">
        <v>50</v>
      </c>
      <c r="D86" t="s">
        <v>40</v>
      </c>
      <c r="E86">
        <v>57.9</v>
      </c>
      <c r="F86" t="s">
        <v>56</v>
      </c>
      <c r="G86">
        <v>207</v>
      </c>
      <c r="H86" t="s">
        <v>27</v>
      </c>
      <c r="I86">
        <v>79078</v>
      </c>
      <c r="J86" t="s">
        <v>124</v>
      </c>
      <c r="K86" t="s">
        <v>332</v>
      </c>
      <c r="L86" t="s">
        <v>333</v>
      </c>
      <c r="N86">
        <v>19</v>
      </c>
      <c r="O86">
        <v>142.4</v>
      </c>
    </row>
    <row r="87" spans="1:15">
      <c r="A87">
        <v>86</v>
      </c>
      <c r="B87" t="s">
        <v>334</v>
      </c>
      <c r="C87" t="s">
        <v>123</v>
      </c>
      <c r="D87" t="s">
        <v>114</v>
      </c>
      <c r="E87">
        <v>23.5</v>
      </c>
      <c r="F87" t="s">
        <v>18</v>
      </c>
      <c r="G87">
        <v>303</v>
      </c>
      <c r="H87" t="s">
        <v>19</v>
      </c>
      <c r="I87">
        <v>30513</v>
      </c>
      <c r="J87" t="s">
        <v>124</v>
      </c>
      <c r="K87" t="s">
        <v>335</v>
      </c>
      <c r="L87" t="s">
        <v>336</v>
      </c>
      <c r="M87" t="s">
        <v>337</v>
      </c>
      <c r="N87">
        <v>12</v>
      </c>
      <c r="O87">
        <v>81.5</v>
      </c>
    </row>
    <row r="88" spans="1:15">
      <c r="A88">
        <v>87</v>
      </c>
      <c r="B88" t="s">
        <v>338</v>
      </c>
      <c r="C88" t="s">
        <v>32</v>
      </c>
      <c r="D88" t="s">
        <v>40</v>
      </c>
      <c r="E88">
        <v>68.3</v>
      </c>
      <c r="F88" t="s">
        <v>18</v>
      </c>
      <c r="G88">
        <v>563</v>
      </c>
      <c r="H88" t="s">
        <v>19</v>
      </c>
      <c r="I88">
        <v>3012</v>
      </c>
      <c r="J88" t="s">
        <v>20</v>
      </c>
      <c r="K88" t="s">
        <v>339</v>
      </c>
      <c r="L88" t="s">
        <v>340</v>
      </c>
      <c r="N88">
        <v>3</v>
      </c>
      <c r="O88">
        <v>165.5</v>
      </c>
    </row>
    <row r="89" spans="1:15">
      <c r="A89">
        <v>88</v>
      </c>
      <c r="B89" t="s">
        <v>341</v>
      </c>
      <c r="C89" t="s">
        <v>32</v>
      </c>
      <c r="D89" t="s">
        <v>137</v>
      </c>
      <c r="E89">
        <v>65.3</v>
      </c>
      <c r="F89" t="s">
        <v>18</v>
      </c>
      <c r="G89">
        <v>110</v>
      </c>
      <c r="H89" t="s">
        <v>27</v>
      </c>
      <c r="I89">
        <v>71218</v>
      </c>
      <c r="J89" t="s">
        <v>20</v>
      </c>
      <c r="K89" t="s">
        <v>342</v>
      </c>
      <c r="L89" t="s">
        <v>343</v>
      </c>
      <c r="M89" t="s">
        <v>344</v>
      </c>
      <c r="N89">
        <v>10</v>
      </c>
      <c r="O89">
        <v>198.9</v>
      </c>
    </row>
    <row r="90" spans="1:15">
      <c r="A90">
        <v>89</v>
      </c>
      <c r="B90" t="s">
        <v>345</v>
      </c>
      <c r="C90" t="s">
        <v>16</v>
      </c>
      <c r="D90" t="s">
        <v>17</v>
      </c>
      <c r="E90">
        <v>3.8</v>
      </c>
      <c r="F90" t="s">
        <v>18</v>
      </c>
      <c r="G90">
        <v>291</v>
      </c>
      <c r="H90" t="s">
        <v>19</v>
      </c>
      <c r="I90">
        <v>58832</v>
      </c>
      <c r="J90" t="s">
        <v>124</v>
      </c>
      <c r="K90" t="s">
        <v>346</v>
      </c>
      <c r="L90" t="s">
        <v>347</v>
      </c>
      <c r="M90" t="s">
        <v>348</v>
      </c>
      <c r="N90">
        <v>5</v>
      </c>
      <c r="O90">
        <v>9.6999999999999993</v>
      </c>
    </row>
    <row r="91" spans="1:15">
      <c r="A91">
        <v>90</v>
      </c>
      <c r="B91" t="s">
        <v>349</v>
      </c>
      <c r="C91" t="s">
        <v>39</v>
      </c>
      <c r="D91" t="s">
        <v>114</v>
      </c>
      <c r="E91">
        <v>20.399999999999999</v>
      </c>
      <c r="F91" t="s">
        <v>62</v>
      </c>
      <c r="G91">
        <v>631</v>
      </c>
      <c r="H91" t="s">
        <v>27</v>
      </c>
      <c r="I91">
        <v>22195</v>
      </c>
      <c r="J91" t="s">
        <v>20</v>
      </c>
      <c r="K91" t="s">
        <v>350</v>
      </c>
      <c r="L91" t="s">
        <v>351</v>
      </c>
      <c r="M91" t="s">
        <v>352</v>
      </c>
      <c r="N91">
        <v>20</v>
      </c>
      <c r="O91">
        <v>53.4</v>
      </c>
    </row>
    <row r="92" spans="1:15">
      <c r="A92">
        <v>91</v>
      </c>
      <c r="B92" t="s">
        <v>353</v>
      </c>
      <c r="C92" t="s">
        <v>123</v>
      </c>
      <c r="D92" t="s">
        <v>17</v>
      </c>
      <c r="E92">
        <v>82.9</v>
      </c>
      <c r="F92" t="s">
        <v>18</v>
      </c>
      <c r="G92">
        <v>202</v>
      </c>
      <c r="H92" t="s">
        <v>27</v>
      </c>
      <c r="I92">
        <v>56391</v>
      </c>
      <c r="J92" t="s">
        <v>124</v>
      </c>
      <c r="K92" t="s">
        <v>354</v>
      </c>
      <c r="L92" t="s">
        <v>355</v>
      </c>
      <c r="M92" t="s">
        <v>127</v>
      </c>
      <c r="N92">
        <v>6</v>
      </c>
      <c r="O92">
        <v>271.3</v>
      </c>
    </row>
    <row r="93" spans="1:15">
      <c r="A93">
        <v>92</v>
      </c>
      <c r="B93" t="s">
        <v>356</v>
      </c>
      <c r="C93" t="s">
        <v>50</v>
      </c>
      <c r="D93" t="s">
        <v>137</v>
      </c>
      <c r="E93">
        <v>27.7</v>
      </c>
      <c r="F93" t="s">
        <v>56</v>
      </c>
      <c r="G93">
        <v>635</v>
      </c>
      <c r="H93" t="s">
        <v>19</v>
      </c>
      <c r="I93">
        <v>41196</v>
      </c>
      <c r="J93" t="s">
        <v>124</v>
      </c>
      <c r="K93" t="s">
        <v>357</v>
      </c>
      <c r="L93" t="s">
        <v>358</v>
      </c>
      <c r="M93" t="s">
        <v>359</v>
      </c>
      <c r="N93">
        <v>4</v>
      </c>
      <c r="O93">
        <v>56.1</v>
      </c>
    </row>
    <row r="94" spans="1:15">
      <c r="A94">
        <v>93</v>
      </c>
      <c r="B94" t="s">
        <v>360</v>
      </c>
      <c r="C94" t="s">
        <v>25</v>
      </c>
      <c r="D94" t="s">
        <v>33</v>
      </c>
      <c r="E94">
        <v>18.3</v>
      </c>
      <c r="F94" t="s">
        <v>41</v>
      </c>
      <c r="G94">
        <v>417</v>
      </c>
      <c r="H94" t="s">
        <v>19</v>
      </c>
      <c r="I94">
        <v>7907</v>
      </c>
      <c r="J94" t="s">
        <v>124</v>
      </c>
      <c r="K94" t="s">
        <v>361</v>
      </c>
      <c r="L94" t="s">
        <v>362</v>
      </c>
      <c r="N94">
        <v>11</v>
      </c>
      <c r="O94">
        <v>45.6</v>
      </c>
    </row>
    <row r="95" spans="1:15">
      <c r="A95">
        <v>94</v>
      </c>
      <c r="B95" t="s">
        <v>363</v>
      </c>
      <c r="C95" t="s">
        <v>123</v>
      </c>
      <c r="D95" t="s">
        <v>17</v>
      </c>
      <c r="E95">
        <v>77.400000000000006</v>
      </c>
      <c r="F95" t="s">
        <v>41</v>
      </c>
      <c r="G95">
        <v>699</v>
      </c>
      <c r="H95" t="s">
        <v>27</v>
      </c>
      <c r="I95">
        <v>35310</v>
      </c>
      <c r="J95" t="s">
        <v>20</v>
      </c>
      <c r="K95" t="s">
        <v>364</v>
      </c>
      <c r="L95" t="s">
        <v>365</v>
      </c>
      <c r="M95" t="s">
        <v>127</v>
      </c>
      <c r="N95">
        <v>7</v>
      </c>
      <c r="O95">
        <v>239.3</v>
      </c>
    </row>
    <row r="96" spans="1:15">
      <c r="A96">
        <v>95</v>
      </c>
      <c r="B96" t="s">
        <v>366</v>
      </c>
      <c r="C96" t="s">
        <v>133</v>
      </c>
      <c r="D96" t="s">
        <v>61</v>
      </c>
      <c r="E96">
        <v>0</v>
      </c>
      <c r="F96" t="s">
        <v>41</v>
      </c>
      <c r="G96">
        <v>250</v>
      </c>
      <c r="H96" t="s">
        <v>27</v>
      </c>
      <c r="I96">
        <v>2595</v>
      </c>
      <c r="J96" t="s">
        <v>124</v>
      </c>
      <c r="K96" t="s">
        <v>367</v>
      </c>
      <c r="L96" t="s">
        <v>368</v>
      </c>
      <c r="M96" t="s">
        <v>127</v>
      </c>
      <c r="N96">
        <v>11</v>
      </c>
      <c r="O96">
        <v>0</v>
      </c>
    </row>
    <row r="97" spans="1:15">
      <c r="A97">
        <v>96</v>
      </c>
      <c r="B97" t="s">
        <v>369</v>
      </c>
      <c r="C97" t="s">
        <v>158</v>
      </c>
      <c r="D97" t="s">
        <v>137</v>
      </c>
      <c r="E97">
        <v>8.1</v>
      </c>
      <c r="F97" t="s">
        <v>62</v>
      </c>
      <c r="G97">
        <v>642</v>
      </c>
      <c r="H97" t="s">
        <v>27</v>
      </c>
      <c r="I97">
        <v>44085</v>
      </c>
      <c r="J97" t="s">
        <v>124</v>
      </c>
      <c r="K97" t="s">
        <v>370</v>
      </c>
      <c r="L97" t="s">
        <v>371</v>
      </c>
      <c r="M97" t="s">
        <v>372</v>
      </c>
      <c r="N97">
        <v>12</v>
      </c>
      <c r="O97">
        <v>26.2</v>
      </c>
    </row>
    <row r="98" spans="1:15">
      <c r="A98">
        <v>97</v>
      </c>
      <c r="B98" t="s">
        <v>373</v>
      </c>
      <c r="C98" t="s">
        <v>16</v>
      </c>
      <c r="D98" t="s">
        <v>33</v>
      </c>
      <c r="E98">
        <v>20.100000000000001</v>
      </c>
      <c r="F98" t="s">
        <v>26</v>
      </c>
      <c r="G98">
        <v>88</v>
      </c>
      <c r="H98" t="s">
        <v>27</v>
      </c>
      <c r="I98">
        <v>5428</v>
      </c>
      <c r="J98" t="s">
        <v>124</v>
      </c>
      <c r="K98" t="s">
        <v>374</v>
      </c>
      <c r="L98" t="s">
        <v>375</v>
      </c>
      <c r="M98" t="s">
        <v>376</v>
      </c>
      <c r="N98">
        <v>17</v>
      </c>
      <c r="O98">
        <v>47.7</v>
      </c>
    </row>
    <row r="99" spans="1:15">
      <c r="A99">
        <v>98</v>
      </c>
      <c r="B99" t="s">
        <v>377</v>
      </c>
      <c r="C99" t="s">
        <v>25</v>
      </c>
      <c r="D99" t="s">
        <v>40</v>
      </c>
      <c r="E99">
        <v>92.2</v>
      </c>
      <c r="F99" t="s">
        <v>56</v>
      </c>
      <c r="G99">
        <v>688</v>
      </c>
      <c r="H99" t="s">
        <v>19</v>
      </c>
      <c r="I99">
        <v>46893</v>
      </c>
      <c r="J99" t="s">
        <v>20</v>
      </c>
      <c r="K99" t="s">
        <v>378</v>
      </c>
      <c r="L99" t="s">
        <v>379</v>
      </c>
      <c r="M99" t="s">
        <v>380</v>
      </c>
      <c r="N99">
        <v>12</v>
      </c>
      <c r="O99">
        <v>253.5</v>
      </c>
    </row>
    <row r="100" spans="1:15">
      <c r="A100">
        <v>99</v>
      </c>
      <c r="B100" t="s">
        <v>381</v>
      </c>
      <c r="C100" t="s">
        <v>158</v>
      </c>
      <c r="D100" t="s">
        <v>61</v>
      </c>
      <c r="E100">
        <v>0</v>
      </c>
      <c r="F100" t="s">
        <v>18</v>
      </c>
      <c r="G100">
        <v>220</v>
      </c>
      <c r="H100" t="s">
        <v>19</v>
      </c>
      <c r="I100">
        <v>33869</v>
      </c>
      <c r="J100" t="s">
        <v>20</v>
      </c>
      <c r="K100" t="s">
        <v>382</v>
      </c>
      <c r="L100" t="s">
        <v>383</v>
      </c>
      <c r="M100" t="s">
        <v>384</v>
      </c>
      <c r="N100">
        <v>5</v>
      </c>
      <c r="O100">
        <v>0</v>
      </c>
    </row>
    <row r="101" spans="1:15">
      <c r="A101">
        <v>100</v>
      </c>
      <c r="B101" t="s">
        <v>385</v>
      </c>
      <c r="C101" t="s">
        <v>39</v>
      </c>
      <c r="D101" t="s">
        <v>114</v>
      </c>
      <c r="E101">
        <v>12.3</v>
      </c>
      <c r="F101" t="s">
        <v>26</v>
      </c>
      <c r="G101">
        <v>527</v>
      </c>
      <c r="H101" t="s">
        <v>19</v>
      </c>
      <c r="I101">
        <v>57063</v>
      </c>
      <c r="J101" t="s">
        <v>124</v>
      </c>
      <c r="K101" t="s">
        <v>386</v>
      </c>
      <c r="L101" t="s">
        <v>387</v>
      </c>
      <c r="N101">
        <v>5</v>
      </c>
      <c r="O101">
        <v>42.4</v>
      </c>
    </row>
    <row r="102" spans="1:15">
      <c r="A102">
        <v>101</v>
      </c>
      <c r="B102" t="s">
        <v>388</v>
      </c>
      <c r="C102" t="s">
        <v>158</v>
      </c>
      <c r="D102" t="s">
        <v>17</v>
      </c>
      <c r="E102">
        <v>18.899999999999999</v>
      </c>
      <c r="F102" t="s">
        <v>18</v>
      </c>
      <c r="G102">
        <v>471</v>
      </c>
      <c r="H102" t="s">
        <v>27</v>
      </c>
      <c r="I102">
        <v>119597</v>
      </c>
      <c r="J102" t="s">
        <v>20</v>
      </c>
      <c r="K102" t="s">
        <v>389</v>
      </c>
      <c r="L102" t="s">
        <v>390</v>
      </c>
      <c r="M102" t="s">
        <v>86</v>
      </c>
      <c r="N102">
        <v>9</v>
      </c>
      <c r="O102">
        <v>64.5</v>
      </c>
    </row>
    <row r="103" spans="1:15">
      <c r="A103">
        <v>102</v>
      </c>
      <c r="B103" t="s">
        <v>210</v>
      </c>
      <c r="C103" t="s">
        <v>39</v>
      </c>
      <c r="D103" t="s">
        <v>114</v>
      </c>
      <c r="E103">
        <v>34.299999999999997</v>
      </c>
      <c r="F103" t="s">
        <v>26</v>
      </c>
      <c r="G103">
        <v>271</v>
      </c>
      <c r="H103" t="s">
        <v>27</v>
      </c>
      <c r="I103">
        <v>80925</v>
      </c>
      <c r="J103" t="s">
        <v>20</v>
      </c>
      <c r="K103" t="s">
        <v>391</v>
      </c>
      <c r="L103" t="s">
        <v>392</v>
      </c>
      <c r="M103" t="s">
        <v>69</v>
      </c>
      <c r="N103">
        <v>8</v>
      </c>
      <c r="O103">
        <v>109.6</v>
      </c>
    </row>
    <row r="104" spans="1:15">
      <c r="A104">
        <v>103</v>
      </c>
      <c r="B104" t="s">
        <v>393</v>
      </c>
      <c r="C104" t="s">
        <v>16</v>
      </c>
      <c r="D104" t="s">
        <v>61</v>
      </c>
      <c r="E104">
        <v>0</v>
      </c>
      <c r="F104" t="s">
        <v>41</v>
      </c>
      <c r="G104">
        <v>437</v>
      </c>
      <c r="H104" t="s">
        <v>27</v>
      </c>
      <c r="I104">
        <v>93582</v>
      </c>
      <c r="J104" t="s">
        <v>20</v>
      </c>
      <c r="K104" t="s">
        <v>394</v>
      </c>
      <c r="L104" t="s">
        <v>395</v>
      </c>
      <c r="M104" t="s">
        <v>117</v>
      </c>
      <c r="N104">
        <v>10</v>
      </c>
      <c r="O104">
        <v>0</v>
      </c>
    </row>
    <row r="105" spans="1:15">
      <c r="A105">
        <v>104</v>
      </c>
      <c r="B105" t="s">
        <v>396</v>
      </c>
      <c r="C105" t="s">
        <v>50</v>
      </c>
      <c r="D105" t="s">
        <v>61</v>
      </c>
      <c r="E105">
        <v>0</v>
      </c>
      <c r="F105" t="s">
        <v>56</v>
      </c>
      <c r="G105">
        <v>566</v>
      </c>
      <c r="H105" t="s">
        <v>27</v>
      </c>
      <c r="I105">
        <v>52657</v>
      </c>
      <c r="J105" t="s">
        <v>20</v>
      </c>
      <c r="K105" t="s">
        <v>397</v>
      </c>
      <c r="L105" t="s">
        <v>398</v>
      </c>
      <c r="M105" t="s">
        <v>121</v>
      </c>
      <c r="N105">
        <v>14</v>
      </c>
      <c r="O105">
        <v>0</v>
      </c>
    </row>
    <row r="106" spans="1:15">
      <c r="A106">
        <v>105</v>
      </c>
      <c r="B106" t="s">
        <v>399</v>
      </c>
      <c r="C106" t="s">
        <v>32</v>
      </c>
      <c r="D106" t="s">
        <v>17</v>
      </c>
      <c r="E106">
        <v>72.099999999999994</v>
      </c>
      <c r="F106" t="s">
        <v>41</v>
      </c>
      <c r="G106">
        <v>138</v>
      </c>
      <c r="H106" t="s">
        <v>27</v>
      </c>
      <c r="I106">
        <v>87005</v>
      </c>
      <c r="J106" t="s">
        <v>20</v>
      </c>
      <c r="K106" t="s">
        <v>400</v>
      </c>
      <c r="L106" t="s">
        <v>401</v>
      </c>
      <c r="N106">
        <v>6</v>
      </c>
      <c r="O106">
        <v>161.6</v>
      </c>
    </row>
    <row r="107" spans="1:15">
      <c r="A107">
        <v>106</v>
      </c>
      <c r="B107" t="s">
        <v>402</v>
      </c>
      <c r="C107" t="s">
        <v>123</v>
      </c>
      <c r="D107" t="s">
        <v>61</v>
      </c>
      <c r="E107">
        <v>0</v>
      </c>
      <c r="F107" t="s">
        <v>56</v>
      </c>
      <c r="G107">
        <v>340</v>
      </c>
      <c r="H107" t="s">
        <v>27</v>
      </c>
      <c r="I107">
        <v>113729</v>
      </c>
      <c r="J107" t="s">
        <v>20</v>
      </c>
      <c r="K107" t="s">
        <v>403</v>
      </c>
      <c r="L107" t="s">
        <v>404</v>
      </c>
      <c r="M107" t="s">
        <v>86</v>
      </c>
      <c r="N107">
        <v>4</v>
      </c>
      <c r="O107">
        <v>0</v>
      </c>
    </row>
    <row r="108" spans="1:15">
      <c r="A108">
        <v>107</v>
      </c>
      <c r="B108" t="s">
        <v>405</v>
      </c>
      <c r="C108" t="s">
        <v>158</v>
      </c>
      <c r="D108" t="s">
        <v>114</v>
      </c>
      <c r="E108">
        <v>15.3</v>
      </c>
      <c r="F108" t="s">
        <v>62</v>
      </c>
      <c r="G108">
        <v>164</v>
      </c>
      <c r="H108" t="s">
        <v>19</v>
      </c>
      <c r="I108">
        <v>112691</v>
      </c>
      <c r="J108" t="s">
        <v>20</v>
      </c>
      <c r="K108" t="s">
        <v>406</v>
      </c>
      <c r="L108" t="s">
        <v>407</v>
      </c>
      <c r="M108" t="s">
        <v>86</v>
      </c>
      <c r="N108">
        <v>18</v>
      </c>
      <c r="O108">
        <v>32.200000000000003</v>
      </c>
    </row>
    <row r="109" spans="1:15">
      <c r="A109">
        <v>108</v>
      </c>
      <c r="B109" t="s">
        <v>408</v>
      </c>
      <c r="C109" t="s">
        <v>123</v>
      </c>
      <c r="D109" t="s">
        <v>114</v>
      </c>
      <c r="E109">
        <v>63.5</v>
      </c>
      <c r="F109" t="s">
        <v>26</v>
      </c>
      <c r="G109">
        <v>547</v>
      </c>
      <c r="H109" t="s">
        <v>19</v>
      </c>
      <c r="I109">
        <v>65761</v>
      </c>
      <c r="J109" t="s">
        <v>20</v>
      </c>
      <c r="K109" t="s">
        <v>409</v>
      </c>
      <c r="L109" t="s">
        <v>410</v>
      </c>
      <c r="M109" t="s">
        <v>86</v>
      </c>
      <c r="N109">
        <v>10</v>
      </c>
      <c r="O109">
        <v>144.4</v>
      </c>
    </row>
    <row r="110" spans="1:15">
      <c r="A110">
        <v>109</v>
      </c>
      <c r="B110" t="s">
        <v>411</v>
      </c>
      <c r="C110" t="s">
        <v>25</v>
      </c>
      <c r="D110" t="s">
        <v>137</v>
      </c>
      <c r="E110">
        <v>38.200000000000003</v>
      </c>
      <c r="F110" t="s">
        <v>62</v>
      </c>
      <c r="G110">
        <v>427</v>
      </c>
      <c r="H110" t="s">
        <v>19</v>
      </c>
      <c r="I110">
        <v>102912</v>
      </c>
      <c r="J110" t="s">
        <v>20</v>
      </c>
      <c r="K110" t="s">
        <v>412</v>
      </c>
      <c r="L110" t="s">
        <v>413</v>
      </c>
      <c r="M110" t="s">
        <v>48</v>
      </c>
      <c r="N110">
        <v>14</v>
      </c>
      <c r="O110">
        <v>116.5</v>
      </c>
    </row>
    <row r="111" spans="1:15">
      <c r="A111">
        <v>110</v>
      </c>
      <c r="B111" t="s">
        <v>414</v>
      </c>
      <c r="C111" t="s">
        <v>123</v>
      </c>
      <c r="D111" t="s">
        <v>17</v>
      </c>
      <c r="E111">
        <v>75.7</v>
      </c>
      <c r="F111" t="s">
        <v>18</v>
      </c>
      <c r="G111">
        <v>144</v>
      </c>
      <c r="H111" t="s">
        <v>19</v>
      </c>
      <c r="I111">
        <v>28847</v>
      </c>
      <c r="J111" t="s">
        <v>20</v>
      </c>
      <c r="K111" t="s">
        <v>415</v>
      </c>
      <c r="L111" t="s">
        <v>416</v>
      </c>
      <c r="M111" t="s">
        <v>121</v>
      </c>
      <c r="N111">
        <v>9</v>
      </c>
      <c r="O111">
        <v>161</v>
      </c>
    </row>
    <row r="112" spans="1:15">
      <c r="A112">
        <v>111</v>
      </c>
      <c r="B112" t="s">
        <v>417</v>
      </c>
      <c r="C112" t="s">
        <v>25</v>
      </c>
      <c r="D112" t="s">
        <v>114</v>
      </c>
      <c r="E112">
        <v>34.700000000000003</v>
      </c>
      <c r="F112" t="s">
        <v>18</v>
      </c>
      <c r="G112">
        <v>208</v>
      </c>
      <c r="H112" t="s">
        <v>27</v>
      </c>
      <c r="I112">
        <v>24229</v>
      </c>
      <c r="J112" t="s">
        <v>20</v>
      </c>
      <c r="K112" t="s">
        <v>418</v>
      </c>
      <c r="L112" t="s">
        <v>419</v>
      </c>
      <c r="M112" t="s">
        <v>117</v>
      </c>
      <c r="N112">
        <v>8</v>
      </c>
      <c r="O112">
        <v>72.8</v>
      </c>
    </row>
    <row r="113" spans="1:15">
      <c r="A113">
        <v>112</v>
      </c>
      <c r="B113" t="s">
        <v>420</v>
      </c>
      <c r="C113" t="s">
        <v>50</v>
      </c>
      <c r="D113" t="s">
        <v>17</v>
      </c>
      <c r="E113">
        <v>67.599999999999994</v>
      </c>
      <c r="F113" t="s">
        <v>26</v>
      </c>
      <c r="G113">
        <v>86</v>
      </c>
      <c r="H113" t="s">
        <v>27</v>
      </c>
      <c r="I113">
        <v>9091</v>
      </c>
      <c r="J113" t="s">
        <v>20</v>
      </c>
      <c r="K113" t="s">
        <v>421</v>
      </c>
      <c r="L113" t="s">
        <v>422</v>
      </c>
      <c r="M113" t="s">
        <v>69</v>
      </c>
      <c r="N113">
        <v>13</v>
      </c>
      <c r="O113">
        <v>216.2</v>
      </c>
    </row>
    <row r="114" spans="1:15">
      <c r="A114">
        <v>113</v>
      </c>
      <c r="B114" t="s">
        <v>423</v>
      </c>
      <c r="C114" t="s">
        <v>50</v>
      </c>
      <c r="D114" t="s">
        <v>17</v>
      </c>
      <c r="E114">
        <v>3</v>
      </c>
      <c r="F114" t="s">
        <v>62</v>
      </c>
      <c r="G114">
        <v>649</v>
      </c>
      <c r="H114" t="s">
        <v>27</v>
      </c>
      <c r="I114">
        <v>49556</v>
      </c>
      <c r="J114" t="s">
        <v>20</v>
      </c>
      <c r="K114" t="s">
        <v>424</v>
      </c>
      <c r="L114" t="s">
        <v>425</v>
      </c>
      <c r="N114">
        <v>20</v>
      </c>
      <c r="O114">
        <v>7.1</v>
      </c>
    </row>
    <row r="115" spans="1:15">
      <c r="A115">
        <v>114</v>
      </c>
      <c r="B115" t="s">
        <v>426</v>
      </c>
      <c r="C115" t="s">
        <v>123</v>
      </c>
      <c r="D115" t="s">
        <v>33</v>
      </c>
      <c r="E115">
        <v>10.8</v>
      </c>
      <c r="F115" t="s">
        <v>26</v>
      </c>
      <c r="G115">
        <v>502</v>
      </c>
      <c r="H115" t="s">
        <v>19</v>
      </c>
      <c r="I115">
        <v>40813</v>
      </c>
      <c r="J115" t="s">
        <v>20</v>
      </c>
      <c r="K115" t="s">
        <v>427</v>
      </c>
      <c r="L115" t="s">
        <v>428</v>
      </c>
      <c r="M115" t="s">
        <v>54</v>
      </c>
      <c r="N115">
        <v>16</v>
      </c>
      <c r="O115">
        <v>30.2</v>
      </c>
    </row>
    <row r="116" spans="1:15">
      <c r="A116">
        <v>115</v>
      </c>
      <c r="B116" t="s">
        <v>429</v>
      </c>
      <c r="C116" t="s">
        <v>158</v>
      </c>
      <c r="D116" t="s">
        <v>40</v>
      </c>
      <c r="E116">
        <v>32.700000000000003</v>
      </c>
      <c r="F116" t="s">
        <v>56</v>
      </c>
      <c r="G116">
        <v>455</v>
      </c>
      <c r="H116" t="s">
        <v>19</v>
      </c>
      <c r="I116">
        <v>93986</v>
      </c>
      <c r="J116" t="s">
        <v>20</v>
      </c>
      <c r="K116" t="s">
        <v>430</v>
      </c>
      <c r="L116" t="s">
        <v>431</v>
      </c>
      <c r="M116" t="s">
        <v>59</v>
      </c>
      <c r="N116">
        <v>15</v>
      </c>
      <c r="O116">
        <v>112.2</v>
      </c>
    </row>
    <row r="117" spans="1:15">
      <c r="A117">
        <v>116</v>
      </c>
      <c r="B117" t="s">
        <v>432</v>
      </c>
      <c r="C117" t="s">
        <v>25</v>
      </c>
      <c r="D117" t="s">
        <v>33</v>
      </c>
      <c r="E117">
        <v>53.6</v>
      </c>
      <c r="F117" t="s">
        <v>56</v>
      </c>
      <c r="G117">
        <v>396</v>
      </c>
      <c r="H117" t="s">
        <v>19</v>
      </c>
      <c r="I117">
        <v>70340</v>
      </c>
      <c r="J117" t="s">
        <v>20</v>
      </c>
      <c r="K117" t="s">
        <v>433</v>
      </c>
      <c r="L117" t="s">
        <v>434</v>
      </c>
      <c r="N117">
        <v>14</v>
      </c>
      <c r="O117">
        <v>142.1</v>
      </c>
    </row>
    <row r="118" spans="1:15">
      <c r="A118">
        <v>117</v>
      </c>
      <c r="B118" t="s">
        <v>435</v>
      </c>
      <c r="C118" t="s">
        <v>123</v>
      </c>
      <c r="D118" t="s">
        <v>40</v>
      </c>
      <c r="E118">
        <v>76.7</v>
      </c>
      <c r="F118" t="s">
        <v>56</v>
      </c>
      <c r="G118">
        <v>66</v>
      </c>
      <c r="H118" t="s">
        <v>27</v>
      </c>
      <c r="I118">
        <v>118141</v>
      </c>
      <c r="J118" t="s">
        <v>20</v>
      </c>
      <c r="K118" t="s">
        <v>436</v>
      </c>
      <c r="L118" t="s">
        <v>437</v>
      </c>
      <c r="M118" t="s">
        <v>54</v>
      </c>
      <c r="N118">
        <v>7</v>
      </c>
      <c r="O118">
        <v>232.8</v>
      </c>
    </row>
    <row r="119" spans="1:15">
      <c r="A119">
        <v>118</v>
      </c>
      <c r="B119" t="s">
        <v>438</v>
      </c>
      <c r="C119" t="s">
        <v>25</v>
      </c>
      <c r="D119" t="s">
        <v>137</v>
      </c>
      <c r="E119">
        <v>6.1</v>
      </c>
      <c r="F119" t="s">
        <v>18</v>
      </c>
      <c r="G119">
        <v>690</v>
      </c>
      <c r="H119" t="s">
        <v>19</v>
      </c>
      <c r="I119">
        <v>76342</v>
      </c>
      <c r="J119" t="s">
        <v>20</v>
      </c>
      <c r="K119" t="s">
        <v>439</v>
      </c>
      <c r="L119" t="s">
        <v>440</v>
      </c>
      <c r="M119" t="s">
        <v>441</v>
      </c>
      <c r="N119">
        <v>17</v>
      </c>
      <c r="O119">
        <v>16.100000000000001</v>
      </c>
    </row>
    <row r="120" spans="1:15">
      <c r="A120">
        <v>119</v>
      </c>
      <c r="B120" t="s">
        <v>442</v>
      </c>
      <c r="C120" t="s">
        <v>50</v>
      </c>
      <c r="D120" t="s">
        <v>61</v>
      </c>
      <c r="E120">
        <v>0</v>
      </c>
      <c r="F120" t="s">
        <v>18</v>
      </c>
      <c r="G120">
        <v>644</v>
      </c>
      <c r="H120" t="s">
        <v>19</v>
      </c>
      <c r="I120">
        <v>44660</v>
      </c>
      <c r="J120" t="s">
        <v>20</v>
      </c>
      <c r="K120" t="s">
        <v>443</v>
      </c>
      <c r="L120" t="s">
        <v>444</v>
      </c>
      <c r="N120">
        <v>1</v>
      </c>
      <c r="O120">
        <v>0</v>
      </c>
    </row>
    <row r="121" spans="1:15">
      <c r="A121">
        <v>120</v>
      </c>
      <c r="B121" t="s">
        <v>445</v>
      </c>
      <c r="C121" t="s">
        <v>32</v>
      </c>
      <c r="D121" t="s">
        <v>137</v>
      </c>
      <c r="E121">
        <v>9.4</v>
      </c>
      <c r="F121" t="s">
        <v>56</v>
      </c>
      <c r="G121">
        <v>542</v>
      </c>
      <c r="H121" t="s">
        <v>19</v>
      </c>
      <c r="I121">
        <v>88575</v>
      </c>
      <c r="J121" t="s">
        <v>20</v>
      </c>
      <c r="K121" t="s">
        <v>446</v>
      </c>
      <c r="L121" t="s">
        <v>447</v>
      </c>
      <c r="M121" t="s">
        <v>441</v>
      </c>
      <c r="N121">
        <v>7</v>
      </c>
      <c r="O121">
        <v>26.7</v>
      </c>
    </row>
    <row r="122" spans="1:15">
      <c r="A122">
        <v>121</v>
      </c>
      <c r="B122" t="s">
        <v>448</v>
      </c>
      <c r="C122" t="s">
        <v>50</v>
      </c>
      <c r="D122" t="s">
        <v>33</v>
      </c>
      <c r="E122">
        <v>66.599999999999994</v>
      </c>
      <c r="F122" t="s">
        <v>41</v>
      </c>
      <c r="G122">
        <v>260</v>
      </c>
      <c r="H122" t="s">
        <v>19</v>
      </c>
      <c r="I122">
        <v>3784</v>
      </c>
      <c r="J122" t="s">
        <v>20</v>
      </c>
      <c r="K122" t="s">
        <v>46</v>
      </c>
      <c r="L122" t="s">
        <v>449</v>
      </c>
      <c r="M122" t="s">
        <v>112</v>
      </c>
      <c r="N122">
        <v>2</v>
      </c>
      <c r="O122">
        <v>166.7</v>
      </c>
    </row>
    <row r="123" spans="1:15">
      <c r="A123">
        <v>122</v>
      </c>
      <c r="B123" t="s">
        <v>450</v>
      </c>
      <c r="C123" t="s">
        <v>133</v>
      </c>
      <c r="D123" t="s">
        <v>17</v>
      </c>
      <c r="E123">
        <v>12.7</v>
      </c>
      <c r="F123" t="s">
        <v>18</v>
      </c>
      <c r="G123">
        <v>196</v>
      </c>
      <c r="H123" t="s">
        <v>27</v>
      </c>
      <c r="I123">
        <v>6420</v>
      </c>
      <c r="J123" t="s">
        <v>20</v>
      </c>
      <c r="K123" t="s">
        <v>451</v>
      </c>
      <c r="L123" t="s">
        <v>452</v>
      </c>
      <c r="M123" t="s">
        <v>59</v>
      </c>
      <c r="N123">
        <v>3</v>
      </c>
      <c r="O123">
        <v>31.3</v>
      </c>
    </row>
    <row r="124" spans="1:15">
      <c r="A124">
        <v>123</v>
      </c>
      <c r="B124" t="s">
        <v>453</v>
      </c>
      <c r="C124" t="s">
        <v>123</v>
      </c>
      <c r="D124" t="s">
        <v>61</v>
      </c>
      <c r="E124">
        <v>0</v>
      </c>
      <c r="F124" t="s">
        <v>18</v>
      </c>
      <c r="G124">
        <v>142</v>
      </c>
      <c r="H124" t="s">
        <v>19</v>
      </c>
      <c r="I124">
        <v>112622</v>
      </c>
      <c r="J124" t="s">
        <v>20</v>
      </c>
      <c r="K124" t="s">
        <v>454</v>
      </c>
      <c r="L124" t="s">
        <v>455</v>
      </c>
      <c r="N124">
        <v>18</v>
      </c>
      <c r="O124">
        <v>0</v>
      </c>
    </row>
    <row r="125" spans="1:15">
      <c r="A125">
        <v>124</v>
      </c>
      <c r="B125" t="s">
        <v>456</v>
      </c>
      <c r="C125" t="s">
        <v>25</v>
      </c>
      <c r="D125" t="s">
        <v>137</v>
      </c>
      <c r="E125">
        <v>25.6</v>
      </c>
      <c r="F125" t="s">
        <v>26</v>
      </c>
      <c r="G125">
        <v>582</v>
      </c>
      <c r="H125" t="s">
        <v>27</v>
      </c>
      <c r="I125">
        <v>29738</v>
      </c>
      <c r="J125" t="s">
        <v>20</v>
      </c>
      <c r="K125" t="s">
        <v>457</v>
      </c>
      <c r="L125" t="s">
        <v>458</v>
      </c>
      <c r="M125" t="s">
        <v>48</v>
      </c>
      <c r="N125">
        <v>1</v>
      </c>
      <c r="O125">
        <v>82.1</v>
      </c>
    </row>
    <row r="126" spans="1:15">
      <c r="A126">
        <v>125</v>
      </c>
      <c r="B126" t="s">
        <v>459</v>
      </c>
      <c r="C126" t="s">
        <v>158</v>
      </c>
      <c r="D126" t="s">
        <v>17</v>
      </c>
      <c r="E126">
        <v>8.6</v>
      </c>
      <c r="F126" t="s">
        <v>18</v>
      </c>
      <c r="G126">
        <v>340</v>
      </c>
      <c r="H126" t="s">
        <v>27</v>
      </c>
      <c r="I126">
        <v>111395</v>
      </c>
      <c r="J126" t="s">
        <v>20</v>
      </c>
      <c r="K126" t="s">
        <v>460</v>
      </c>
      <c r="L126" t="s">
        <v>461</v>
      </c>
      <c r="M126" t="s">
        <v>54</v>
      </c>
      <c r="N126">
        <v>5</v>
      </c>
      <c r="O126">
        <v>20.5</v>
      </c>
    </row>
    <row r="127" spans="1:15">
      <c r="A127">
        <v>126</v>
      </c>
      <c r="B127" t="s">
        <v>462</v>
      </c>
      <c r="C127" t="s">
        <v>133</v>
      </c>
      <c r="D127" t="s">
        <v>17</v>
      </c>
      <c r="E127">
        <v>8.1</v>
      </c>
      <c r="F127" t="s">
        <v>18</v>
      </c>
      <c r="G127">
        <v>471</v>
      </c>
      <c r="H127" t="s">
        <v>27</v>
      </c>
      <c r="I127">
        <v>65935</v>
      </c>
      <c r="J127" t="s">
        <v>20</v>
      </c>
      <c r="K127" t="s">
        <v>463</v>
      </c>
      <c r="L127" t="s">
        <v>464</v>
      </c>
      <c r="M127" t="s">
        <v>59</v>
      </c>
      <c r="N127">
        <v>3</v>
      </c>
      <c r="O127">
        <v>19.3</v>
      </c>
    </row>
    <row r="128" spans="1:15">
      <c r="A128">
        <v>127</v>
      </c>
      <c r="B128" t="s">
        <v>465</v>
      </c>
      <c r="C128" t="s">
        <v>25</v>
      </c>
      <c r="D128" t="s">
        <v>61</v>
      </c>
      <c r="E128">
        <v>0</v>
      </c>
      <c r="F128" t="s">
        <v>62</v>
      </c>
      <c r="G128">
        <v>655</v>
      </c>
      <c r="H128" t="s">
        <v>19</v>
      </c>
      <c r="I128">
        <v>38877</v>
      </c>
      <c r="J128" t="s">
        <v>20</v>
      </c>
      <c r="K128" t="s">
        <v>466</v>
      </c>
      <c r="L128" t="s">
        <v>467</v>
      </c>
      <c r="N128">
        <v>2</v>
      </c>
      <c r="O128">
        <v>0</v>
      </c>
    </row>
    <row r="129" spans="1:15">
      <c r="A129">
        <v>128</v>
      </c>
      <c r="B129" t="s">
        <v>468</v>
      </c>
      <c r="C129" t="s">
        <v>16</v>
      </c>
      <c r="D129" t="s">
        <v>17</v>
      </c>
      <c r="E129">
        <v>17.899999999999999</v>
      </c>
      <c r="F129" t="s">
        <v>56</v>
      </c>
      <c r="G129">
        <v>288</v>
      </c>
      <c r="H129" t="s">
        <v>19</v>
      </c>
      <c r="I129">
        <v>35312</v>
      </c>
      <c r="J129" t="s">
        <v>20</v>
      </c>
      <c r="K129" t="s">
        <v>469</v>
      </c>
      <c r="L129" t="s">
        <v>470</v>
      </c>
      <c r="M129" t="s">
        <v>69</v>
      </c>
      <c r="N129">
        <v>4</v>
      </c>
      <c r="O129">
        <v>38.799999999999997</v>
      </c>
    </row>
    <row r="130" spans="1:15">
      <c r="A130">
        <v>129</v>
      </c>
      <c r="B130" t="s">
        <v>471</v>
      </c>
      <c r="C130" t="s">
        <v>133</v>
      </c>
      <c r="D130" t="s">
        <v>17</v>
      </c>
      <c r="E130">
        <v>7.1</v>
      </c>
      <c r="F130" t="s">
        <v>41</v>
      </c>
      <c r="G130">
        <v>546</v>
      </c>
      <c r="H130" t="s">
        <v>27</v>
      </c>
      <c r="I130">
        <v>58141</v>
      </c>
      <c r="J130" t="s">
        <v>20</v>
      </c>
      <c r="K130" t="s">
        <v>472</v>
      </c>
      <c r="L130" t="s">
        <v>473</v>
      </c>
      <c r="M130" t="s">
        <v>86</v>
      </c>
      <c r="N130">
        <v>5</v>
      </c>
      <c r="O130">
        <v>20</v>
      </c>
    </row>
    <row r="131" spans="1:15">
      <c r="A131">
        <v>130</v>
      </c>
      <c r="B131" t="s">
        <v>474</v>
      </c>
      <c r="C131" t="s">
        <v>39</v>
      </c>
      <c r="D131" t="s">
        <v>137</v>
      </c>
      <c r="E131">
        <v>19.100000000000001</v>
      </c>
      <c r="F131" t="s">
        <v>18</v>
      </c>
      <c r="G131">
        <v>304</v>
      </c>
      <c r="H131" t="s">
        <v>27</v>
      </c>
      <c r="I131">
        <v>52107</v>
      </c>
      <c r="J131" t="s">
        <v>20</v>
      </c>
      <c r="K131" t="s">
        <v>475</v>
      </c>
      <c r="L131" t="s">
        <v>476</v>
      </c>
      <c r="M131" t="s">
        <v>117</v>
      </c>
      <c r="N131">
        <v>3</v>
      </c>
      <c r="O131">
        <v>54.3</v>
      </c>
    </row>
    <row r="132" spans="1:15">
      <c r="A132">
        <v>131</v>
      </c>
      <c r="B132" t="s">
        <v>477</v>
      </c>
      <c r="C132" t="s">
        <v>123</v>
      </c>
      <c r="D132" t="s">
        <v>114</v>
      </c>
      <c r="E132">
        <v>58.8</v>
      </c>
      <c r="F132" t="s">
        <v>26</v>
      </c>
      <c r="G132">
        <v>319</v>
      </c>
      <c r="H132" t="s">
        <v>27</v>
      </c>
      <c r="I132">
        <v>87887</v>
      </c>
      <c r="J132" t="s">
        <v>20</v>
      </c>
      <c r="K132" t="s">
        <v>478</v>
      </c>
      <c r="L132" t="s">
        <v>479</v>
      </c>
      <c r="M132" t="s">
        <v>69</v>
      </c>
      <c r="N132">
        <v>10</v>
      </c>
      <c r="O132">
        <v>174.4</v>
      </c>
    </row>
    <row r="133" spans="1:15">
      <c r="A133">
        <v>132</v>
      </c>
      <c r="B133" t="s">
        <v>480</v>
      </c>
      <c r="C133" t="s">
        <v>32</v>
      </c>
      <c r="D133" t="s">
        <v>17</v>
      </c>
      <c r="E133">
        <v>92</v>
      </c>
      <c r="F133" t="s">
        <v>26</v>
      </c>
      <c r="G133">
        <v>553</v>
      </c>
      <c r="H133" t="s">
        <v>27</v>
      </c>
      <c r="I133">
        <v>26521</v>
      </c>
      <c r="J133" t="s">
        <v>20</v>
      </c>
      <c r="K133" t="s">
        <v>481</v>
      </c>
      <c r="L133" t="s">
        <v>482</v>
      </c>
      <c r="M133" t="s">
        <v>59</v>
      </c>
      <c r="N133">
        <v>19</v>
      </c>
      <c r="O133">
        <v>278.10000000000002</v>
      </c>
    </row>
    <row r="134" spans="1:15">
      <c r="A134">
        <v>133</v>
      </c>
      <c r="B134" t="s">
        <v>483</v>
      </c>
      <c r="C134" t="s">
        <v>16</v>
      </c>
      <c r="D134" t="s">
        <v>137</v>
      </c>
      <c r="E134">
        <v>31</v>
      </c>
      <c r="F134" t="s">
        <v>56</v>
      </c>
      <c r="G134">
        <v>671</v>
      </c>
      <c r="H134" t="s">
        <v>27</v>
      </c>
      <c r="I134">
        <v>39964</v>
      </c>
      <c r="J134" t="s">
        <v>20</v>
      </c>
      <c r="K134" t="s">
        <v>484</v>
      </c>
      <c r="L134" t="s">
        <v>428</v>
      </c>
      <c r="M134" t="s">
        <v>69</v>
      </c>
      <c r="N134">
        <v>12</v>
      </c>
      <c r="O134">
        <v>95.2</v>
      </c>
    </row>
    <row r="135" spans="1:15">
      <c r="A135">
        <v>134</v>
      </c>
      <c r="B135" t="s">
        <v>485</v>
      </c>
      <c r="C135" t="s">
        <v>123</v>
      </c>
      <c r="D135" t="s">
        <v>137</v>
      </c>
      <c r="E135">
        <v>83.9</v>
      </c>
      <c r="F135" t="s">
        <v>18</v>
      </c>
      <c r="G135">
        <v>686</v>
      </c>
      <c r="H135" t="s">
        <v>19</v>
      </c>
      <c r="I135">
        <v>42608</v>
      </c>
      <c r="J135" t="s">
        <v>20</v>
      </c>
      <c r="K135" t="s">
        <v>486</v>
      </c>
      <c r="L135" t="s">
        <v>487</v>
      </c>
      <c r="M135" t="s">
        <v>86</v>
      </c>
      <c r="N135">
        <v>18</v>
      </c>
      <c r="O135">
        <v>215.7</v>
      </c>
    </row>
    <row r="136" spans="1:15">
      <c r="A136">
        <v>135</v>
      </c>
      <c r="B136" t="s">
        <v>488</v>
      </c>
      <c r="C136" t="s">
        <v>123</v>
      </c>
      <c r="D136" t="s">
        <v>61</v>
      </c>
      <c r="E136">
        <v>0</v>
      </c>
      <c r="F136" t="s">
        <v>26</v>
      </c>
      <c r="G136">
        <v>241</v>
      </c>
      <c r="H136" t="s">
        <v>19</v>
      </c>
      <c r="I136">
        <v>75424</v>
      </c>
      <c r="J136" t="s">
        <v>20</v>
      </c>
      <c r="K136" t="s">
        <v>489</v>
      </c>
      <c r="L136" t="s">
        <v>490</v>
      </c>
      <c r="M136" t="s">
        <v>117</v>
      </c>
      <c r="N136">
        <v>6</v>
      </c>
      <c r="O136">
        <v>0</v>
      </c>
    </row>
    <row r="137" spans="1:15">
      <c r="A137">
        <v>136</v>
      </c>
      <c r="B137" t="s">
        <v>491</v>
      </c>
      <c r="C137" t="s">
        <v>158</v>
      </c>
      <c r="D137" t="s">
        <v>114</v>
      </c>
      <c r="E137">
        <v>59</v>
      </c>
      <c r="F137" t="s">
        <v>62</v>
      </c>
      <c r="G137">
        <v>353</v>
      </c>
      <c r="H137" t="s">
        <v>27</v>
      </c>
      <c r="I137">
        <v>30455</v>
      </c>
      <c r="J137" t="s">
        <v>20</v>
      </c>
      <c r="K137" t="s">
        <v>492</v>
      </c>
      <c r="L137" t="s">
        <v>493</v>
      </c>
      <c r="M137" t="s">
        <v>112</v>
      </c>
      <c r="N137">
        <v>12</v>
      </c>
      <c r="O137">
        <v>174.6</v>
      </c>
    </row>
    <row r="138" spans="1:15">
      <c r="A138">
        <v>137</v>
      </c>
      <c r="B138" t="s">
        <v>494</v>
      </c>
      <c r="C138" t="s">
        <v>32</v>
      </c>
      <c r="D138" t="s">
        <v>137</v>
      </c>
      <c r="E138">
        <v>22.5</v>
      </c>
      <c r="F138" t="s">
        <v>26</v>
      </c>
      <c r="G138">
        <v>453</v>
      </c>
      <c r="H138" t="s">
        <v>19</v>
      </c>
      <c r="I138">
        <v>88865</v>
      </c>
      <c r="J138" t="s">
        <v>20</v>
      </c>
      <c r="K138" t="s">
        <v>495</v>
      </c>
      <c r="L138" t="s">
        <v>496</v>
      </c>
      <c r="M138" t="s">
        <v>48</v>
      </c>
      <c r="N138">
        <v>3</v>
      </c>
      <c r="O138">
        <v>76</v>
      </c>
    </row>
    <row r="139" spans="1:15">
      <c r="A139">
        <v>138</v>
      </c>
      <c r="B139" t="s">
        <v>497</v>
      </c>
      <c r="C139" t="s">
        <v>16</v>
      </c>
      <c r="D139" t="s">
        <v>137</v>
      </c>
      <c r="E139">
        <v>8.5</v>
      </c>
      <c r="F139" t="s">
        <v>56</v>
      </c>
      <c r="G139">
        <v>424</v>
      </c>
      <c r="H139" t="s">
        <v>19</v>
      </c>
      <c r="I139">
        <v>61714</v>
      </c>
      <c r="J139" t="s">
        <v>20</v>
      </c>
      <c r="K139" t="s">
        <v>498</v>
      </c>
      <c r="L139" t="s">
        <v>499</v>
      </c>
      <c r="M139" t="s">
        <v>54</v>
      </c>
      <c r="N139">
        <v>10</v>
      </c>
      <c r="O139">
        <v>22.9</v>
      </c>
    </row>
    <row r="140" spans="1:15">
      <c r="A140">
        <v>139</v>
      </c>
      <c r="B140" t="s">
        <v>500</v>
      </c>
      <c r="C140" t="s">
        <v>123</v>
      </c>
      <c r="D140" t="s">
        <v>40</v>
      </c>
      <c r="E140">
        <v>68.099999999999994</v>
      </c>
      <c r="F140" t="s">
        <v>26</v>
      </c>
      <c r="G140">
        <v>625</v>
      </c>
      <c r="H140" t="s">
        <v>19</v>
      </c>
      <c r="I140">
        <v>49534</v>
      </c>
      <c r="J140" t="s">
        <v>20</v>
      </c>
      <c r="K140" t="s">
        <v>501</v>
      </c>
      <c r="L140" t="s">
        <v>502</v>
      </c>
      <c r="M140" t="s">
        <v>69</v>
      </c>
      <c r="N140">
        <v>11</v>
      </c>
      <c r="O140">
        <v>181.4</v>
      </c>
    </row>
    <row r="141" spans="1:15">
      <c r="A141">
        <v>140</v>
      </c>
      <c r="B141" t="s">
        <v>503</v>
      </c>
      <c r="C141" t="s">
        <v>25</v>
      </c>
      <c r="D141" t="s">
        <v>40</v>
      </c>
      <c r="E141">
        <v>98</v>
      </c>
      <c r="F141" t="s">
        <v>41</v>
      </c>
      <c r="G141">
        <v>33</v>
      </c>
      <c r="H141" t="s">
        <v>27</v>
      </c>
      <c r="I141">
        <v>55508</v>
      </c>
      <c r="J141" t="s">
        <v>20</v>
      </c>
      <c r="K141" t="s">
        <v>504</v>
      </c>
      <c r="L141" t="s">
        <v>505</v>
      </c>
      <c r="M141" t="s">
        <v>59</v>
      </c>
      <c r="N141">
        <v>1</v>
      </c>
      <c r="O141">
        <v>318.7</v>
      </c>
    </row>
    <row r="142" spans="1:15">
      <c r="A142">
        <v>141</v>
      </c>
      <c r="B142" t="s">
        <v>506</v>
      </c>
      <c r="C142" t="s">
        <v>158</v>
      </c>
      <c r="D142" t="s">
        <v>137</v>
      </c>
      <c r="E142">
        <v>13.5</v>
      </c>
      <c r="F142" t="s">
        <v>26</v>
      </c>
      <c r="G142">
        <v>37</v>
      </c>
      <c r="H142" t="s">
        <v>19</v>
      </c>
      <c r="I142">
        <v>116350</v>
      </c>
      <c r="J142" t="s">
        <v>20</v>
      </c>
      <c r="K142" t="s">
        <v>507</v>
      </c>
      <c r="L142" t="s">
        <v>508</v>
      </c>
      <c r="M142" t="s">
        <v>117</v>
      </c>
      <c r="N142">
        <v>17</v>
      </c>
      <c r="O142">
        <v>45.6</v>
      </c>
    </row>
    <row r="143" spans="1:15">
      <c r="A143">
        <v>142</v>
      </c>
      <c r="B143" t="s">
        <v>509</v>
      </c>
      <c r="C143" t="s">
        <v>123</v>
      </c>
      <c r="D143" t="s">
        <v>33</v>
      </c>
      <c r="E143">
        <v>38.6</v>
      </c>
      <c r="F143" t="s">
        <v>18</v>
      </c>
      <c r="G143">
        <v>545</v>
      </c>
      <c r="H143" t="s">
        <v>19</v>
      </c>
      <c r="I143">
        <v>75533</v>
      </c>
      <c r="J143" t="s">
        <v>20</v>
      </c>
      <c r="K143" t="s">
        <v>510</v>
      </c>
      <c r="L143" t="s">
        <v>511</v>
      </c>
      <c r="M143" t="s">
        <v>86</v>
      </c>
      <c r="N143">
        <v>7</v>
      </c>
      <c r="O143">
        <v>123.8</v>
      </c>
    </row>
    <row r="144" spans="1:15">
      <c r="A144">
        <v>143</v>
      </c>
      <c r="B144" t="s">
        <v>512</v>
      </c>
      <c r="C144" t="s">
        <v>50</v>
      </c>
      <c r="D144" t="s">
        <v>17</v>
      </c>
      <c r="E144">
        <v>71.400000000000006</v>
      </c>
      <c r="F144" t="s">
        <v>18</v>
      </c>
      <c r="G144">
        <v>539</v>
      </c>
      <c r="H144" t="s">
        <v>19</v>
      </c>
      <c r="I144">
        <v>43270</v>
      </c>
      <c r="J144" t="s">
        <v>20</v>
      </c>
      <c r="K144" t="s">
        <v>513</v>
      </c>
      <c r="L144" t="s">
        <v>107</v>
      </c>
      <c r="M144" t="s">
        <v>59</v>
      </c>
      <c r="N144">
        <v>6</v>
      </c>
      <c r="O144">
        <v>186.5</v>
      </c>
    </row>
    <row r="145" spans="1:15">
      <c r="A145">
        <v>144</v>
      </c>
      <c r="B145" t="s">
        <v>514</v>
      </c>
      <c r="C145" t="s">
        <v>133</v>
      </c>
      <c r="D145" t="s">
        <v>40</v>
      </c>
      <c r="E145">
        <v>82.8</v>
      </c>
      <c r="F145" t="s">
        <v>56</v>
      </c>
      <c r="G145">
        <v>274</v>
      </c>
      <c r="H145" t="s">
        <v>19</v>
      </c>
      <c r="I145">
        <v>78674</v>
      </c>
      <c r="J145" t="s">
        <v>20</v>
      </c>
      <c r="K145" t="s">
        <v>515</v>
      </c>
      <c r="L145" t="s">
        <v>516</v>
      </c>
      <c r="M145" t="s">
        <v>117</v>
      </c>
      <c r="N145">
        <v>5</v>
      </c>
      <c r="O145">
        <v>210</v>
      </c>
    </row>
    <row r="146" spans="1:15">
      <c r="A146">
        <v>145</v>
      </c>
      <c r="B146" t="s">
        <v>517</v>
      </c>
      <c r="C146" t="s">
        <v>16</v>
      </c>
      <c r="D146" t="s">
        <v>137</v>
      </c>
      <c r="E146">
        <v>95.2</v>
      </c>
      <c r="F146" t="s">
        <v>62</v>
      </c>
      <c r="G146">
        <v>206</v>
      </c>
      <c r="H146" t="s">
        <v>27</v>
      </c>
      <c r="I146">
        <v>36260</v>
      </c>
      <c r="J146" t="s">
        <v>20</v>
      </c>
      <c r="K146" t="s">
        <v>518</v>
      </c>
      <c r="L146" t="s">
        <v>519</v>
      </c>
      <c r="M146" t="s">
        <v>112</v>
      </c>
      <c r="N146">
        <v>10</v>
      </c>
      <c r="O146">
        <v>279.7</v>
      </c>
    </row>
    <row r="147" spans="1:15">
      <c r="A147">
        <v>146</v>
      </c>
      <c r="B147" t="s">
        <v>520</v>
      </c>
      <c r="C147" t="s">
        <v>50</v>
      </c>
      <c r="D147" t="s">
        <v>114</v>
      </c>
      <c r="E147">
        <v>82.8</v>
      </c>
      <c r="F147" t="s">
        <v>26</v>
      </c>
      <c r="G147">
        <v>498</v>
      </c>
      <c r="H147" t="s">
        <v>19</v>
      </c>
      <c r="I147">
        <v>41681</v>
      </c>
      <c r="J147" t="s">
        <v>20</v>
      </c>
      <c r="K147" t="s">
        <v>521</v>
      </c>
      <c r="L147" t="s">
        <v>482</v>
      </c>
      <c r="M147" t="s">
        <v>441</v>
      </c>
      <c r="N147">
        <v>8</v>
      </c>
      <c r="O147">
        <v>201.6</v>
      </c>
    </row>
    <row r="148" spans="1:15">
      <c r="A148">
        <v>147</v>
      </c>
      <c r="B148" t="s">
        <v>522</v>
      </c>
      <c r="C148" t="s">
        <v>32</v>
      </c>
      <c r="D148" t="s">
        <v>33</v>
      </c>
      <c r="E148">
        <v>32.5</v>
      </c>
      <c r="F148" t="s">
        <v>18</v>
      </c>
      <c r="G148">
        <v>634</v>
      </c>
      <c r="H148" t="s">
        <v>19</v>
      </c>
      <c r="I148">
        <v>112105</v>
      </c>
      <c r="J148" t="s">
        <v>20</v>
      </c>
      <c r="K148" t="s">
        <v>523</v>
      </c>
      <c r="L148" t="s">
        <v>524</v>
      </c>
      <c r="M148" t="s">
        <v>59</v>
      </c>
      <c r="N148">
        <v>16</v>
      </c>
      <c r="O148">
        <v>94.8</v>
      </c>
    </row>
    <row r="149" spans="1:15">
      <c r="A149">
        <v>148</v>
      </c>
      <c r="B149" t="s">
        <v>525</v>
      </c>
      <c r="C149" t="s">
        <v>32</v>
      </c>
      <c r="D149" t="s">
        <v>114</v>
      </c>
      <c r="E149">
        <v>30.1</v>
      </c>
      <c r="F149" t="s">
        <v>26</v>
      </c>
      <c r="G149">
        <v>83</v>
      </c>
      <c r="H149" t="s">
        <v>27</v>
      </c>
      <c r="I149">
        <v>73376</v>
      </c>
      <c r="J149" t="s">
        <v>20</v>
      </c>
      <c r="K149" t="s">
        <v>526</v>
      </c>
      <c r="L149" t="s">
        <v>527</v>
      </c>
      <c r="M149" t="s">
        <v>54</v>
      </c>
      <c r="N149">
        <v>17</v>
      </c>
      <c r="O149">
        <v>96.3</v>
      </c>
    </row>
    <row r="150" spans="1:15">
      <c r="A150">
        <v>149</v>
      </c>
      <c r="B150" t="s">
        <v>528</v>
      </c>
      <c r="C150" t="s">
        <v>16</v>
      </c>
      <c r="D150" t="s">
        <v>40</v>
      </c>
      <c r="E150">
        <v>58.9</v>
      </c>
      <c r="F150" t="s">
        <v>62</v>
      </c>
      <c r="G150">
        <v>460</v>
      </c>
      <c r="H150" t="s">
        <v>27</v>
      </c>
      <c r="I150">
        <v>87447</v>
      </c>
      <c r="J150" t="s">
        <v>20</v>
      </c>
      <c r="K150" t="s">
        <v>529</v>
      </c>
      <c r="L150" t="s">
        <v>530</v>
      </c>
      <c r="M150" t="s">
        <v>112</v>
      </c>
      <c r="N150">
        <v>4</v>
      </c>
      <c r="O150">
        <v>186.3</v>
      </c>
    </row>
    <row r="151" spans="1:15">
      <c r="A151">
        <v>150</v>
      </c>
      <c r="B151" t="s">
        <v>531</v>
      </c>
      <c r="C151" t="s">
        <v>16</v>
      </c>
      <c r="D151" t="s">
        <v>137</v>
      </c>
      <c r="E151">
        <v>67.900000000000006</v>
      </c>
      <c r="F151" t="s">
        <v>62</v>
      </c>
      <c r="G151">
        <v>265</v>
      </c>
      <c r="H151" t="s">
        <v>19</v>
      </c>
      <c r="I151">
        <v>35455</v>
      </c>
      <c r="J151" t="s">
        <v>20</v>
      </c>
      <c r="K151" t="s">
        <v>532</v>
      </c>
      <c r="L151" t="s">
        <v>533</v>
      </c>
      <c r="N151">
        <v>2</v>
      </c>
      <c r="O151">
        <v>187.3</v>
      </c>
    </row>
    <row r="152" spans="1:15">
      <c r="A152">
        <v>151</v>
      </c>
      <c r="B152" t="s">
        <v>534</v>
      </c>
      <c r="C152" t="s">
        <v>32</v>
      </c>
      <c r="D152" t="s">
        <v>33</v>
      </c>
      <c r="E152">
        <v>65.5</v>
      </c>
      <c r="F152" t="s">
        <v>26</v>
      </c>
      <c r="G152">
        <v>619</v>
      </c>
      <c r="H152" t="s">
        <v>19</v>
      </c>
      <c r="I152">
        <v>81795</v>
      </c>
      <c r="J152" t="s">
        <v>20</v>
      </c>
      <c r="K152" t="s">
        <v>535</v>
      </c>
      <c r="L152" t="s">
        <v>536</v>
      </c>
      <c r="M152" t="s">
        <v>48</v>
      </c>
      <c r="N152">
        <v>8</v>
      </c>
      <c r="O152">
        <v>139</v>
      </c>
    </row>
    <row r="153" spans="1:15">
      <c r="A153">
        <v>152</v>
      </c>
      <c r="B153" t="s">
        <v>537</v>
      </c>
      <c r="C153" t="s">
        <v>32</v>
      </c>
      <c r="D153" t="s">
        <v>114</v>
      </c>
      <c r="E153">
        <v>73.599999999999994</v>
      </c>
      <c r="F153" t="s">
        <v>56</v>
      </c>
      <c r="G153">
        <v>504</v>
      </c>
      <c r="H153" t="s">
        <v>19</v>
      </c>
      <c r="I153">
        <v>37699</v>
      </c>
      <c r="J153" t="s">
        <v>20</v>
      </c>
      <c r="K153" t="s">
        <v>538</v>
      </c>
      <c r="L153" t="s">
        <v>539</v>
      </c>
      <c r="M153" t="s">
        <v>54</v>
      </c>
      <c r="N153">
        <v>14</v>
      </c>
      <c r="O153">
        <v>254.2</v>
      </c>
    </row>
    <row r="154" spans="1:15">
      <c r="A154">
        <v>153</v>
      </c>
      <c r="B154" t="s">
        <v>540</v>
      </c>
      <c r="C154" t="s">
        <v>39</v>
      </c>
      <c r="D154" t="s">
        <v>17</v>
      </c>
      <c r="E154">
        <v>76.3</v>
      </c>
      <c r="F154" t="s">
        <v>18</v>
      </c>
      <c r="G154">
        <v>391</v>
      </c>
      <c r="H154" t="s">
        <v>19</v>
      </c>
      <c r="I154">
        <v>29015</v>
      </c>
      <c r="J154" t="s">
        <v>20</v>
      </c>
      <c r="K154" t="s">
        <v>541</v>
      </c>
      <c r="L154" t="s">
        <v>542</v>
      </c>
      <c r="M154" t="s">
        <v>117</v>
      </c>
      <c r="N154">
        <v>20</v>
      </c>
      <c r="O154">
        <v>167</v>
      </c>
    </row>
    <row r="155" spans="1:15">
      <c r="A155">
        <v>154</v>
      </c>
      <c r="B155" t="s">
        <v>543</v>
      </c>
      <c r="C155" t="s">
        <v>158</v>
      </c>
      <c r="D155" t="s">
        <v>40</v>
      </c>
      <c r="E155">
        <v>23.9</v>
      </c>
      <c r="F155" t="s">
        <v>41</v>
      </c>
      <c r="G155">
        <v>315</v>
      </c>
      <c r="H155" t="s">
        <v>19</v>
      </c>
      <c r="I155">
        <v>38512</v>
      </c>
      <c r="J155" t="s">
        <v>20</v>
      </c>
      <c r="K155" t="s">
        <v>544</v>
      </c>
      <c r="L155" t="s">
        <v>545</v>
      </c>
      <c r="M155" t="s">
        <v>48</v>
      </c>
      <c r="N155">
        <v>1</v>
      </c>
      <c r="O155">
        <v>81.5</v>
      </c>
    </row>
    <row r="156" spans="1:15">
      <c r="A156">
        <v>155</v>
      </c>
      <c r="B156" t="s">
        <v>546</v>
      </c>
      <c r="C156" t="s">
        <v>25</v>
      </c>
      <c r="D156" t="s">
        <v>17</v>
      </c>
      <c r="E156">
        <v>24</v>
      </c>
      <c r="F156" t="s">
        <v>41</v>
      </c>
      <c r="G156">
        <v>58</v>
      </c>
      <c r="H156" t="s">
        <v>27</v>
      </c>
      <c r="I156">
        <v>61886</v>
      </c>
      <c r="J156" t="s">
        <v>20</v>
      </c>
      <c r="K156" t="s">
        <v>547</v>
      </c>
      <c r="L156" t="s">
        <v>479</v>
      </c>
      <c r="M156" t="s">
        <v>117</v>
      </c>
      <c r="N156">
        <v>10</v>
      </c>
      <c r="O156">
        <v>79.8</v>
      </c>
    </row>
    <row r="157" spans="1:15">
      <c r="A157">
        <v>156</v>
      </c>
      <c r="B157" t="s">
        <v>548</v>
      </c>
      <c r="C157" t="s">
        <v>133</v>
      </c>
      <c r="D157" t="s">
        <v>137</v>
      </c>
      <c r="E157">
        <v>14.1</v>
      </c>
      <c r="F157" t="s">
        <v>62</v>
      </c>
      <c r="G157">
        <v>545</v>
      </c>
      <c r="H157" t="s">
        <v>27</v>
      </c>
      <c r="I157">
        <v>9073</v>
      </c>
      <c r="J157" t="s">
        <v>20</v>
      </c>
      <c r="K157" t="s">
        <v>463</v>
      </c>
      <c r="L157" t="s">
        <v>549</v>
      </c>
      <c r="N157">
        <v>15</v>
      </c>
      <c r="O157">
        <v>35.9</v>
      </c>
    </row>
    <row r="158" spans="1:15">
      <c r="A158">
        <v>157</v>
      </c>
      <c r="B158" t="s">
        <v>550</v>
      </c>
      <c r="C158" t="s">
        <v>32</v>
      </c>
      <c r="D158" t="s">
        <v>17</v>
      </c>
      <c r="E158">
        <v>62.4</v>
      </c>
      <c r="F158" t="s">
        <v>56</v>
      </c>
      <c r="G158">
        <v>274</v>
      </c>
      <c r="H158" t="s">
        <v>19</v>
      </c>
      <c r="I158">
        <v>80995</v>
      </c>
      <c r="J158" t="s">
        <v>20</v>
      </c>
      <c r="K158" t="s">
        <v>551</v>
      </c>
      <c r="L158" t="s">
        <v>552</v>
      </c>
      <c r="M158" t="s">
        <v>117</v>
      </c>
      <c r="N158">
        <v>1</v>
      </c>
      <c r="O158">
        <v>174.2</v>
      </c>
    </row>
    <row r="159" spans="1:15">
      <c r="A159">
        <v>158</v>
      </c>
      <c r="B159" t="s">
        <v>553</v>
      </c>
      <c r="C159" t="s">
        <v>133</v>
      </c>
      <c r="D159" t="s">
        <v>137</v>
      </c>
      <c r="E159">
        <v>51.4</v>
      </c>
      <c r="F159" t="s">
        <v>26</v>
      </c>
      <c r="G159">
        <v>300</v>
      </c>
      <c r="H159" t="s">
        <v>19</v>
      </c>
      <c r="I159">
        <v>85849</v>
      </c>
      <c r="J159" t="s">
        <v>20</v>
      </c>
      <c r="K159" t="s">
        <v>554</v>
      </c>
      <c r="L159" t="s">
        <v>555</v>
      </c>
      <c r="M159" t="s">
        <v>69</v>
      </c>
      <c r="N159">
        <v>11</v>
      </c>
      <c r="O159">
        <v>175.6</v>
      </c>
    </row>
    <row r="160" spans="1:15">
      <c r="A160">
        <v>159</v>
      </c>
      <c r="B160" t="s">
        <v>556</v>
      </c>
      <c r="C160" t="s">
        <v>123</v>
      </c>
      <c r="D160" t="s">
        <v>33</v>
      </c>
      <c r="E160">
        <v>35.4</v>
      </c>
      <c r="F160" t="s">
        <v>41</v>
      </c>
      <c r="G160">
        <v>389</v>
      </c>
      <c r="H160" t="s">
        <v>19</v>
      </c>
      <c r="I160">
        <v>43138</v>
      </c>
      <c r="J160" t="s">
        <v>20</v>
      </c>
      <c r="K160" t="s">
        <v>557</v>
      </c>
      <c r="L160" t="s">
        <v>558</v>
      </c>
      <c r="M160" t="s">
        <v>48</v>
      </c>
      <c r="N160">
        <v>5</v>
      </c>
      <c r="O160">
        <v>84.7</v>
      </c>
    </row>
    <row r="161" spans="1:15">
      <c r="A161">
        <v>160</v>
      </c>
      <c r="B161" t="s">
        <v>559</v>
      </c>
      <c r="C161" t="s">
        <v>16</v>
      </c>
      <c r="D161" t="s">
        <v>17</v>
      </c>
      <c r="E161">
        <v>51.3</v>
      </c>
      <c r="F161" t="s">
        <v>26</v>
      </c>
      <c r="G161">
        <v>456</v>
      </c>
      <c r="H161" t="s">
        <v>27</v>
      </c>
      <c r="I161">
        <v>11362</v>
      </c>
      <c r="J161" t="s">
        <v>20</v>
      </c>
      <c r="K161" t="s">
        <v>560</v>
      </c>
      <c r="L161" t="s">
        <v>561</v>
      </c>
      <c r="M161" t="s">
        <v>54</v>
      </c>
      <c r="N161">
        <v>3</v>
      </c>
      <c r="O161">
        <v>155.9</v>
      </c>
    </row>
    <row r="162" spans="1:15">
      <c r="A162">
        <v>161</v>
      </c>
      <c r="B162" t="s">
        <v>562</v>
      </c>
      <c r="C162" t="s">
        <v>32</v>
      </c>
      <c r="D162" t="s">
        <v>61</v>
      </c>
      <c r="E162">
        <v>0</v>
      </c>
      <c r="F162" t="s">
        <v>18</v>
      </c>
      <c r="G162">
        <v>253</v>
      </c>
      <c r="H162" t="s">
        <v>19</v>
      </c>
      <c r="I162">
        <v>97499</v>
      </c>
      <c r="J162" t="s">
        <v>20</v>
      </c>
      <c r="K162" t="s">
        <v>563</v>
      </c>
      <c r="L162" t="s">
        <v>564</v>
      </c>
      <c r="M162" t="s">
        <v>86</v>
      </c>
      <c r="N162">
        <v>8</v>
      </c>
      <c r="O162">
        <v>0</v>
      </c>
    </row>
    <row r="163" spans="1:15">
      <c r="A163">
        <v>162</v>
      </c>
      <c r="B163" t="s">
        <v>565</v>
      </c>
      <c r="C163" t="s">
        <v>50</v>
      </c>
      <c r="D163" t="s">
        <v>33</v>
      </c>
      <c r="E163">
        <v>62.4</v>
      </c>
      <c r="F163" t="s">
        <v>56</v>
      </c>
      <c r="G163">
        <v>320</v>
      </c>
      <c r="H163" t="s">
        <v>19</v>
      </c>
      <c r="I163">
        <v>99714</v>
      </c>
      <c r="J163" t="s">
        <v>20</v>
      </c>
      <c r="K163" t="s">
        <v>566</v>
      </c>
      <c r="L163" t="s">
        <v>404</v>
      </c>
      <c r="M163" t="s">
        <v>121</v>
      </c>
      <c r="N163">
        <v>3</v>
      </c>
      <c r="O163">
        <v>200</v>
      </c>
    </row>
    <row r="164" spans="1:15">
      <c r="A164">
        <v>163</v>
      </c>
      <c r="B164" t="s">
        <v>567</v>
      </c>
      <c r="C164" t="s">
        <v>25</v>
      </c>
      <c r="D164" t="s">
        <v>33</v>
      </c>
      <c r="E164">
        <v>70</v>
      </c>
      <c r="F164" t="s">
        <v>56</v>
      </c>
      <c r="G164">
        <v>300</v>
      </c>
      <c r="H164" t="s">
        <v>19</v>
      </c>
      <c r="I164">
        <v>106948</v>
      </c>
      <c r="J164" t="s">
        <v>20</v>
      </c>
      <c r="K164" t="s">
        <v>568</v>
      </c>
      <c r="L164" t="s">
        <v>569</v>
      </c>
      <c r="M164" t="s">
        <v>69</v>
      </c>
      <c r="N164">
        <v>5</v>
      </c>
      <c r="O164">
        <v>227.3</v>
      </c>
    </row>
    <row r="165" spans="1:15">
      <c r="A165">
        <v>164</v>
      </c>
      <c r="B165" t="s">
        <v>570</v>
      </c>
      <c r="C165" t="s">
        <v>133</v>
      </c>
      <c r="D165" t="s">
        <v>114</v>
      </c>
      <c r="E165">
        <v>38.700000000000003</v>
      </c>
      <c r="F165" t="s">
        <v>18</v>
      </c>
      <c r="G165">
        <v>138</v>
      </c>
      <c r="H165" t="s">
        <v>27</v>
      </c>
      <c r="I165">
        <v>8255</v>
      </c>
      <c r="J165" t="s">
        <v>20</v>
      </c>
      <c r="K165" t="s">
        <v>571</v>
      </c>
      <c r="L165" t="s">
        <v>572</v>
      </c>
      <c r="N165">
        <v>15</v>
      </c>
      <c r="O165">
        <v>99.4</v>
      </c>
    </row>
    <row r="166" spans="1:15">
      <c r="A166">
        <v>165</v>
      </c>
      <c r="B166" t="s">
        <v>573</v>
      </c>
      <c r="C166" t="s">
        <v>133</v>
      </c>
      <c r="D166" t="s">
        <v>33</v>
      </c>
      <c r="E166">
        <v>68.099999999999994</v>
      </c>
      <c r="F166" t="s">
        <v>41</v>
      </c>
      <c r="G166">
        <v>199</v>
      </c>
      <c r="H166" t="s">
        <v>19</v>
      </c>
      <c r="I166">
        <v>7334</v>
      </c>
      <c r="J166" t="s">
        <v>20</v>
      </c>
      <c r="K166" t="s">
        <v>574</v>
      </c>
      <c r="L166" t="s">
        <v>575</v>
      </c>
      <c r="M166" t="s">
        <v>54</v>
      </c>
      <c r="N166">
        <v>2</v>
      </c>
      <c r="O166">
        <v>179.8</v>
      </c>
    </row>
    <row r="167" spans="1:15">
      <c r="A167">
        <v>166</v>
      </c>
      <c r="B167" t="s">
        <v>576</v>
      </c>
      <c r="C167" t="s">
        <v>123</v>
      </c>
      <c r="D167" t="s">
        <v>137</v>
      </c>
      <c r="E167">
        <v>96.6</v>
      </c>
      <c r="F167" t="s">
        <v>18</v>
      </c>
      <c r="G167">
        <v>499</v>
      </c>
      <c r="H167" t="s">
        <v>19</v>
      </c>
      <c r="I167">
        <v>62853</v>
      </c>
      <c r="J167" t="s">
        <v>20</v>
      </c>
      <c r="K167" t="s">
        <v>577</v>
      </c>
      <c r="L167" t="s">
        <v>578</v>
      </c>
      <c r="M167" t="s">
        <v>48</v>
      </c>
      <c r="N167">
        <v>20</v>
      </c>
      <c r="O167">
        <v>241.4</v>
      </c>
    </row>
    <row r="168" spans="1:15">
      <c r="A168">
        <v>167</v>
      </c>
      <c r="B168" t="s">
        <v>334</v>
      </c>
      <c r="C168" t="s">
        <v>50</v>
      </c>
      <c r="D168" t="s">
        <v>33</v>
      </c>
      <c r="E168">
        <v>29.4</v>
      </c>
      <c r="F168" t="s">
        <v>26</v>
      </c>
      <c r="G168">
        <v>414</v>
      </c>
      <c r="H168" t="s">
        <v>27</v>
      </c>
      <c r="I168">
        <v>35546</v>
      </c>
      <c r="J168" t="s">
        <v>20</v>
      </c>
      <c r="K168" t="s">
        <v>579</v>
      </c>
      <c r="L168" t="s">
        <v>580</v>
      </c>
      <c r="M168" t="s">
        <v>112</v>
      </c>
      <c r="N168">
        <v>18</v>
      </c>
      <c r="O168">
        <v>98.9</v>
      </c>
    </row>
    <row r="169" spans="1:15">
      <c r="A169">
        <v>168</v>
      </c>
      <c r="B169" t="s">
        <v>581</v>
      </c>
      <c r="C169" t="s">
        <v>158</v>
      </c>
      <c r="D169" t="s">
        <v>137</v>
      </c>
      <c r="E169">
        <v>40.6</v>
      </c>
      <c r="F169" t="s">
        <v>18</v>
      </c>
      <c r="G169">
        <v>431</v>
      </c>
      <c r="H169" t="s">
        <v>27</v>
      </c>
      <c r="I169">
        <v>103632</v>
      </c>
      <c r="J169" t="s">
        <v>20</v>
      </c>
      <c r="K169" t="s">
        <v>582</v>
      </c>
      <c r="L169" t="s">
        <v>583</v>
      </c>
      <c r="M169" t="s">
        <v>69</v>
      </c>
      <c r="N169">
        <v>1</v>
      </c>
      <c r="O169">
        <v>121.5</v>
      </c>
    </row>
    <row r="170" spans="1:15">
      <c r="A170">
        <v>169</v>
      </c>
      <c r="B170" t="s">
        <v>584</v>
      </c>
      <c r="C170" t="s">
        <v>158</v>
      </c>
      <c r="D170" t="s">
        <v>40</v>
      </c>
      <c r="E170">
        <v>24.7</v>
      </c>
      <c r="F170" t="s">
        <v>62</v>
      </c>
      <c r="G170">
        <v>35</v>
      </c>
      <c r="H170" t="s">
        <v>27</v>
      </c>
      <c r="I170">
        <v>52137</v>
      </c>
      <c r="J170" t="s">
        <v>20</v>
      </c>
      <c r="K170" t="s">
        <v>585</v>
      </c>
      <c r="L170" t="s">
        <v>586</v>
      </c>
      <c r="M170" t="s">
        <v>86</v>
      </c>
      <c r="N170">
        <v>10</v>
      </c>
      <c r="O170">
        <v>74.3</v>
      </c>
    </row>
    <row r="171" spans="1:15">
      <c r="A171">
        <v>170</v>
      </c>
      <c r="B171" t="s">
        <v>587</v>
      </c>
      <c r="C171" t="s">
        <v>39</v>
      </c>
      <c r="D171" t="s">
        <v>137</v>
      </c>
      <c r="E171">
        <v>63.8</v>
      </c>
      <c r="F171" t="s">
        <v>56</v>
      </c>
      <c r="G171">
        <v>138</v>
      </c>
      <c r="H171" t="s">
        <v>19</v>
      </c>
      <c r="I171">
        <v>95963</v>
      </c>
      <c r="J171" t="s">
        <v>20</v>
      </c>
      <c r="K171" t="s">
        <v>588</v>
      </c>
      <c r="L171" t="s">
        <v>589</v>
      </c>
      <c r="N171">
        <v>14</v>
      </c>
      <c r="O171">
        <v>166.9</v>
      </c>
    </row>
    <row r="172" spans="1:15">
      <c r="A172">
        <v>171</v>
      </c>
      <c r="B172" t="s">
        <v>590</v>
      </c>
      <c r="C172" t="s">
        <v>123</v>
      </c>
      <c r="D172" t="s">
        <v>61</v>
      </c>
      <c r="E172">
        <v>0</v>
      </c>
      <c r="F172" t="s">
        <v>62</v>
      </c>
      <c r="G172">
        <v>451</v>
      </c>
      <c r="H172" t="s">
        <v>19</v>
      </c>
      <c r="I172">
        <v>98039</v>
      </c>
      <c r="J172" t="s">
        <v>20</v>
      </c>
      <c r="K172" t="s">
        <v>591</v>
      </c>
      <c r="L172" t="s">
        <v>592</v>
      </c>
      <c r="M172" t="s">
        <v>117</v>
      </c>
      <c r="N172">
        <v>12</v>
      </c>
      <c r="O172">
        <v>0</v>
      </c>
    </row>
    <row r="173" spans="1:15">
      <c r="A173">
        <v>172</v>
      </c>
      <c r="B173" t="s">
        <v>593</v>
      </c>
      <c r="C173" t="s">
        <v>50</v>
      </c>
      <c r="D173" t="s">
        <v>17</v>
      </c>
      <c r="E173">
        <v>5.0999999999999996</v>
      </c>
      <c r="F173" t="s">
        <v>41</v>
      </c>
      <c r="G173">
        <v>161</v>
      </c>
      <c r="H173" t="s">
        <v>27</v>
      </c>
      <c r="I173">
        <v>20373</v>
      </c>
      <c r="J173" t="s">
        <v>20</v>
      </c>
      <c r="K173" t="s">
        <v>594</v>
      </c>
      <c r="L173" t="s">
        <v>595</v>
      </c>
      <c r="M173" t="s">
        <v>117</v>
      </c>
      <c r="N173">
        <v>15</v>
      </c>
      <c r="O173">
        <v>10.4</v>
      </c>
    </row>
    <row r="174" spans="1:15">
      <c r="A174">
        <v>173</v>
      </c>
      <c r="B174" t="s">
        <v>596</v>
      </c>
      <c r="C174" t="s">
        <v>39</v>
      </c>
      <c r="D174" t="s">
        <v>33</v>
      </c>
      <c r="E174">
        <v>11</v>
      </c>
      <c r="F174" t="s">
        <v>56</v>
      </c>
      <c r="G174">
        <v>192</v>
      </c>
      <c r="H174" t="s">
        <v>19</v>
      </c>
      <c r="I174">
        <v>13010</v>
      </c>
      <c r="J174" t="s">
        <v>20</v>
      </c>
      <c r="K174" t="s">
        <v>597</v>
      </c>
      <c r="L174" t="s">
        <v>555</v>
      </c>
      <c r="M174" t="s">
        <v>121</v>
      </c>
      <c r="N174">
        <v>18</v>
      </c>
      <c r="O174">
        <v>29</v>
      </c>
    </row>
    <row r="175" spans="1:15">
      <c r="A175">
        <v>174</v>
      </c>
      <c r="B175" t="s">
        <v>598</v>
      </c>
      <c r="C175" t="s">
        <v>50</v>
      </c>
      <c r="D175" t="s">
        <v>61</v>
      </c>
      <c r="E175">
        <v>0</v>
      </c>
      <c r="F175" t="s">
        <v>41</v>
      </c>
      <c r="G175">
        <v>149</v>
      </c>
      <c r="H175" t="s">
        <v>19</v>
      </c>
      <c r="I175">
        <v>46391</v>
      </c>
      <c r="J175" t="s">
        <v>20</v>
      </c>
      <c r="K175" t="s">
        <v>599</v>
      </c>
      <c r="L175" t="s">
        <v>600</v>
      </c>
      <c r="M175" t="s">
        <v>441</v>
      </c>
      <c r="N175">
        <v>4</v>
      </c>
      <c r="O175">
        <v>0</v>
      </c>
    </row>
    <row r="176" spans="1:15">
      <c r="A176">
        <v>175</v>
      </c>
      <c r="B176" t="s">
        <v>601</v>
      </c>
      <c r="C176" t="s">
        <v>39</v>
      </c>
      <c r="D176" t="s">
        <v>40</v>
      </c>
      <c r="E176">
        <v>52.5</v>
      </c>
      <c r="F176" t="s">
        <v>62</v>
      </c>
      <c r="G176">
        <v>430</v>
      </c>
      <c r="H176" t="s">
        <v>19</v>
      </c>
      <c r="I176">
        <v>82731</v>
      </c>
      <c r="J176" t="s">
        <v>20</v>
      </c>
      <c r="K176" t="s">
        <v>602</v>
      </c>
      <c r="L176" t="s">
        <v>603</v>
      </c>
      <c r="M176" t="s">
        <v>121</v>
      </c>
      <c r="N176">
        <v>2</v>
      </c>
      <c r="O176">
        <v>136.9</v>
      </c>
    </row>
    <row r="177" spans="1:15">
      <c r="A177">
        <v>176</v>
      </c>
      <c r="B177" t="s">
        <v>604</v>
      </c>
      <c r="C177" t="s">
        <v>50</v>
      </c>
      <c r="D177" t="s">
        <v>61</v>
      </c>
      <c r="E177">
        <v>0</v>
      </c>
      <c r="F177" t="s">
        <v>62</v>
      </c>
      <c r="G177">
        <v>134</v>
      </c>
      <c r="H177" t="s">
        <v>27</v>
      </c>
      <c r="I177">
        <v>18672</v>
      </c>
      <c r="J177" t="s">
        <v>20</v>
      </c>
      <c r="K177" t="s">
        <v>605</v>
      </c>
      <c r="L177" t="s">
        <v>606</v>
      </c>
      <c r="M177" t="s">
        <v>112</v>
      </c>
      <c r="N177">
        <v>2</v>
      </c>
      <c r="O177">
        <v>0</v>
      </c>
    </row>
    <row r="178" spans="1:15">
      <c r="A178">
        <v>177</v>
      </c>
      <c r="B178" t="s">
        <v>607</v>
      </c>
      <c r="C178" t="s">
        <v>25</v>
      </c>
      <c r="D178" t="s">
        <v>33</v>
      </c>
      <c r="E178">
        <v>82.8</v>
      </c>
      <c r="F178" t="s">
        <v>18</v>
      </c>
      <c r="G178">
        <v>593</v>
      </c>
      <c r="H178" t="s">
        <v>27</v>
      </c>
      <c r="I178">
        <v>32730</v>
      </c>
      <c r="J178" t="s">
        <v>20</v>
      </c>
      <c r="K178" t="s">
        <v>608</v>
      </c>
      <c r="L178" t="s">
        <v>609</v>
      </c>
      <c r="M178" t="s">
        <v>117</v>
      </c>
      <c r="N178">
        <v>2</v>
      </c>
      <c r="O178">
        <v>258.10000000000002</v>
      </c>
    </row>
    <row r="179" spans="1:15">
      <c r="A179">
        <v>178</v>
      </c>
      <c r="B179" t="s">
        <v>610</v>
      </c>
      <c r="C179" t="s">
        <v>39</v>
      </c>
      <c r="D179" t="s">
        <v>61</v>
      </c>
      <c r="E179">
        <v>0</v>
      </c>
      <c r="F179" t="s">
        <v>56</v>
      </c>
      <c r="G179">
        <v>589</v>
      </c>
      <c r="H179" t="s">
        <v>27</v>
      </c>
      <c r="I179">
        <v>106486</v>
      </c>
      <c r="J179" t="s">
        <v>20</v>
      </c>
      <c r="K179" t="s">
        <v>611</v>
      </c>
      <c r="L179" t="s">
        <v>612</v>
      </c>
      <c r="M179" t="s">
        <v>121</v>
      </c>
      <c r="N179">
        <v>6</v>
      </c>
      <c r="O179">
        <v>0</v>
      </c>
    </row>
    <row r="180" spans="1:15">
      <c r="A180">
        <v>179</v>
      </c>
      <c r="B180" t="s">
        <v>613</v>
      </c>
      <c r="C180" t="s">
        <v>16</v>
      </c>
      <c r="D180" t="s">
        <v>61</v>
      </c>
      <c r="E180">
        <v>0</v>
      </c>
      <c r="F180" t="s">
        <v>56</v>
      </c>
      <c r="G180">
        <v>625</v>
      </c>
      <c r="H180" t="s">
        <v>19</v>
      </c>
      <c r="I180">
        <v>114028</v>
      </c>
      <c r="J180" t="s">
        <v>20</v>
      </c>
      <c r="K180" t="s">
        <v>614</v>
      </c>
      <c r="L180" t="s">
        <v>615</v>
      </c>
      <c r="M180" t="s">
        <v>69</v>
      </c>
      <c r="N180">
        <v>3</v>
      </c>
      <c r="O180">
        <v>0</v>
      </c>
    </row>
    <row r="181" spans="1:15">
      <c r="A181">
        <v>180</v>
      </c>
      <c r="B181" t="s">
        <v>616</v>
      </c>
      <c r="C181" t="s">
        <v>32</v>
      </c>
      <c r="D181" t="s">
        <v>114</v>
      </c>
      <c r="E181">
        <v>34.299999999999997</v>
      </c>
      <c r="F181" t="s">
        <v>18</v>
      </c>
      <c r="G181">
        <v>690</v>
      </c>
      <c r="H181" t="s">
        <v>19</v>
      </c>
      <c r="I181">
        <v>50545</v>
      </c>
      <c r="J181" t="s">
        <v>20</v>
      </c>
      <c r="K181" t="s">
        <v>617</v>
      </c>
      <c r="L181" t="s">
        <v>618</v>
      </c>
      <c r="M181" t="s">
        <v>48</v>
      </c>
      <c r="N181">
        <v>10</v>
      </c>
      <c r="O181">
        <v>104.8</v>
      </c>
    </row>
    <row r="182" spans="1:15">
      <c r="A182">
        <v>181</v>
      </c>
      <c r="B182" t="s">
        <v>619</v>
      </c>
      <c r="C182" t="s">
        <v>123</v>
      </c>
      <c r="D182" t="s">
        <v>40</v>
      </c>
      <c r="E182">
        <v>7.6</v>
      </c>
      <c r="F182" t="s">
        <v>41</v>
      </c>
      <c r="G182">
        <v>237</v>
      </c>
      <c r="H182" t="s">
        <v>27</v>
      </c>
      <c r="I182">
        <v>68594</v>
      </c>
      <c r="J182" t="s">
        <v>20</v>
      </c>
      <c r="K182" t="s">
        <v>620</v>
      </c>
      <c r="L182" t="s">
        <v>621</v>
      </c>
      <c r="M182" t="s">
        <v>121</v>
      </c>
      <c r="N182">
        <v>3</v>
      </c>
      <c r="O182">
        <v>26.2</v>
      </c>
    </row>
    <row r="183" spans="1:15">
      <c r="A183">
        <v>182</v>
      </c>
      <c r="B183" t="s">
        <v>622</v>
      </c>
      <c r="C183" t="s">
        <v>32</v>
      </c>
      <c r="D183" t="s">
        <v>33</v>
      </c>
      <c r="E183">
        <v>22.8</v>
      </c>
      <c r="F183" t="s">
        <v>18</v>
      </c>
      <c r="G183">
        <v>417</v>
      </c>
      <c r="H183" t="s">
        <v>19</v>
      </c>
      <c r="I183">
        <v>5505</v>
      </c>
      <c r="J183" t="s">
        <v>20</v>
      </c>
      <c r="K183" t="s">
        <v>623</v>
      </c>
      <c r="L183" t="s">
        <v>624</v>
      </c>
      <c r="N183">
        <v>17</v>
      </c>
      <c r="O183">
        <v>77.400000000000006</v>
      </c>
    </row>
    <row r="184" spans="1:15">
      <c r="A184">
        <v>183</v>
      </c>
      <c r="B184" t="s">
        <v>625</v>
      </c>
      <c r="C184" t="s">
        <v>158</v>
      </c>
      <c r="D184" t="s">
        <v>114</v>
      </c>
      <c r="E184">
        <v>53.9</v>
      </c>
      <c r="F184" t="s">
        <v>41</v>
      </c>
      <c r="G184">
        <v>683</v>
      </c>
      <c r="H184" t="s">
        <v>19</v>
      </c>
      <c r="I184">
        <v>119408</v>
      </c>
      <c r="J184" t="s">
        <v>20</v>
      </c>
      <c r="K184" t="s">
        <v>626</v>
      </c>
      <c r="L184" t="s">
        <v>627</v>
      </c>
      <c r="M184" t="s">
        <v>54</v>
      </c>
      <c r="N184">
        <v>16</v>
      </c>
      <c r="O184">
        <v>173.8</v>
      </c>
    </row>
    <row r="185" spans="1:15">
      <c r="A185">
        <v>184</v>
      </c>
      <c r="B185" t="s">
        <v>628</v>
      </c>
      <c r="C185" t="s">
        <v>123</v>
      </c>
      <c r="D185" t="s">
        <v>17</v>
      </c>
      <c r="E185">
        <v>14.6</v>
      </c>
      <c r="F185" t="s">
        <v>62</v>
      </c>
      <c r="G185">
        <v>506</v>
      </c>
      <c r="H185" t="s">
        <v>19</v>
      </c>
      <c r="I185">
        <v>52954</v>
      </c>
      <c r="J185" t="s">
        <v>20</v>
      </c>
      <c r="K185" t="s">
        <v>629</v>
      </c>
      <c r="L185" t="s">
        <v>630</v>
      </c>
      <c r="M185" t="s">
        <v>54</v>
      </c>
      <c r="N185">
        <v>2</v>
      </c>
      <c r="O185">
        <v>39.1</v>
      </c>
    </row>
    <row r="186" spans="1:15">
      <c r="A186">
        <v>185</v>
      </c>
      <c r="B186" t="s">
        <v>631</v>
      </c>
      <c r="C186" t="s">
        <v>25</v>
      </c>
      <c r="D186" t="s">
        <v>61</v>
      </c>
      <c r="E186">
        <v>0</v>
      </c>
      <c r="F186" t="s">
        <v>41</v>
      </c>
      <c r="G186">
        <v>38</v>
      </c>
      <c r="H186" t="s">
        <v>19</v>
      </c>
      <c r="I186">
        <v>42245</v>
      </c>
      <c r="J186" t="s">
        <v>20</v>
      </c>
      <c r="K186" t="s">
        <v>632</v>
      </c>
      <c r="L186" t="s">
        <v>633</v>
      </c>
      <c r="M186" t="s">
        <v>59</v>
      </c>
      <c r="N186">
        <v>5</v>
      </c>
      <c r="O186">
        <v>0</v>
      </c>
    </row>
    <row r="187" spans="1:15">
      <c r="A187">
        <v>186</v>
      </c>
      <c r="B187" t="s">
        <v>634</v>
      </c>
      <c r="C187" t="s">
        <v>158</v>
      </c>
      <c r="D187" t="s">
        <v>137</v>
      </c>
      <c r="E187">
        <v>25.2</v>
      </c>
      <c r="F187" t="s">
        <v>62</v>
      </c>
      <c r="G187">
        <v>219</v>
      </c>
      <c r="H187" t="s">
        <v>19</v>
      </c>
      <c r="I187">
        <v>107353</v>
      </c>
      <c r="J187" t="s">
        <v>20</v>
      </c>
      <c r="K187" t="s">
        <v>635</v>
      </c>
      <c r="L187" t="s">
        <v>636</v>
      </c>
      <c r="M187" t="s">
        <v>112</v>
      </c>
      <c r="N187">
        <v>5</v>
      </c>
      <c r="O187">
        <v>84</v>
      </c>
    </row>
    <row r="188" spans="1:15">
      <c r="A188">
        <v>187</v>
      </c>
      <c r="B188" t="s">
        <v>637</v>
      </c>
      <c r="C188" t="s">
        <v>32</v>
      </c>
      <c r="D188" t="s">
        <v>114</v>
      </c>
      <c r="E188">
        <v>80.5</v>
      </c>
      <c r="F188" t="s">
        <v>18</v>
      </c>
      <c r="G188">
        <v>657</v>
      </c>
      <c r="H188" t="s">
        <v>19</v>
      </c>
      <c r="I188">
        <v>34762</v>
      </c>
      <c r="J188" t="s">
        <v>20</v>
      </c>
      <c r="K188" t="s">
        <v>638</v>
      </c>
      <c r="L188" t="s">
        <v>639</v>
      </c>
      <c r="M188" t="s">
        <v>117</v>
      </c>
      <c r="N188">
        <v>20</v>
      </c>
      <c r="O188">
        <v>205.7</v>
      </c>
    </row>
    <row r="189" spans="1:15">
      <c r="A189">
        <v>188</v>
      </c>
      <c r="B189" t="s">
        <v>640</v>
      </c>
      <c r="C189" t="s">
        <v>133</v>
      </c>
      <c r="D189" t="s">
        <v>17</v>
      </c>
      <c r="E189">
        <v>54.2</v>
      </c>
      <c r="F189" t="s">
        <v>18</v>
      </c>
      <c r="G189">
        <v>698</v>
      </c>
      <c r="H189" t="s">
        <v>19</v>
      </c>
      <c r="I189">
        <v>34213</v>
      </c>
      <c r="J189" t="s">
        <v>20</v>
      </c>
      <c r="K189" t="s">
        <v>641</v>
      </c>
      <c r="L189" t="s">
        <v>642</v>
      </c>
      <c r="M189" t="s">
        <v>117</v>
      </c>
      <c r="N189">
        <v>20</v>
      </c>
      <c r="O189">
        <v>141.80000000000001</v>
      </c>
    </row>
    <row r="190" spans="1:15">
      <c r="A190">
        <v>189</v>
      </c>
      <c r="B190" t="s">
        <v>643</v>
      </c>
      <c r="C190" t="s">
        <v>158</v>
      </c>
      <c r="D190" t="s">
        <v>17</v>
      </c>
      <c r="E190">
        <v>19.7</v>
      </c>
      <c r="F190" t="s">
        <v>26</v>
      </c>
      <c r="G190">
        <v>320</v>
      </c>
      <c r="H190" t="s">
        <v>19</v>
      </c>
      <c r="I190">
        <v>8340</v>
      </c>
      <c r="J190" t="s">
        <v>20</v>
      </c>
      <c r="K190" t="s">
        <v>644</v>
      </c>
      <c r="L190" t="s">
        <v>645</v>
      </c>
      <c r="M190" t="s">
        <v>86</v>
      </c>
      <c r="N190">
        <v>2</v>
      </c>
      <c r="O190">
        <v>57</v>
      </c>
    </row>
    <row r="191" spans="1:15">
      <c r="A191">
        <v>190</v>
      </c>
      <c r="B191" t="s">
        <v>646</v>
      </c>
      <c r="C191" t="s">
        <v>158</v>
      </c>
      <c r="D191" t="s">
        <v>137</v>
      </c>
      <c r="E191">
        <v>62.4</v>
      </c>
      <c r="F191" t="s">
        <v>18</v>
      </c>
      <c r="G191">
        <v>316</v>
      </c>
      <c r="H191" t="s">
        <v>27</v>
      </c>
      <c r="I191">
        <v>32163</v>
      </c>
      <c r="J191" t="s">
        <v>20</v>
      </c>
      <c r="K191" t="s">
        <v>647</v>
      </c>
      <c r="L191" t="s">
        <v>648</v>
      </c>
      <c r="M191" t="s">
        <v>54</v>
      </c>
      <c r="N191">
        <v>16</v>
      </c>
      <c r="O191">
        <v>127.8</v>
      </c>
    </row>
    <row r="192" spans="1:15">
      <c r="A192">
        <v>191</v>
      </c>
      <c r="B192" t="s">
        <v>649</v>
      </c>
      <c r="C192" t="s">
        <v>25</v>
      </c>
      <c r="D192" t="s">
        <v>61</v>
      </c>
      <c r="E192">
        <v>0</v>
      </c>
      <c r="F192" t="s">
        <v>56</v>
      </c>
      <c r="G192">
        <v>288</v>
      </c>
      <c r="H192" t="s">
        <v>27</v>
      </c>
      <c r="I192">
        <v>2345</v>
      </c>
      <c r="J192" t="s">
        <v>20</v>
      </c>
      <c r="K192" t="s">
        <v>650</v>
      </c>
      <c r="L192" t="s">
        <v>558</v>
      </c>
      <c r="M192" t="s">
        <v>441</v>
      </c>
      <c r="N192">
        <v>1</v>
      </c>
      <c r="O192">
        <v>0</v>
      </c>
    </row>
    <row r="193" spans="1:15">
      <c r="A193">
        <v>192</v>
      </c>
      <c r="B193" t="s">
        <v>520</v>
      </c>
      <c r="C193" t="s">
        <v>50</v>
      </c>
      <c r="D193" t="s">
        <v>17</v>
      </c>
      <c r="E193">
        <v>69.5</v>
      </c>
      <c r="F193" t="s">
        <v>56</v>
      </c>
      <c r="G193">
        <v>571</v>
      </c>
      <c r="H193" t="s">
        <v>27</v>
      </c>
      <c r="I193">
        <v>40895</v>
      </c>
      <c r="J193" t="s">
        <v>20</v>
      </c>
      <c r="K193" t="s">
        <v>651</v>
      </c>
      <c r="L193" t="s">
        <v>652</v>
      </c>
      <c r="M193" t="s">
        <v>117</v>
      </c>
      <c r="N193">
        <v>11</v>
      </c>
      <c r="O193">
        <v>208.4</v>
      </c>
    </row>
    <row r="194" spans="1:15">
      <c r="A194">
        <v>193</v>
      </c>
      <c r="B194" t="s">
        <v>653</v>
      </c>
      <c r="C194" t="s">
        <v>123</v>
      </c>
      <c r="D194" t="s">
        <v>33</v>
      </c>
      <c r="E194">
        <v>58.6</v>
      </c>
      <c r="F194" t="s">
        <v>26</v>
      </c>
      <c r="G194">
        <v>400</v>
      </c>
      <c r="H194" t="s">
        <v>19</v>
      </c>
      <c r="I194">
        <v>8707</v>
      </c>
      <c r="J194" t="s">
        <v>20</v>
      </c>
      <c r="K194" t="s">
        <v>654</v>
      </c>
      <c r="L194" t="s">
        <v>655</v>
      </c>
      <c r="M194" t="s">
        <v>441</v>
      </c>
      <c r="N194">
        <v>1</v>
      </c>
      <c r="O194">
        <v>168.8</v>
      </c>
    </row>
    <row r="195" spans="1:15">
      <c r="A195">
        <v>194</v>
      </c>
      <c r="B195" t="s">
        <v>631</v>
      </c>
      <c r="C195" t="s">
        <v>25</v>
      </c>
      <c r="D195" t="s">
        <v>61</v>
      </c>
      <c r="E195">
        <v>0</v>
      </c>
      <c r="F195" t="s">
        <v>56</v>
      </c>
      <c r="G195">
        <v>200</v>
      </c>
      <c r="H195" t="s">
        <v>19</v>
      </c>
      <c r="I195">
        <v>28658</v>
      </c>
      <c r="J195" t="s">
        <v>20</v>
      </c>
      <c r="K195" t="s">
        <v>656</v>
      </c>
      <c r="L195" t="s">
        <v>657</v>
      </c>
      <c r="M195" t="s">
        <v>69</v>
      </c>
      <c r="N195">
        <v>7</v>
      </c>
      <c r="O195">
        <v>0</v>
      </c>
    </row>
    <row r="196" spans="1:15">
      <c r="A196">
        <v>195</v>
      </c>
      <c r="B196" t="s">
        <v>658</v>
      </c>
      <c r="C196" t="s">
        <v>39</v>
      </c>
      <c r="D196" t="s">
        <v>61</v>
      </c>
      <c r="E196">
        <v>0</v>
      </c>
      <c r="F196" t="s">
        <v>18</v>
      </c>
      <c r="G196">
        <v>294</v>
      </c>
      <c r="H196" t="s">
        <v>27</v>
      </c>
      <c r="I196">
        <v>71489</v>
      </c>
      <c r="J196" t="s">
        <v>20</v>
      </c>
      <c r="K196" t="s">
        <v>659</v>
      </c>
      <c r="L196" t="s">
        <v>564</v>
      </c>
      <c r="M196" t="s">
        <v>441</v>
      </c>
      <c r="N196">
        <v>8</v>
      </c>
      <c r="O196">
        <v>0</v>
      </c>
    </row>
    <row r="197" spans="1:15">
      <c r="A197">
        <v>196</v>
      </c>
      <c r="B197" t="s">
        <v>660</v>
      </c>
      <c r="C197" t="s">
        <v>16</v>
      </c>
      <c r="D197" t="s">
        <v>40</v>
      </c>
      <c r="E197">
        <v>68.2</v>
      </c>
      <c r="F197" t="s">
        <v>18</v>
      </c>
      <c r="G197">
        <v>365</v>
      </c>
      <c r="H197" t="s">
        <v>19</v>
      </c>
      <c r="I197">
        <v>29379</v>
      </c>
      <c r="J197" t="s">
        <v>20</v>
      </c>
      <c r="K197" t="s">
        <v>661</v>
      </c>
      <c r="L197" t="s">
        <v>558</v>
      </c>
      <c r="M197" t="s">
        <v>48</v>
      </c>
      <c r="N197">
        <v>9</v>
      </c>
      <c r="O197">
        <v>238.5</v>
      </c>
    </row>
    <row r="198" spans="1:15">
      <c r="A198">
        <v>197</v>
      </c>
      <c r="B198" t="s">
        <v>662</v>
      </c>
      <c r="C198" t="s">
        <v>50</v>
      </c>
      <c r="D198" t="s">
        <v>17</v>
      </c>
      <c r="E198">
        <v>82.7</v>
      </c>
      <c r="F198" t="s">
        <v>41</v>
      </c>
      <c r="G198">
        <v>441</v>
      </c>
      <c r="H198" t="s">
        <v>27</v>
      </c>
      <c r="I198">
        <v>52878</v>
      </c>
      <c r="J198" t="s">
        <v>20</v>
      </c>
      <c r="K198" t="s">
        <v>663</v>
      </c>
      <c r="L198" t="s">
        <v>664</v>
      </c>
      <c r="N198">
        <v>4</v>
      </c>
      <c r="O198">
        <v>190.1</v>
      </c>
    </row>
    <row r="199" spans="1:15">
      <c r="A199">
        <v>198</v>
      </c>
      <c r="B199" t="s">
        <v>665</v>
      </c>
      <c r="C199" t="s">
        <v>16</v>
      </c>
      <c r="D199" t="s">
        <v>17</v>
      </c>
      <c r="E199">
        <v>69.400000000000006</v>
      </c>
      <c r="F199" t="s">
        <v>26</v>
      </c>
      <c r="G199">
        <v>116</v>
      </c>
      <c r="H199" t="s">
        <v>19</v>
      </c>
      <c r="I199">
        <v>106845</v>
      </c>
      <c r="J199" t="s">
        <v>20</v>
      </c>
      <c r="K199" t="s">
        <v>666</v>
      </c>
      <c r="L199" t="s">
        <v>667</v>
      </c>
      <c r="M199" t="s">
        <v>121</v>
      </c>
      <c r="N199">
        <v>11</v>
      </c>
      <c r="O199">
        <v>207.5</v>
      </c>
    </row>
    <row r="200" spans="1:15">
      <c r="A200">
        <v>199</v>
      </c>
      <c r="B200" t="s">
        <v>668</v>
      </c>
      <c r="C200" t="s">
        <v>50</v>
      </c>
      <c r="D200" t="s">
        <v>114</v>
      </c>
      <c r="E200">
        <v>63.3</v>
      </c>
      <c r="F200" t="s">
        <v>41</v>
      </c>
      <c r="G200">
        <v>136</v>
      </c>
      <c r="H200" t="s">
        <v>19</v>
      </c>
      <c r="I200">
        <v>92967</v>
      </c>
      <c r="J200" t="s">
        <v>20</v>
      </c>
      <c r="K200" t="s">
        <v>669</v>
      </c>
      <c r="L200" t="s">
        <v>670</v>
      </c>
      <c r="M200" t="s">
        <v>69</v>
      </c>
      <c r="N200">
        <v>2</v>
      </c>
      <c r="O200">
        <v>163.80000000000001</v>
      </c>
    </row>
    <row r="201" spans="1:15">
      <c r="A201">
        <v>200</v>
      </c>
      <c r="B201" t="s">
        <v>671</v>
      </c>
      <c r="C201" t="s">
        <v>123</v>
      </c>
      <c r="D201" t="s">
        <v>114</v>
      </c>
      <c r="E201">
        <v>34.700000000000003</v>
      </c>
      <c r="F201" t="s">
        <v>62</v>
      </c>
      <c r="G201">
        <v>599</v>
      </c>
      <c r="H201" t="s">
        <v>27</v>
      </c>
      <c r="I201">
        <v>47048</v>
      </c>
      <c r="J201" t="s">
        <v>20</v>
      </c>
      <c r="K201" t="s">
        <v>654</v>
      </c>
      <c r="L201" t="s">
        <v>672</v>
      </c>
      <c r="M201" t="s">
        <v>121</v>
      </c>
      <c r="N201">
        <v>11</v>
      </c>
      <c r="O201">
        <v>90.5</v>
      </c>
    </row>
    <row r="202" spans="1:15">
      <c r="A202">
        <v>201</v>
      </c>
      <c r="B202" t="s">
        <v>673</v>
      </c>
      <c r="C202" t="s">
        <v>25</v>
      </c>
      <c r="D202" t="s">
        <v>17</v>
      </c>
      <c r="E202">
        <v>7.7</v>
      </c>
      <c r="F202" t="s">
        <v>62</v>
      </c>
      <c r="G202">
        <v>421</v>
      </c>
      <c r="H202" t="s">
        <v>27</v>
      </c>
      <c r="I202">
        <v>101121</v>
      </c>
      <c r="J202" t="s">
        <v>20</v>
      </c>
      <c r="K202" t="s">
        <v>674</v>
      </c>
      <c r="L202" t="s">
        <v>675</v>
      </c>
      <c r="M202" t="s">
        <v>54</v>
      </c>
      <c r="N202">
        <v>6</v>
      </c>
      <c r="O202">
        <v>24.1</v>
      </c>
    </row>
    <row r="203" spans="1:15">
      <c r="A203">
        <v>202</v>
      </c>
      <c r="B203" t="s">
        <v>676</v>
      </c>
      <c r="C203" t="s">
        <v>39</v>
      </c>
      <c r="D203" t="s">
        <v>40</v>
      </c>
      <c r="E203">
        <v>43.1</v>
      </c>
      <c r="F203" t="s">
        <v>56</v>
      </c>
      <c r="G203">
        <v>607</v>
      </c>
      <c r="H203" t="s">
        <v>19</v>
      </c>
      <c r="I203">
        <v>73544</v>
      </c>
      <c r="J203" t="s">
        <v>20</v>
      </c>
      <c r="K203" t="s">
        <v>677</v>
      </c>
      <c r="L203" t="s">
        <v>678</v>
      </c>
      <c r="M203" t="s">
        <v>441</v>
      </c>
      <c r="N203">
        <v>6</v>
      </c>
      <c r="O203">
        <v>117.3</v>
      </c>
    </row>
    <row r="204" spans="1:15">
      <c r="A204">
        <v>203</v>
      </c>
      <c r="B204" t="s">
        <v>679</v>
      </c>
      <c r="C204" t="s">
        <v>25</v>
      </c>
      <c r="D204" t="s">
        <v>17</v>
      </c>
      <c r="E204">
        <v>11.6</v>
      </c>
      <c r="F204" t="s">
        <v>26</v>
      </c>
      <c r="G204">
        <v>253</v>
      </c>
      <c r="H204" t="s">
        <v>19</v>
      </c>
      <c r="I204">
        <v>78036</v>
      </c>
      <c r="J204" t="s">
        <v>20</v>
      </c>
      <c r="K204" t="s">
        <v>680</v>
      </c>
      <c r="L204" t="s">
        <v>533</v>
      </c>
      <c r="M204" t="s">
        <v>59</v>
      </c>
      <c r="N204">
        <v>13</v>
      </c>
      <c r="O204">
        <v>26.8</v>
      </c>
    </row>
    <row r="205" spans="1:15">
      <c r="A205">
        <v>204</v>
      </c>
      <c r="B205" t="s">
        <v>681</v>
      </c>
      <c r="C205" t="s">
        <v>123</v>
      </c>
      <c r="D205" t="s">
        <v>40</v>
      </c>
      <c r="E205">
        <v>60.7</v>
      </c>
      <c r="F205" t="s">
        <v>62</v>
      </c>
      <c r="G205">
        <v>304</v>
      </c>
      <c r="H205" t="s">
        <v>19</v>
      </c>
      <c r="I205">
        <v>10736</v>
      </c>
      <c r="J205" t="s">
        <v>20</v>
      </c>
      <c r="K205" t="s">
        <v>682</v>
      </c>
      <c r="L205" t="s">
        <v>683</v>
      </c>
      <c r="M205" t="s">
        <v>441</v>
      </c>
      <c r="N205">
        <v>8</v>
      </c>
      <c r="O205">
        <v>139.69999999999999</v>
      </c>
    </row>
    <row r="206" spans="1:15">
      <c r="A206">
        <v>205</v>
      </c>
      <c r="B206" t="s">
        <v>684</v>
      </c>
      <c r="C206" t="s">
        <v>133</v>
      </c>
      <c r="D206" t="s">
        <v>137</v>
      </c>
      <c r="E206">
        <v>86.3</v>
      </c>
      <c r="F206" t="s">
        <v>18</v>
      </c>
      <c r="G206">
        <v>663</v>
      </c>
      <c r="H206" t="s">
        <v>27</v>
      </c>
      <c r="I206">
        <v>117198</v>
      </c>
      <c r="J206" t="s">
        <v>20</v>
      </c>
      <c r="K206" t="s">
        <v>685</v>
      </c>
      <c r="L206" t="s">
        <v>686</v>
      </c>
      <c r="N206">
        <v>8</v>
      </c>
      <c r="O206">
        <v>244.5</v>
      </c>
    </row>
    <row r="207" spans="1:15">
      <c r="A207">
        <v>206</v>
      </c>
      <c r="B207" t="s">
        <v>687</v>
      </c>
      <c r="C207" t="s">
        <v>50</v>
      </c>
      <c r="D207" t="s">
        <v>33</v>
      </c>
      <c r="E207">
        <v>58.3</v>
      </c>
      <c r="F207" t="s">
        <v>56</v>
      </c>
      <c r="G207">
        <v>113</v>
      </c>
      <c r="H207" t="s">
        <v>27</v>
      </c>
      <c r="I207">
        <v>47490</v>
      </c>
      <c r="J207" t="s">
        <v>20</v>
      </c>
      <c r="K207" t="s">
        <v>688</v>
      </c>
      <c r="L207" t="s">
        <v>689</v>
      </c>
      <c r="M207" t="s">
        <v>48</v>
      </c>
      <c r="N207">
        <v>2</v>
      </c>
      <c r="O207">
        <v>130.6</v>
      </c>
    </row>
    <row r="208" spans="1:15">
      <c r="A208">
        <v>207</v>
      </c>
      <c r="B208" t="s">
        <v>690</v>
      </c>
      <c r="C208" t="s">
        <v>133</v>
      </c>
      <c r="D208" t="s">
        <v>114</v>
      </c>
      <c r="E208">
        <v>23.8</v>
      </c>
      <c r="F208" t="s">
        <v>26</v>
      </c>
      <c r="G208">
        <v>526</v>
      </c>
      <c r="H208" t="s">
        <v>27</v>
      </c>
      <c r="I208">
        <v>21670</v>
      </c>
      <c r="J208" t="s">
        <v>20</v>
      </c>
      <c r="K208" t="s">
        <v>691</v>
      </c>
      <c r="L208" t="s">
        <v>692</v>
      </c>
      <c r="M208" t="s">
        <v>112</v>
      </c>
      <c r="N208">
        <v>13</v>
      </c>
      <c r="O208">
        <v>72</v>
      </c>
    </row>
    <row r="209" spans="1:15">
      <c r="A209">
        <v>208</v>
      </c>
      <c r="B209" t="s">
        <v>693</v>
      </c>
      <c r="C209" t="s">
        <v>25</v>
      </c>
      <c r="D209" t="s">
        <v>137</v>
      </c>
      <c r="E209">
        <v>17.5</v>
      </c>
      <c r="F209" t="s">
        <v>18</v>
      </c>
      <c r="G209">
        <v>697</v>
      </c>
      <c r="H209" t="s">
        <v>27</v>
      </c>
      <c r="I209">
        <v>20104</v>
      </c>
      <c r="J209" t="s">
        <v>20</v>
      </c>
      <c r="K209" t="s">
        <v>694</v>
      </c>
      <c r="L209" t="s">
        <v>695</v>
      </c>
      <c r="M209" t="s">
        <v>86</v>
      </c>
      <c r="N209">
        <v>13</v>
      </c>
      <c r="O209">
        <v>39.6</v>
      </c>
    </row>
    <row r="210" spans="1:15">
      <c r="A210">
        <v>209</v>
      </c>
      <c r="B210" t="s">
        <v>696</v>
      </c>
      <c r="C210" t="s">
        <v>123</v>
      </c>
      <c r="D210" t="s">
        <v>61</v>
      </c>
      <c r="E210">
        <v>0</v>
      </c>
      <c r="F210" t="s">
        <v>62</v>
      </c>
      <c r="G210">
        <v>329</v>
      </c>
      <c r="H210" t="s">
        <v>19</v>
      </c>
      <c r="I210">
        <v>28372</v>
      </c>
      <c r="J210" t="s">
        <v>20</v>
      </c>
      <c r="K210" t="s">
        <v>697</v>
      </c>
      <c r="L210" t="s">
        <v>698</v>
      </c>
      <c r="M210" t="s">
        <v>117</v>
      </c>
      <c r="N210">
        <v>6</v>
      </c>
      <c r="O210">
        <v>0</v>
      </c>
    </row>
    <row r="211" spans="1:15">
      <c r="A211">
        <v>210</v>
      </c>
      <c r="B211" t="s">
        <v>699</v>
      </c>
      <c r="C211" t="s">
        <v>123</v>
      </c>
      <c r="D211" t="s">
        <v>61</v>
      </c>
      <c r="E211">
        <v>0</v>
      </c>
      <c r="F211" t="s">
        <v>62</v>
      </c>
      <c r="G211">
        <v>199</v>
      </c>
      <c r="H211" t="s">
        <v>19</v>
      </c>
      <c r="I211">
        <v>111817</v>
      </c>
      <c r="J211" t="s">
        <v>20</v>
      </c>
      <c r="K211" t="s">
        <v>700</v>
      </c>
      <c r="L211" t="s">
        <v>701</v>
      </c>
      <c r="M211" t="s">
        <v>59</v>
      </c>
      <c r="N211">
        <v>10</v>
      </c>
      <c r="O211">
        <v>0</v>
      </c>
    </row>
    <row r="212" spans="1:15">
      <c r="A212">
        <v>211</v>
      </c>
      <c r="B212" t="s">
        <v>702</v>
      </c>
      <c r="C212" t="s">
        <v>133</v>
      </c>
      <c r="D212" t="s">
        <v>40</v>
      </c>
      <c r="E212">
        <v>17.7</v>
      </c>
      <c r="F212" t="s">
        <v>56</v>
      </c>
      <c r="G212">
        <v>454</v>
      </c>
      <c r="H212" t="s">
        <v>19</v>
      </c>
      <c r="I212">
        <v>70630</v>
      </c>
      <c r="J212" t="s">
        <v>20</v>
      </c>
      <c r="K212" t="s">
        <v>486</v>
      </c>
      <c r="L212" t="s">
        <v>703</v>
      </c>
      <c r="M212" t="s">
        <v>69</v>
      </c>
      <c r="N212">
        <v>9</v>
      </c>
      <c r="O212">
        <v>60.9</v>
      </c>
    </row>
    <row r="213" spans="1:15">
      <c r="A213">
        <v>212</v>
      </c>
      <c r="B213" t="s">
        <v>704</v>
      </c>
      <c r="C213" t="s">
        <v>25</v>
      </c>
      <c r="D213" t="s">
        <v>17</v>
      </c>
      <c r="E213">
        <v>76.400000000000006</v>
      </c>
      <c r="F213" t="s">
        <v>56</v>
      </c>
      <c r="G213">
        <v>606</v>
      </c>
      <c r="H213" t="s">
        <v>19</v>
      </c>
      <c r="I213">
        <v>11098</v>
      </c>
      <c r="J213" t="s">
        <v>20</v>
      </c>
      <c r="K213" t="s">
        <v>705</v>
      </c>
      <c r="L213" t="s">
        <v>706</v>
      </c>
      <c r="M213" t="s">
        <v>441</v>
      </c>
      <c r="N213">
        <v>15</v>
      </c>
      <c r="O213">
        <v>260.60000000000002</v>
      </c>
    </row>
    <row r="214" spans="1:15">
      <c r="A214">
        <v>213</v>
      </c>
      <c r="B214" t="s">
        <v>707</v>
      </c>
      <c r="C214" t="s">
        <v>123</v>
      </c>
      <c r="D214" t="s">
        <v>137</v>
      </c>
      <c r="E214">
        <v>40.9</v>
      </c>
      <c r="F214" t="s">
        <v>56</v>
      </c>
      <c r="G214">
        <v>674</v>
      </c>
      <c r="H214" t="s">
        <v>27</v>
      </c>
      <c r="I214">
        <v>33923</v>
      </c>
      <c r="J214" t="s">
        <v>20</v>
      </c>
      <c r="K214" t="s">
        <v>708</v>
      </c>
      <c r="L214" t="s">
        <v>709</v>
      </c>
      <c r="M214" t="s">
        <v>48</v>
      </c>
      <c r="N214">
        <v>13</v>
      </c>
      <c r="O214">
        <v>134</v>
      </c>
    </row>
    <row r="215" spans="1:15">
      <c r="A215">
        <v>214</v>
      </c>
      <c r="B215" t="s">
        <v>710</v>
      </c>
      <c r="C215" t="s">
        <v>158</v>
      </c>
      <c r="D215" t="s">
        <v>17</v>
      </c>
      <c r="E215">
        <v>23.4</v>
      </c>
      <c r="F215" t="s">
        <v>41</v>
      </c>
      <c r="G215">
        <v>68</v>
      </c>
      <c r="H215" t="s">
        <v>19</v>
      </c>
      <c r="I215">
        <v>34267</v>
      </c>
      <c r="J215" t="s">
        <v>20</v>
      </c>
      <c r="K215" t="s">
        <v>711</v>
      </c>
      <c r="L215" t="s">
        <v>712</v>
      </c>
      <c r="M215" t="s">
        <v>54</v>
      </c>
      <c r="N215">
        <v>8</v>
      </c>
      <c r="O215">
        <v>70.7</v>
      </c>
    </row>
    <row r="216" spans="1:15">
      <c r="A216">
        <v>215</v>
      </c>
      <c r="B216" t="s">
        <v>713</v>
      </c>
      <c r="C216" t="s">
        <v>123</v>
      </c>
      <c r="D216" t="s">
        <v>61</v>
      </c>
      <c r="E216">
        <v>0</v>
      </c>
      <c r="F216" t="s">
        <v>56</v>
      </c>
      <c r="G216">
        <v>499</v>
      </c>
      <c r="H216" t="s">
        <v>27</v>
      </c>
      <c r="I216">
        <v>100374</v>
      </c>
      <c r="J216" t="s">
        <v>20</v>
      </c>
      <c r="K216" t="s">
        <v>714</v>
      </c>
      <c r="L216" t="s">
        <v>703</v>
      </c>
      <c r="M216" t="s">
        <v>441</v>
      </c>
      <c r="N216">
        <v>9</v>
      </c>
      <c r="O216">
        <v>0</v>
      </c>
    </row>
    <row r="217" spans="1:15">
      <c r="A217">
        <v>216</v>
      </c>
      <c r="B217" t="s">
        <v>715</v>
      </c>
      <c r="C217" t="s">
        <v>39</v>
      </c>
      <c r="D217" t="s">
        <v>40</v>
      </c>
      <c r="E217">
        <v>44.3</v>
      </c>
      <c r="F217" t="s">
        <v>62</v>
      </c>
      <c r="G217">
        <v>596</v>
      </c>
      <c r="H217" t="s">
        <v>27</v>
      </c>
      <c r="I217">
        <v>75567</v>
      </c>
      <c r="J217" t="s">
        <v>20</v>
      </c>
      <c r="K217" t="s">
        <v>716</v>
      </c>
      <c r="L217" t="s">
        <v>717</v>
      </c>
      <c r="M217" t="s">
        <v>441</v>
      </c>
      <c r="N217">
        <v>8</v>
      </c>
      <c r="O217">
        <v>114.5</v>
      </c>
    </row>
    <row r="218" spans="1:15">
      <c r="A218">
        <v>217</v>
      </c>
      <c r="B218" t="s">
        <v>488</v>
      </c>
      <c r="C218" t="s">
        <v>16</v>
      </c>
      <c r="D218" t="s">
        <v>40</v>
      </c>
      <c r="E218">
        <v>5.3</v>
      </c>
      <c r="F218" t="s">
        <v>41</v>
      </c>
      <c r="G218">
        <v>649</v>
      </c>
      <c r="H218" t="s">
        <v>19</v>
      </c>
      <c r="I218">
        <v>5393</v>
      </c>
      <c r="J218" t="s">
        <v>20</v>
      </c>
      <c r="K218" t="s">
        <v>718</v>
      </c>
      <c r="L218" t="s">
        <v>719</v>
      </c>
      <c r="M218" t="s">
        <v>54</v>
      </c>
      <c r="N218">
        <v>17</v>
      </c>
      <c r="O218">
        <v>10.9</v>
      </c>
    </row>
    <row r="219" spans="1:15">
      <c r="A219">
        <v>218</v>
      </c>
      <c r="B219" t="s">
        <v>720</v>
      </c>
      <c r="C219" t="s">
        <v>39</v>
      </c>
      <c r="D219" t="s">
        <v>61</v>
      </c>
      <c r="E219">
        <v>0</v>
      </c>
      <c r="F219" t="s">
        <v>18</v>
      </c>
      <c r="G219">
        <v>493</v>
      </c>
      <c r="H219" t="s">
        <v>27</v>
      </c>
      <c r="I219">
        <v>92176</v>
      </c>
      <c r="J219" t="s">
        <v>20</v>
      </c>
      <c r="K219" t="s">
        <v>721</v>
      </c>
      <c r="L219" t="s">
        <v>678</v>
      </c>
      <c r="M219" t="s">
        <v>112</v>
      </c>
      <c r="N219">
        <v>19</v>
      </c>
      <c r="O219">
        <v>0</v>
      </c>
    </row>
    <row r="220" spans="1:15">
      <c r="A220">
        <v>219</v>
      </c>
      <c r="B220" t="s">
        <v>210</v>
      </c>
      <c r="C220" t="s">
        <v>32</v>
      </c>
      <c r="D220" t="s">
        <v>40</v>
      </c>
      <c r="E220">
        <v>73.8</v>
      </c>
      <c r="F220" t="s">
        <v>41</v>
      </c>
      <c r="G220">
        <v>694</v>
      </c>
      <c r="H220" t="s">
        <v>27</v>
      </c>
      <c r="I220">
        <v>7500</v>
      </c>
      <c r="J220" t="s">
        <v>20</v>
      </c>
      <c r="K220" t="s">
        <v>722</v>
      </c>
      <c r="L220" t="s">
        <v>723</v>
      </c>
      <c r="M220" t="s">
        <v>441</v>
      </c>
      <c r="N220">
        <v>9</v>
      </c>
      <c r="O220">
        <v>217.6</v>
      </c>
    </row>
    <row r="221" spans="1:15">
      <c r="A221">
        <v>220</v>
      </c>
      <c r="B221" t="s">
        <v>724</v>
      </c>
      <c r="C221" t="s">
        <v>133</v>
      </c>
      <c r="D221" t="s">
        <v>137</v>
      </c>
      <c r="E221">
        <v>15.9</v>
      </c>
      <c r="F221" t="s">
        <v>62</v>
      </c>
      <c r="G221">
        <v>60</v>
      </c>
      <c r="H221" t="s">
        <v>27</v>
      </c>
      <c r="I221">
        <v>64611</v>
      </c>
      <c r="J221" t="s">
        <v>20</v>
      </c>
      <c r="K221" t="s">
        <v>725</v>
      </c>
      <c r="L221" t="s">
        <v>726</v>
      </c>
      <c r="M221" t="s">
        <v>59</v>
      </c>
      <c r="N221">
        <v>13</v>
      </c>
      <c r="O221">
        <v>35.700000000000003</v>
      </c>
    </row>
    <row r="222" spans="1:15">
      <c r="A222">
        <v>221</v>
      </c>
      <c r="B222" t="s">
        <v>727</v>
      </c>
      <c r="C222" t="s">
        <v>50</v>
      </c>
      <c r="D222" t="s">
        <v>40</v>
      </c>
      <c r="E222">
        <v>47.2</v>
      </c>
      <c r="F222" t="s">
        <v>26</v>
      </c>
      <c r="G222">
        <v>135</v>
      </c>
      <c r="H222" t="s">
        <v>19</v>
      </c>
      <c r="I222">
        <v>66815</v>
      </c>
      <c r="J222" t="s">
        <v>20</v>
      </c>
      <c r="K222" t="s">
        <v>728</v>
      </c>
      <c r="L222" t="s">
        <v>686</v>
      </c>
      <c r="M222" t="s">
        <v>441</v>
      </c>
      <c r="N222">
        <v>6</v>
      </c>
      <c r="O222">
        <v>163.9</v>
      </c>
    </row>
    <row r="223" spans="1:15">
      <c r="A223">
        <v>222</v>
      </c>
      <c r="B223" t="s">
        <v>168</v>
      </c>
      <c r="C223" t="s">
        <v>16</v>
      </c>
      <c r="D223" t="s">
        <v>17</v>
      </c>
      <c r="E223">
        <v>65.5</v>
      </c>
      <c r="F223" t="s">
        <v>26</v>
      </c>
      <c r="G223">
        <v>404</v>
      </c>
      <c r="H223" t="s">
        <v>27</v>
      </c>
      <c r="I223">
        <v>109623</v>
      </c>
      <c r="J223" t="s">
        <v>20</v>
      </c>
      <c r="K223" t="s">
        <v>729</v>
      </c>
      <c r="L223" t="s">
        <v>730</v>
      </c>
      <c r="M223" t="s">
        <v>441</v>
      </c>
      <c r="N223">
        <v>18</v>
      </c>
      <c r="O223">
        <v>172.6</v>
      </c>
    </row>
    <row r="224" spans="1:15">
      <c r="A224">
        <v>223</v>
      </c>
      <c r="B224" t="s">
        <v>731</v>
      </c>
      <c r="C224" t="s">
        <v>16</v>
      </c>
      <c r="D224" t="s">
        <v>40</v>
      </c>
      <c r="E224">
        <v>28.6</v>
      </c>
      <c r="F224" t="s">
        <v>62</v>
      </c>
      <c r="G224">
        <v>101</v>
      </c>
      <c r="H224" t="s">
        <v>19</v>
      </c>
      <c r="I224">
        <v>52950</v>
      </c>
      <c r="J224" t="s">
        <v>20</v>
      </c>
      <c r="K224" t="s">
        <v>732</v>
      </c>
      <c r="L224" t="s">
        <v>733</v>
      </c>
      <c r="M224" t="s">
        <v>117</v>
      </c>
      <c r="N224">
        <v>13</v>
      </c>
      <c r="O224">
        <v>98</v>
      </c>
    </row>
    <row r="225" spans="1:15">
      <c r="A225">
        <v>224</v>
      </c>
      <c r="B225" t="s">
        <v>734</v>
      </c>
      <c r="C225" t="s">
        <v>32</v>
      </c>
      <c r="D225" t="s">
        <v>33</v>
      </c>
      <c r="E225">
        <v>48.8</v>
      </c>
      <c r="F225" t="s">
        <v>18</v>
      </c>
      <c r="G225">
        <v>537</v>
      </c>
      <c r="H225" t="s">
        <v>27</v>
      </c>
      <c r="I225">
        <v>58133</v>
      </c>
      <c r="J225" t="s">
        <v>20</v>
      </c>
      <c r="K225" t="s">
        <v>735</v>
      </c>
      <c r="L225" t="s">
        <v>736</v>
      </c>
      <c r="M225" t="s">
        <v>112</v>
      </c>
      <c r="N225">
        <v>4</v>
      </c>
      <c r="O225">
        <v>101.2</v>
      </c>
    </row>
    <row r="226" spans="1:15">
      <c r="A226">
        <v>225</v>
      </c>
      <c r="B226" t="s">
        <v>737</v>
      </c>
      <c r="C226" t="s">
        <v>39</v>
      </c>
      <c r="D226" t="s">
        <v>137</v>
      </c>
      <c r="E226">
        <v>68.5</v>
      </c>
      <c r="F226" t="s">
        <v>26</v>
      </c>
      <c r="G226">
        <v>507</v>
      </c>
      <c r="H226" t="s">
        <v>27</v>
      </c>
      <c r="I226">
        <v>35548</v>
      </c>
      <c r="J226" t="s">
        <v>20</v>
      </c>
      <c r="K226" t="s">
        <v>656</v>
      </c>
      <c r="L226" t="s">
        <v>738</v>
      </c>
      <c r="M226" t="s">
        <v>48</v>
      </c>
      <c r="N226">
        <v>11</v>
      </c>
      <c r="O226">
        <v>237.3</v>
      </c>
    </row>
    <row r="227" spans="1:15">
      <c r="A227">
        <v>226</v>
      </c>
      <c r="B227" t="s">
        <v>739</v>
      </c>
      <c r="C227" t="s">
        <v>32</v>
      </c>
      <c r="D227" t="s">
        <v>61</v>
      </c>
      <c r="E227">
        <v>0</v>
      </c>
      <c r="F227" t="s">
        <v>18</v>
      </c>
      <c r="G227">
        <v>90</v>
      </c>
      <c r="H227" t="s">
        <v>27</v>
      </c>
      <c r="I227">
        <v>116113</v>
      </c>
      <c r="J227" t="s">
        <v>20</v>
      </c>
      <c r="K227" t="s">
        <v>740</v>
      </c>
      <c r="L227" t="s">
        <v>741</v>
      </c>
      <c r="M227" t="s">
        <v>121</v>
      </c>
      <c r="N227">
        <v>19</v>
      </c>
      <c r="O227">
        <v>0</v>
      </c>
    </row>
    <row r="228" spans="1:15">
      <c r="A228">
        <v>227</v>
      </c>
      <c r="B228" t="s">
        <v>742</v>
      </c>
      <c r="C228" t="s">
        <v>16</v>
      </c>
      <c r="D228" t="s">
        <v>40</v>
      </c>
      <c r="E228">
        <v>26.2</v>
      </c>
      <c r="F228" t="s">
        <v>56</v>
      </c>
      <c r="G228">
        <v>690</v>
      </c>
      <c r="H228" t="s">
        <v>27</v>
      </c>
      <c r="I228">
        <v>16463</v>
      </c>
      <c r="J228" t="s">
        <v>20</v>
      </c>
      <c r="K228" t="s">
        <v>743</v>
      </c>
      <c r="L228" t="s">
        <v>744</v>
      </c>
      <c r="M228" t="s">
        <v>117</v>
      </c>
      <c r="N228">
        <v>18</v>
      </c>
      <c r="O228">
        <v>88.7</v>
      </c>
    </row>
    <row r="229" spans="1:15">
      <c r="A229">
        <v>228</v>
      </c>
      <c r="B229" t="s">
        <v>745</v>
      </c>
      <c r="C229" t="s">
        <v>133</v>
      </c>
      <c r="D229" t="s">
        <v>61</v>
      </c>
      <c r="E229">
        <v>0</v>
      </c>
      <c r="F229" t="s">
        <v>56</v>
      </c>
      <c r="G229">
        <v>605</v>
      </c>
      <c r="H229" t="s">
        <v>19</v>
      </c>
      <c r="I229">
        <v>6088</v>
      </c>
      <c r="J229" t="s">
        <v>20</v>
      </c>
      <c r="K229" t="s">
        <v>746</v>
      </c>
      <c r="L229" t="s">
        <v>747</v>
      </c>
      <c r="M229" t="s">
        <v>86</v>
      </c>
      <c r="N229">
        <v>9</v>
      </c>
      <c r="O229">
        <v>0</v>
      </c>
    </row>
    <row r="230" spans="1:15">
      <c r="A230">
        <v>229</v>
      </c>
      <c r="B230" t="s">
        <v>748</v>
      </c>
      <c r="C230" t="s">
        <v>16</v>
      </c>
      <c r="D230" t="s">
        <v>40</v>
      </c>
      <c r="E230">
        <v>63.2</v>
      </c>
      <c r="F230" t="s">
        <v>62</v>
      </c>
      <c r="G230">
        <v>50</v>
      </c>
      <c r="H230" t="s">
        <v>27</v>
      </c>
      <c r="I230">
        <v>70339</v>
      </c>
      <c r="J230" t="s">
        <v>20</v>
      </c>
      <c r="K230" t="s">
        <v>749</v>
      </c>
      <c r="L230" t="s">
        <v>530</v>
      </c>
      <c r="M230" t="s">
        <v>86</v>
      </c>
      <c r="N230">
        <v>9</v>
      </c>
      <c r="O230">
        <v>128.80000000000001</v>
      </c>
    </row>
    <row r="231" spans="1:15">
      <c r="A231">
        <v>230</v>
      </c>
      <c r="B231" t="s">
        <v>750</v>
      </c>
      <c r="C231" t="s">
        <v>25</v>
      </c>
      <c r="D231" t="s">
        <v>17</v>
      </c>
      <c r="E231">
        <v>78.099999999999994</v>
      </c>
      <c r="F231" t="s">
        <v>26</v>
      </c>
      <c r="G231">
        <v>293</v>
      </c>
      <c r="H231" t="s">
        <v>19</v>
      </c>
      <c r="I231">
        <v>35978</v>
      </c>
      <c r="J231" t="s">
        <v>20</v>
      </c>
      <c r="K231" t="s">
        <v>751</v>
      </c>
      <c r="L231" t="s">
        <v>752</v>
      </c>
      <c r="M231" t="s">
        <v>59</v>
      </c>
      <c r="N231">
        <v>19</v>
      </c>
      <c r="O231">
        <v>181.8</v>
      </c>
    </row>
    <row r="232" spans="1:15">
      <c r="A232">
        <v>231</v>
      </c>
      <c r="B232" t="s">
        <v>299</v>
      </c>
      <c r="C232" t="s">
        <v>39</v>
      </c>
      <c r="D232" t="s">
        <v>137</v>
      </c>
      <c r="E232">
        <v>31.7</v>
      </c>
      <c r="F232" t="s">
        <v>18</v>
      </c>
      <c r="G232">
        <v>408</v>
      </c>
      <c r="H232" t="s">
        <v>27</v>
      </c>
      <c r="I232">
        <v>97991</v>
      </c>
      <c r="J232" t="s">
        <v>20</v>
      </c>
      <c r="K232" t="s">
        <v>753</v>
      </c>
      <c r="L232" t="s">
        <v>754</v>
      </c>
      <c r="M232" t="s">
        <v>54</v>
      </c>
      <c r="N232">
        <v>17</v>
      </c>
      <c r="O232">
        <v>98.7</v>
      </c>
    </row>
    <row r="233" spans="1:15">
      <c r="A233">
        <v>232</v>
      </c>
      <c r="B233" t="s">
        <v>755</v>
      </c>
      <c r="C233" t="s">
        <v>158</v>
      </c>
      <c r="D233" t="s">
        <v>137</v>
      </c>
      <c r="E233">
        <v>83.7</v>
      </c>
      <c r="F233" t="s">
        <v>62</v>
      </c>
      <c r="G233">
        <v>411</v>
      </c>
      <c r="H233" t="s">
        <v>27</v>
      </c>
      <c r="I233">
        <v>62556</v>
      </c>
      <c r="J233" t="s">
        <v>20</v>
      </c>
      <c r="K233" t="s">
        <v>756</v>
      </c>
      <c r="L233" t="s">
        <v>757</v>
      </c>
      <c r="M233" t="s">
        <v>59</v>
      </c>
      <c r="N233">
        <v>19</v>
      </c>
      <c r="O233">
        <v>244.7</v>
      </c>
    </row>
    <row r="234" spans="1:15">
      <c r="A234">
        <v>233</v>
      </c>
      <c r="B234" t="s">
        <v>758</v>
      </c>
      <c r="C234" t="s">
        <v>133</v>
      </c>
      <c r="D234" t="s">
        <v>137</v>
      </c>
      <c r="E234">
        <v>44.6</v>
      </c>
      <c r="F234" t="s">
        <v>18</v>
      </c>
      <c r="G234">
        <v>135</v>
      </c>
      <c r="H234" t="s">
        <v>19</v>
      </c>
      <c r="I234">
        <v>50585</v>
      </c>
      <c r="J234" t="s">
        <v>20</v>
      </c>
      <c r="K234" t="s">
        <v>759</v>
      </c>
      <c r="L234" t="s">
        <v>390</v>
      </c>
      <c r="M234" t="s">
        <v>69</v>
      </c>
      <c r="N234">
        <v>18</v>
      </c>
      <c r="O234">
        <v>135</v>
      </c>
    </row>
    <row r="235" spans="1:15">
      <c r="A235">
        <v>234</v>
      </c>
      <c r="B235" t="s">
        <v>760</v>
      </c>
      <c r="C235" t="s">
        <v>50</v>
      </c>
      <c r="D235" t="s">
        <v>40</v>
      </c>
      <c r="E235">
        <v>96.6</v>
      </c>
      <c r="F235" t="s">
        <v>56</v>
      </c>
      <c r="G235">
        <v>548</v>
      </c>
      <c r="H235" t="s">
        <v>19</v>
      </c>
      <c r="I235">
        <v>55515</v>
      </c>
      <c r="J235" t="s">
        <v>20</v>
      </c>
      <c r="K235" t="s">
        <v>761</v>
      </c>
      <c r="L235" t="s">
        <v>103</v>
      </c>
      <c r="M235" t="s">
        <v>112</v>
      </c>
      <c r="N235">
        <v>10</v>
      </c>
      <c r="O235">
        <v>294.60000000000002</v>
      </c>
    </row>
    <row r="236" spans="1:15">
      <c r="A236">
        <v>235</v>
      </c>
      <c r="B236" t="s">
        <v>762</v>
      </c>
      <c r="C236" t="s">
        <v>50</v>
      </c>
      <c r="D236" t="s">
        <v>33</v>
      </c>
      <c r="E236">
        <v>6</v>
      </c>
      <c r="F236" t="s">
        <v>62</v>
      </c>
      <c r="G236">
        <v>539</v>
      </c>
      <c r="H236" t="s">
        <v>27</v>
      </c>
      <c r="I236">
        <v>98591</v>
      </c>
      <c r="J236" t="s">
        <v>20</v>
      </c>
      <c r="K236" t="s">
        <v>763</v>
      </c>
      <c r="L236" t="s">
        <v>764</v>
      </c>
      <c r="M236" t="s">
        <v>112</v>
      </c>
      <c r="N236">
        <v>6</v>
      </c>
      <c r="O236">
        <v>20.6</v>
      </c>
    </row>
    <row r="237" spans="1:15">
      <c r="A237">
        <v>236</v>
      </c>
      <c r="B237" t="s">
        <v>765</v>
      </c>
      <c r="C237" t="s">
        <v>25</v>
      </c>
      <c r="D237" t="s">
        <v>40</v>
      </c>
      <c r="E237">
        <v>53.2</v>
      </c>
      <c r="F237" t="s">
        <v>26</v>
      </c>
      <c r="G237">
        <v>461</v>
      </c>
      <c r="H237" t="s">
        <v>27</v>
      </c>
      <c r="I237">
        <v>56583</v>
      </c>
      <c r="J237" t="s">
        <v>20</v>
      </c>
      <c r="K237" t="s">
        <v>766</v>
      </c>
      <c r="L237" t="s">
        <v>767</v>
      </c>
      <c r="M237" t="s">
        <v>112</v>
      </c>
      <c r="N237">
        <v>4</v>
      </c>
      <c r="O237">
        <v>156.80000000000001</v>
      </c>
    </row>
    <row r="238" spans="1:15">
      <c r="A238">
        <v>237</v>
      </c>
      <c r="B238" t="s">
        <v>768</v>
      </c>
      <c r="C238" t="s">
        <v>39</v>
      </c>
      <c r="D238" t="s">
        <v>40</v>
      </c>
      <c r="E238">
        <v>3.8</v>
      </c>
      <c r="F238" t="s">
        <v>26</v>
      </c>
      <c r="G238">
        <v>560</v>
      </c>
      <c r="H238" t="s">
        <v>27</v>
      </c>
      <c r="I238">
        <v>61691</v>
      </c>
      <c r="J238" t="s">
        <v>20</v>
      </c>
      <c r="K238" t="s">
        <v>769</v>
      </c>
      <c r="L238" t="s">
        <v>770</v>
      </c>
      <c r="N238">
        <v>20</v>
      </c>
      <c r="O238">
        <v>10.199999999999999</v>
      </c>
    </row>
    <row r="239" spans="1:15">
      <c r="A239">
        <v>238</v>
      </c>
      <c r="B239" t="s">
        <v>771</v>
      </c>
      <c r="C239" t="s">
        <v>32</v>
      </c>
      <c r="D239" t="s">
        <v>114</v>
      </c>
      <c r="E239">
        <v>45.9</v>
      </c>
      <c r="F239" t="s">
        <v>18</v>
      </c>
      <c r="G239">
        <v>690</v>
      </c>
      <c r="H239" t="s">
        <v>19</v>
      </c>
      <c r="I239">
        <v>100072</v>
      </c>
      <c r="J239" t="s">
        <v>20</v>
      </c>
      <c r="K239" t="s">
        <v>772</v>
      </c>
      <c r="L239" t="s">
        <v>773</v>
      </c>
      <c r="M239" t="s">
        <v>441</v>
      </c>
      <c r="N239">
        <v>4</v>
      </c>
      <c r="O239">
        <v>103.9</v>
      </c>
    </row>
    <row r="240" spans="1:15">
      <c r="A240">
        <v>239</v>
      </c>
      <c r="B240" t="s">
        <v>774</v>
      </c>
      <c r="C240" t="s">
        <v>158</v>
      </c>
      <c r="D240" t="s">
        <v>61</v>
      </c>
      <c r="E240">
        <v>0</v>
      </c>
      <c r="F240" t="s">
        <v>62</v>
      </c>
      <c r="G240">
        <v>56</v>
      </c>
      <c r="H240" t="s">
        <v>19</v>
      </c>
      <c r="I240">
        <v>52066</v>
      </c>
      <c r="J240" t="s">
        <v>20</v>
      </c>
      <c r="K240" t="s">
        <v>602</v>
      </c>
      <c r="L240" t="s">
        <v>775</v>
      </c>
      <c r="N240">
        <v>8</v>
      </c>
      <c r="O240">
        <v>0</v>
      </c>
    </row>
    <row r="241" spans="1:15">
      <c r="A241">
        <v>240</v>
      </c>
      <c r="B241" t="s">
        <v>776</v>
      </c>
      <c r="C241" t="s">
        <v>158</v>
      </c>
      <c r="D241" t="s">
        <v>17</v>
      </c>
      <c r="E241">
        <v>5.8</v>
      </c>
      <c r="F241" t="s">
        <v>56</v>
      </c>
      <c r="G241">
        <v>482</v>
      </c>
      <c r="H241" t="s">
        <v>19</v>
      </c>
      <c r="I241">
        <v>63585</v>
      </c>
      <c r="J241" t="s">
        <v>20</v>
      </c>
      <c r="K241" t="s">
        <v>777</v>
      </c>
      <c r="L241" t="s">
        <v>428</v>
      </c>
      <c r="M241" t="s">
        <v>59</v>
      </c>
      <c r="N241">
        <v>9</v>
      </c>
      <c r="O241">
        <v>20</v>
      </c>
    </row>
    <row r="242" spans="1:15">
      <c r="A242">
        <v>241</v>
      </c>
      <c r="B242" t="s">
        <v>778</v>
      </c>
      <c r="C242" t="s">
        <v>25</v>
      </c>
      <c r="D242" t="s">
        <v>137</v>
      </c>
      <c r="E242">
        <v>30.6</v>
      </c>
      <c r="F242" t="s">
        <v>18</v>
      </c>
      <c r="G242">
        <v>406</v>
      </c>
      <c r="H242" t="s">
        <v>27</v>
      </c>
      <c r="I242">
        <v>15878</v>
      </c>
      <c r="J242" t="s">
        <v>20</v>
      </c>
      <c r="K242" t="s">
        <v>779</v>
      </c>
      <c r="L242" t="s">
        <v>780</v>
      </c>
      <c r="M242" t="s">
        <v>117</v>
      </c>
      <c r="N242">
        <v>8</v>
      </c>
      <c r="O242">
        <v>86.6</v>
      </c>
    </row>
    <row r="243" spans="1:15">
      <c r="A243">
        <v>242</v>
      </c>
      <c r="B243" t="s">
        <v>781</v>
      </c>
      <c r="C243" t="s">
        <v>133</v>
      </c>
      <c r="D243" t="s">
        <v>17</v>
      </c>
      <c r="E243">
        <v>40.1</v>
      </c>
      <c r="F243" t="s">
        <v>62</v>
      </c>
      <c r="G243">
        <v>43</v>
      </c>
      <c r="H243" t="s">
        <v>27</v>
      </c>
      <c r="I243">
        <v>60301</v>
      </c>
      <c r="J243" t="s">
        <v>20</v>
      </c>
      <c r="K243" t="s">
        <v>782</v>
      </c>
      <c r="L243" t="s">
        <v>783</v>
      </c>
      <c r="M243" t="s">
        <v>54</v>
      </c>
      <c r="N243">
        <v>18</v>
      </c>
      <c r="O243">
        <v>113.4</v>
      </c>
    </row>
    <row r="244" spans="1:15">
      <c r="A244">
        <v>243</v>
      </c>
      <c r="B244" t="s">
        <v>784</v>
      </c>
      <c r="C244" t="s">
        <v>123</v>
      </c>
      <c r="D244" t="s">
        <v>17</v>
      </c>
      <c r="E244">
        <v>79.8</v>
      </c>
      <c r="F244" t="s">
        <v>56</v>
      </c>
      <c r="G244">
        <v>86</v>
      </c>
      <c r="H244" t="s">
        <v>27</v>
      </c>
      <c r="I244">
        <v>98283</v>
      </c>
      <c r="J244" t="s">
        <v>20</v>
      </c>
      <c r="K244" t="s">
        <v>785</v>
      </c>
      <c r="L244" t="s">
        <v>786</v>
      </c>
      <c r="M244" t="s">
        <v>112</v>
      </c>
      <c r="N244">
        <v>20</v>
      </c>
      <c r="O244">
        <v>209.1</v>
      </c>
    </row>
    <row r="245" spans="1:15">
      <c r="A245">
        <v>244</v>
      </c>
      <c r="B245" t="s">
        <v>731</v>
      </c>
      <c r="C245" t="s">
        <v>50</v>
      </c>
      <c r="D245" t="s">
        <v>114</v>
      </c>
      <c r="E245">
        <v>16</v>
      </c>
      <c r="F245" t="s">
        <v>26</v>
      </c>
      <c r="G245">
        <v>545</v>
      </c>
      <c r="H245" t="s">
        <v>27</v>
      </c>
      <c r="I245">
        <v>74402</v>
      </c>
      <c r="J245" t="s">
        <v>20</v>
      </c>
      <c r="K245" t="s">
        <v>787</v>
      </c>
      <c r="L245" t="s">
        <v>788</v>
      </c>
      <c r="M245" t="s">
        <v>54</v>
      </c>
      <c r="N245">
        <v>13</v>
      </c>
      <c r="O245">
        <v>44.2</v>
      </c>
    </row>
    <row r="246" spans="1:15">
      <c r="A246">
        <v>245</v>
      </c>
      <c r="B246" t="s">
        <v>789</v>
      </c>
      <c r="C246" t="s">
        <v>39</v>
      </c>
      <c r="D246" t="s">
        <v>137</v>
      </c>
      <c r="E246">
        <v>5.4</v>
      </c>
      <c r="F246" t="s">
        <v>26</v>
      </c>
      <c r="G246">
        <v>497</v>
      </c>
      <c r="H246" t="s">
        <v>27</v>
      </c>
      <c r="I246">
        <v>118026</v>
      </c>
      <c r="J246" t="s">
        <v>20</v>
      </c>
      <c r="K246" t="s">
        <v>790</v>
      </c>
      <c r="L246" t="s">
        <v>791</v>
      </c>
      <c r="M246" t="s">
        <v>59</v>
      </c>
      <c r="N246">
        <v>6</v>
      </c>
      <c r="O246">
        <v>16.899999999999999</v>
      </c>
    </row>
    <row r="247" spans="1:15">
      <c r="A247">
        <v>246</v>
      </c>
      <c r="B247" t="s">
        <v>792</v>
      </c>
      <c r="C247" t="s">
        <v>16</v>
      </c>
      <c r="D247" t="s">
        <v>137</v>
      </c>
      <c r="E247">
        <v>14.1</v>
      </c>
      <c r="F247" t="s">
        <v>56</v>
      </c>
      <c r="G247">
        <v>185</v>
      </c>
      <c r="H247" t="s">
        <v>27</v>
      </c>
      <c r="I247">
        <v>28103</v>
      </c>
      <c r="J247" t="s">
        <v>20</v>
      </c>
      <c r="K247" t="s">
        <v>176</v>
      </c>
      <c r="L247" t="s">
        <v>793</v>
      </c>
      <c r="M247" t="s">
        <v>59</v>
      </c>
      <c r="N247">
        <v>15</v>
      </c>
      <c r="O247">
        <v>48.7</v>
      </c>
    </row>
    <row r="248" spans="1:15">
      <c r="A248">
        <v>247</v>
      </c>
      <c r="B248" t="s">
        <v>794</v>
      </c>
      <c r="C248" t="s">
        <v>39</v>
      </c>
      <c r="D248" t="s">
        <v>33</v>
      </c>
      <c r="E248">
        <v>66.900000000000006</v>
      </c>
      <c r="F248" t="s">
        <v>18</v>
      </c>
      <c r="G248">
        <v>491</v>
      </c>
      <c r="H248" t="s">
        <v>27</v>
      </c>
      <c r="I248">
        <v>115352</v>
      </c>
      <c r="J248" t="s">
        <v>20</v>
      </c>
      <c r="K248" t="s">
        <v>795</v>
      </c>
      <c r="L248" t="s">
        <v>796</v>
      </c>
      <c r="N248">
        <v>15</v>
      </c>
      <c r="O248">
        <v>166.4</v>
      </c>
    </row>
    <row r="249" spans="1:15">
      <c r="A249">
        <v>248</v>
      </c>
      <c r="B249" t="s">
        <v>797</v>
      </c>
      <c r="C249" t="s">
        <v>123</v>
      </c>
      <c r="D249" t="s">
        <v>114</v>
      </c>
      <c r="E249">
        <v>5</v>
      </c>
      <c r="F249" t="s">
        <v>41</v>
      </c>
      <c r="G249">
        <v>659</v>
      </c>
      <c r="H249" t="s">
        <v>19</v>
      </c>
      <c r="I249">
        <v>63103</v>
      </c>
      <c r="J249" t="s">
        <v>20</v>
      </c>
      <c r="K249" t="s">
        <v>798</v>
      </c>
      <c r="L249" t="s">
        <v>799</v>
      </c>
      <c r="M249" t="s">
        <v>86</v>
      </c>
      <c r="N249">
        <v>1</v>
      </c>
      <c r="O249">
        <v>10.4</v>
      </c>
    </row>
    <row r="250" spans="1:15">
      <c r="A250">
        <v>249</v>
      </c>
      <c r="B250" t="s">
        <v>800</v>
      </c>
      <c r="C250" t="s">
        <v>123</v>
      </c>
      <c r="D250" t="s">
        <v>17</v>
      </c>
      <c r="E250">
        <v>71</v>
      </c>
      <c r="F250" t="s">
        <v>56</v>
      </c>
      <c r="G250">
        <v>683</v>
      </c>
      <c r="H250" t="s">
        <v>27</v>
      </c>
      <c r="I250">
        <v>68071</v>
      </c>
      <c r="J250" t="s">
        <v>20</v>
      </c>
      <c r="K250" t="s">
        <v>801</v>
      </c>
      <c r="L250" t="s">
        <v>802</v>
      </c>
      <c r="M250" t="s">
        <v>121</v>
      </c>
      <c r="N250">
        <v>17</v>
      </c>
      <c r="O250">
        <v>215.9</v>
      </c>
    </row>
    <row r="251" spans="1:15">
      <c r="A251">
        <v>250</v>
      </c>
      <c r="B251" t="s">
        <v>803</v>
      </c>
      <c r="C251" t="s">
        <v>32</v>
      </c>
      <c r="D251" t="s">
        <v>17</v>
      </c>
      <c r="E251">
        <v>46.3</v>
      </c>
      <c r="F251" t="s">
        <v>56</v>
      </c>
      <c r="G251">
        <v>411</v>
      </c>
      <c r="H251" t="s">
        <v>19</v>
      </c>
      <c r="I251">
        <v>54775</v>
      </c>
      <c r="J251" t="s">
        <v>20</v>
      </c>
      <c r="K251" t="s">
        <v>804</v>
      </c>
      <c r="L251" t="s">
        <v>805</v>
      </c>
      <c r="M251" t="s">
        <v>121</v>
      </c>
      <c r="N251">
        <v>5</v>
      </c>
      <c r="O251">
        <v>97.9</v>
      </c>
    </row>
    <row r="252" spans="1:15">
      <c r="A252">
        <v>251</v>
      </c>
      <c r="B252" t="s">
        <v>806</v>
      </c>
      <c r="C252" t="s">
        <v>25</v>
      </c>
      <c r="D252" t="s">
        <v>17</v>
      </c>
      <c r="E252">
        <v>34.9</v>
      </c>
      <c r="F252" t="s">
        <v>41</v>
      </c>
      <c r="G252">
        <v>188</v>
      </c>
      <c r="H252" t="s">
        <v>19</v>
      </c>
      <c r="I252">
        <v>24422</v>
      </c>
      <c r="J252" t="s">
        <v>20</v>
      </c>
      <c r="K252" t="s">
        <v>807</v>
      </c>
      <c r="L252" t="s">
        <v>808</v>
      </c>
      <c r="M252" t="s">
        <v>441</v>
      </c>
      <c r="N252">
        <v>12</v>
      </c>
      <c r="O252">
        <v>113.3</v>
      </c>
    </row>
    <row r="253" spans="1:15">
      <c r="A253">
        <v>252</v>
      </c>
      <c r="B253" t="s">
        <v>809</v>
      </c>
      <c r="C253" t="s">
        <v>16</v>
      </c>
      <c r="D253" t="s">
        <v>33</v>
      </c>
      <c r="E253">
        <v>12.1</v>
      </c>
      <c r="F253" t="s">
        <v>62</v>
      </c>
      <c r="G253">
        <v>272</v>
      </c>
      <c r="H253" t="s">
        <v>27</v>
      </c>
      <c r="I253">
        <v>53538</v>
      </c>
      <c r="J253" t="s">
        <v>20</v>
      </c>
      <c r="K253" t="s">
        <v>810</v>
      </c>
      <c r="L253" t="s">
        <v>648</v>
      </c>
      <c r="M253" t="s">
        <v>59</v>
      </c>
      <c r="N253">
        <v>5</v>
      </c>
      <c r="O253">
        <v>38.1</v>
      </c>
    </row>
    <row r="254" spans="1:15">
      <c r="A254">
        <v>253</v>
      </c>
      <c r="B254" t="s">
        <v>811</v>
      </c>
      <c r="C254" t="s">
        <v>39</v>
      </c>
      <c r="D254" t="s">
        <v>114</v>
      </c>
      <c r="E254">
        <v>49.1</v>
      </c>
      <c r="F254" t="s">
        <v>26</v>
      </c>
      <c r="G254">
        <v>311</v>
      </c>
      <c r="H254" t="s">
        <v>19</v>
      </c>
      <c r="I254">
        <v>66426</v>
      </c>
      <c r="J254" t="s">
        <v>20</v>
      </c>
      <c r="K254" t="s">
        <v>812</v>
      </c>
      <c r="L254" t="s">
        <v>813</v>
      </c>
      <c r="M254" t="s">
        <v>117</v>
      </c>
      <c r="N254">
        <v>17</v>
      </c>
      <c r="O254">
        <v>131.9</v>
      </c>
    </row>
    <row r="255" spans="1:15">
      <c r="A255">
        <v>254</v>
      </c>
      <c r="B255" t="s">
        <v>814</v>
      </c>
      <c r="C255" t="s">
        <v>133</v>
      </c>
      <c r="D255" t="s">
        <v>137</v>
      </c>
      <c r="E255">
        <v>68.599999999999994</v>
      </c>
      <c r="F255" t="s">
        <v>56</v>
      </c>
      <c r="G255">
        <v>80</v>
      </c>
      <c r="H255" t="s">
        <v>19</v>
      </c>
      <c r="I255">
        <v>63909</v>
      </c>
      <c r="J255" t="s">
        <v>20</v>
      </c>
      <c r="K255" t="s">
        <v>815</v>
      </c>
      <c r="L255" t="s">
        <v>816</v>
      </c>
      <c r="M255" t="s">
        <v>69</v>
      </c>
      <c r="N255">
        <v>1</v>
      </c>
      <c r="O255">
        <v>151.4</v>
      </c>
    </row>
    <row r="256" spans="1:15">
      <c r="A256">
        <v>255</v>
      </c>
      <c r="B256" t="s">
        <v>817</v>
      </c>
      <c r="C256" t="s">
        <v>32</v>
      </c>
      <c r="D256" t="s">
        <v>40</v>
      </c>
      <c r="E256">
        <v>88.4</v>
      </c>
      <c r="F256" t="s">
        <v>62</v>
      </c>
      <c r="G256">
        <v>488</v>
      </c>
      <c r="H256" t="s">
        <v>27</v>
      </c>
      <c r="I256">
        <v>36294</v>
      </c>
      <c r="J256" t="s">
        <v>20</v>
      </c>
      <c r="K256" t="s">
        <v>818</v>
      </c>
      <c r="L256" t="s">
        <v>819</v>
      </c>
      <c r="M256" t="s">
        <v>69</v>
      </c>
      <c r="N256">
        <v>20</v>
      </c>
      <c r="O256">
        <v>239.8</v>
      </c>
    </row>
    <row r="257" spans="1:15">
      <c r="A257">
        <v>256</v>
      </c>
      <c r="B257" t="s">
        <v>820</v>
      </c>
      <c r="C257" t="s">
        <v>39</v>
      </c>
      <c r="D257" t="s">
        <v>114</v>
      </c>
      <c r="E257">
        <v>57.7</v>
      </c>
      <c r="F257" t="s">
        <v>26</v>
      </c>
      <c r="G257">
        <v>483</v>
      </c>
      <c r="H257" t="s">
        <v>27</v>
      </c>
      <c r="I257">
        <v>4961</v>
      </c>
      <c r="J257" t="s">
        <v>20</v>
      </c>
      <c r="K257" t="s">
        <v>821</v>
      </c>
      <c r="L257" t="s">
        <v>822</v>
      </c>
      <c r="M257" t="s">
        <v>112</v>
      </c>
      <c r="N257">
        <v>15</v>
      </c>
      <c r="O257">
        <v>185.3</v>
      </c>
    </row>
    <row r="258" spans="1:15">
      <c r="A258">
        <v>257</v>
      </c>
      <c r="B258" t="s">
        <v>823</v>
      </c>
      <c r="C258" t="s">
        <v>39</v>
      </c>
      <c r="D258" t="s">
        <v>17</v>
      </c>
      <c r="E258">
        <v>30.8</v>
      </c>
      <c r="F258" t="s">
        <v>56</v>
      </c>
      <c r="G258">
        <v>608</v>
      </c>
      <c r="H258" t="s">
        <v>19</v>
      </c>
      <c r="I258">
        <v>36587</v>
      </c>
      <c r="J258" t="s">
        <v>20</v>
      </c>
      <c r="K258" t="s">
        <v>824</v>
      </c>
      <c r="L258" t="s">
        <v>508</v>
      </c>
      <c r="M258" t="s">
        <v>441</v>
      </c>
      <c r="N258">
        <v>1</v>
      </c>
      <c r="O258">
        <v>73.7</v>
      </c>
    </row>
    <row r="259" spans="1:15">
      <c r="A259">
        <v>258</v>
      </c>
      <c r="B259" t="s">
        <v>825</v>
      </c>
      <c r="C259" t="s">
        <v>133</v>
      </c>
      <c r="D259" t="s">
        <v>114</v>
      </c>
      <c r="E259">
        <v>28.4</v>
      </c>
      <c r="F259" t="s">
        <v>26</v>
      </c>
      <c r="G259">
        <v>266</v>
      </c>
      <c r="H259" t="s">
        <v>19</v>
      </c>
      <c r="I259">
        <v>67670</v>
      </c>
      <c r="J259" t="s">
        <v>20</v>
      </c>
      <c r="K259" t="s">
        <v>826</v>
      </c>
      <c r="L259" t="s">
        <v>827</v>
      </c>
      <c r="M259" t="s">
        <v>121</v>
      </c>
      <c r="N259">
        <v>12</v>
      </c>
      <c r="O259">
        <v>90.3</v>
      </c>
    </row>
    <row r="260" spans="1:15">
      <c r="A260">
        <v>259</v>
      </c>
      <c r="B260" t="s">
        <v>828</v>
      </c>
      <c r="C260" t="s">
        <v>25</v>
      </c>
      <c r="D260" t="s">
        <v>17</v>
      </c>
      <c r="E260">
        <v>67.900000000000006</v>
      </c>
      <c r="F260" t="s">
        <v>56</v>
      </c>
      <c r="G260">
        <v>202</v>
      </c>
      <c r="H260" t="s">
        <v>27</v>
      </c>
      <c r="I260">
        <v>33698</v>
      </c>
      <c r="J260" t="s">
        <v>20</v>
      </c>
      <c r="K260" t="s">
        <v>829</v>
      </c>
      <c r="L260" t="s">
        <v>830</v>
      </c>
      <c r="N260">
        <v>14</v>
      </c>
      <c r="O260">
        <v>150.30000000000001</v>
      </c>
    </row>
    <row r="261" spans="1:15">
      <c r="A261">
        <v>260</v>
      </c>
      <c r="B261" t="s">
        <v>831</v>
      </c>
      <c r="C261" t="s">
        <v>25</v>
      </c>
      <c r="D261" t="s">
        <v>17</v>
      </c>
      <c r="E261">
        <v>87.4</v>
      </c>
      <c r="F261" t="s">
        <v>62</v>
      </c>
      <c r="G261">
        <v>664</v>
      </c>
      <c r="H261" t="s">
        <v>19</v>
      </c>
      <c r="I261">
        <v>38464</v>
      </c>
      <c r="J261" t="s">
        <v>20</v>
      </c>
      <c r="K261" t="s">
        <v>102</v>
      </c>
      <c r="L261" t="s">
        <v>783</v>
      </c>
      <c r="M261" t="s">
        <v>59</v>
      </c>
      <c r="N261">
        <v>13</v>
      </c>
      <c r="O261">
        <v>255</v>
      </c>
    </row>
    <row r="262" spans="1:15">
      <c r="A262">
        <v>261</v>
      </c>
      <c r="B262" t="s">
        <v>832</v>
      </c>
      <c r="C262" t="s">
        <v>32</v>
      </c>
      <c r="D262" t="s">
        <v>137</v>
      </c>
      <c r="E262">
        <v>27.2</v>
      </c>
      <c r="F262" t="s">
        <v>62</v>
      </c>
      <c r="G262">
        <v>493</v>
      </c>
      <c r="H262" t="s">
        <v>27</v>
      </c>
      <c r="I262">
        <v>93909</v>
      </c>
      <c r="J262" t="s">
        <v>20</v>
      </c>
      <c r="K262" t="s">
        <v>833</v>
      </c>
      <c r="L262" t="s">
        <v>834</v>
      </c>
      <c r="N262">
        <v>13</v>
      </c>
      <c r="O262">
        <v>63.8</v>
      </c>
    </row>
    <row r="263" spans="1:15">
      <c r="A263">
        <v>262</v>
      </c>
      <c r="B263" t="s">
        <v>835</v>
      </c>
      <c r="C263" t="s">
        <v>50</v>
      </c>
      <c r="D263" t="s">
        <v>137</v>
      </c>
      <c r="E263">
        <v>69</v>
      </c>
      <c r="F263" t="s">
        <v>62</v>
      </c>
      <c r="G263">
        <v>297</v>
      </c>
      <c r="H263" t="s">
        <v>19</v>
      </c>
      <c r="I263">
        <v>67293</v>
      </c>
      <c r="J263" t="s">
        <v>20</v>
      </c>
      <c r="K263" t="s">
        <v>836</v>
      </c>
      <c r="L263" t="s">
        <v>428</v>
      </c>
      <c r="M263" t="s">
        <v>54</v>
      </c>
      <c r="N263">
        <v>4</v>
      </c>
      <c r="O263">
        <v>164.6</v>
      </c>
    </row>
    <row r="264" spans="1:15">
      <c r="A264">
        <v>263</v>
      </c>
      <c r="B264" t="s">
        <v>837</v>
      </c>
      <c r="C264" t="s">
        <v>39</v>
      </c>
      <c r="D264" t="s">
        <v>33</v>
      </c>
      <c r="E264">
        <v>37.799999999999997</v>
      </c>
      <c r="F264" t="s">
        <v>18</v>
      </c>
      <c r="G264">
        <v>155</v>
      </c>
      <c r="H264" t="s">
        <v>19</v>
      </c>
      <c r="I264">
        <v>92704</v>
      </c>
      <c r="J264" t="s">
        <v>20</v>
      </c>
      <c r="K264" t="s">
        <v>838</v>
      </c>
      <c r="L264" t="s">
        <v>839</v>
      </c>
      <c r="M264" t="s">
        <v>117</v>
      </c>
      <c r="N264">
        <v>4</v>
      </c>
      <c r="O264">
        <v>76.900000000000006</v>
      </c>
    </row>
    <row r="265" spans="1:15">
      <c r="A265">
        <v>264</v>
      </c>
      <c r="B265" t="s">
        <v>840</v>
      </c>
      <c r="C265" t="s">
        <v>50</v>
      </c>
      <c r="D265" t="s">
        <v>114</v>
      </c>
      <c r="E265">
        <v>23</v>
      </c>
      <c r="F265" t="s">
        <v>62</v>
      </c>
      <c r="G265">
        <v>544</v>
      </c>
      <c r="H265" t="s">
        <v>19</v>
      </c>
      <c r="I265">
        <v>46063</v>
      </c>
      <c r="J265" t="s">
        <v>20</v>
      </c>
      <c r="K265" t="s">
        <v>841</v>
      </c>
      <c r="L265" t="s">
        <v>645</v>
      </c>
      <c r="M265" t="s">
        <v>69</v>
      </c>
      <c r="N265">
        <v>5</v>
      </c>
      <c r="O265">
        <v>74.099999999999994</v>
      </c>
    </row>
    <row r="266" spans="1:15">
      <c r="A266">
        <v>265</v>
      </c>
      <c r="B266" t="s">
        <v>842</v>
      </c>
      <c r="C266" t="s">
        <v>39</v>
      </c>
      <c r="D266" t="s">
        <v>114</v>
      </c>
      <c r="E266">
        <v>20.5</v>
      </c>
      <c r="F266" t="s">
        <v>26</v>
      </c>
      <c r="G266">
        <v>288</v>
      </c>
      <c r="H266" t="s">
        <v>19</v>
      </c>
      <c r="I266">
        <v>58141</v>
      </c>
      <c r="J266" t="s">
        <v>20</v>
      </c>
      <c r="K266" t="s">
        <v>843</v>
      </c>
      <c r="L266" t="s">
        <v>844</v>
      </c>
      <c r="M266" t="s">
        <v>86</v>
      </c>
      <c r="N266">
        <v>16</v>
      </c>
      <c r="O266">
        <v>44.5</v>
      </c>
    </row>
    <row r="267" spans="1:15">
      <c r="A267">
        <v>266</v>
      </c>
      <c r="B267" t="s">
        <v>845</v>
      </c>
      <c r="C267" t="s">
        <v>133</v>
      </c>
      <c r="D267" t="s">
        <v>17</v>
      </c>
      <c r="E267">
        <v>98.4</v>
      </c>
      <c r="F267" t="s">
        <v>26</v>
      </c>
      <c r="G267">
        <v>577</v>
      </c>
      <c r="H267" t="s">
        <v>19</v>
      </c>
      <c r="I267">
        <v>36699</v>
      </c>
      <c r="J267" t="s">
        <v>20</v>
      </c>
      <c r="K267" t="s">
        <v>846</v>
      </c>
      <c r="L267" t="s">
        <v>847</v>
      </c>
      <c r="M267" t="s">
        <v>117</v>
      </c>
      <c r="N267">
        <v>4</v>
      </c>
      <c r="O267">
        <v>283.60000000000002</v>
      </c>
    </row>
    <row r="268" spans="1:15">
      <c r="A268">
        <v>267</v>
      </c>
      <c r="B268" t="s">
        <v>848</v>
      </c>
      <c r="C268" t="s">
        <v>158</v>
      </c>
      <c r="D268" t="s">
        <v>17</v>
      </c>
      <c r="E268">
        <v>57.8</v>
      </c>
      <c r="F268" t="s">
        <v>41</v>
      </c>
      <c r="G268">
        <v>68</v>
      </c>
      <c r="H268" t="s">
        <v>27</v>
      </c>
      <c r="I268">
        <v>101315</v>
      </c>
      <c r="J268" t="s">
        <v>20</v>
      </c>
      <c r="K268" t="s">
        <v>849</v>
      </c>
      <c r="L268" t="s">
        <v>850</v>
      </c>
      <c r="M268" t="s">
        <v>112</v>
      </c>
      <c r="N268">
        <v>12</v>
      </c>
      <c r="O268">
        <v>179.4</v>
      </c>
    </row>
    <row r="269" spans="1:15">
      <c r="A269">
        <v>268</v>
      </c>
      <c r="B269" t="s">
        <v>851</v>
      </c>
      <c r="C269" t="s">
        <v>50</v>
      </c>
      <c r="D269" t="s">
        <v>114</v>
      </c>
      <c r="E269">
        <v>54.8</v>
      </c>
      <c r="F269" t="s">
        <v>26</v>
      </c>
      <c r="G269">
        <v>167</v>
      </c>
      <c r="H269" t="s">
        <v>19</v>
      </c>
      <c r="I269">
        <v>94389</v>
      </c>
      <c r="J269" t="s">
        <v>20</v>
      </c>
      <c r="K269" t="s">
        <v>852</v>
      </c>
      <c r="L269" t="s">
        <v>853</v>
      </c>
      <c r="N269">
        <v>4</v>
      </c>
      <c r="O269">
        <v>181.2</v>
      </c>
    </row>
    <row r="270" spans="1:15">
      <c r="A270">
        <v>269</v>
      </c>
      <c r="B270" t="s">
        <v>854</v>
      </c>
      <c r="C270" t="s">
        <v>158</v>
      </c>
      <c r="D270" t="s">
        <v>33</v>
      </c>
      <c r="E270">
        <v>4.0999999999999996</v>
      </c>
      <c r="F270" t="s">
        <v>41</v>
      </c>
      <c r="G270">
        <v>434</v>
      </c>
      <c r="H270" t="s">
        <v>19</v>
      </c>
      <c r="I270">
        <v>40385</v>
      </c>
      <c r="J270" t="s">
        <v>20</v>
      </c>
      <c r="K270" t="s">
        <v>855</v>
      </c>
      <c r="L270" t="s">
        <v>655</v>
      </c>
      <c r="M270" t="s">
        <v>117</v>
      </c>
      <c r="N270">
        <v>5</v>
      </c>
      <c r="O270">
        <v>10.4</v>
      </c>
    </row>
    <row r="271" spans="1:15">
      <c r="A271">
        <v>270</v>
      </c>
      <c r="B271" t="s">
        <v>856</v>
      </c>
      <c r="C271" t="s">
        <v>50</v>
      </c>
      <c r="D271" t="s">
        <v>33</v>
      </c>
      <c r="E271">
        <v>92.7</v>
      </c>
      <c r="F271" t="s">
        <v>18</v>
      </c>
      <c r="G271">
        <v>160</v>
      </c>
      <c r="H271" t="s">
        <v>19</v>
      </c>
      <c r="I271">
        <v>108589</v>
      </c>
      <c r="J271" t="s">
        <v>20</v>
      </c>
      <c r="K271" t="s">
        <v>857</v>
      </c>
      <c r="L271" t="s">
        <v>747</v>
      </c>
      <c r="M271" t="s">
        <v>54</v>
      </c>
      <c r="N271">
        <v>13</v>
      </c>
      <c r="O271">
        <v>280.8</v>
      </c>
    </row>
    <row r="272" spans="1:15">
      <c r="A272">
        <v>271</v>
      </c>
      <c r="B272" t="s">
        <v>858</v>
      </c>
      <c r="C272" t="s">
        <v>39</v>
      </c>
      <c r="D272" t="s">
        <v>61</v>
      </c>
      <c r="E272">
        <v>0</v>
      </c>
      <c r="F272" t="s">
        <v>41</v>
      </c>
      <c r="G272">
        <v>193</v>
      </c>
      <c r="H272" t="s">
        <v>19</v>
      </c>
      <c r="I272">
        <v>75731</v>
      </c>
      <c r="J272" t="s">
        <v>20</v>
      </c>
      <c r="K272" t="s">
        <v>859</v>
      </c>
      <c r="L272" t="s">
        <v>860</v>
      </c>
      <c r="N272">
        <v>5</v>
      </c>
      <c r="O272">
        <v>0</v>
      </c>
    </row>
    <row r="273" spans="1:15">
      <c r="A273">
        <v>272</v>
      </c>
      <c r="B273" t="s">
        <v>861</v>
      </c>
      <c r="C273" t="s">
        <v>32</v>
      </c>
      <c r="D273" t="s">
        <v>61</v>
      </c>
      <c r="E273">
        <v>0</v>
      </c>
      <c r="F273" t="s">
        <v>26</v>
      </c>
      <c r="G273">
        <v>372</v>
      </c>
      <c r="H273" t="s">
        <v>27</v>
      </c>
      <c r="I273">
        <v>115760</v>
      </c>
      <c r="J273" t="s">
        <v>20</v>
      </c>
      <c r="K273" t="s">
        <v>862</v>
      </c>
      <c r="L273" t="s">
        <v>863</v>
      </c>
      <c r="M273" t="s">
        <v>86</v>
      </c>
      <c r="N273">
        <v>15</v>
      </c>
      <c r="O273">
        <v>0</v>
      </c>
    </row>
    <row r="274" spans="1:15">
      <c r="A274">
        <v>273</v>
      </c>
      <c r="B274" t="s">
        <v>864</v>
      </c>
      <c r="C274" t="s">
        <v>133</v>
      </c>
      <c r="D274" t="s">
        <v>40</v>
      </c>
      <c r="E274">
        <v>84.8</v>
      </c>
      <c r="F274" t="s">
        <v>62</v>
      </c>
      <c r="G274">
        <v>468</v>
      </c>
      <c r="H274" t="s">
        <v>27</v>
      </c>
      <c r="I274">
        <v>35059</v>
      </c>
      <c r="J274" t="s">
        <v>20</v>
      </c>
      <c r="K274" t="s">
        <v>865</v>
      </c>
      <c r="L274" t="s">
        <v>866</v>
      </c>
      <c r="M274" t="s">
        <v>117</v>
      </c>
      <c r="N274">
        <v>12</v>
      </c>
      <c r="O274">
        <v>292.3</v>
      </c>
    </row>
    <row r="275" spans="1:15">
      <c r="A275">
        <v>274</v>
      </c>
      <c r="B275" t="s">
        <v>867</v>
      </c>
      <c r="C275" t="s">
        <v>39</v>
      </c>
      <c r="D275" t="s">
        <v>114</v>
      </c>
      <c r="E275">
        <v>81.900000000000006</v>
      </c>
      <c r="F275" t="s">
        <v>62</v>
      </c>
      <c r="G275">
        <v>66</v>
      </c>
      <c r="H275" t="s">
        <v>19</v>
      </c>
      <c r="I275">
        <v>95935</v>
      </c>
      <c r="J275" t="s">
        <v>20</v>
      </c>
      <c r="K275" t="s">
        <v>868</v>
      </c>
      <c r="L275" t="s">
        <v>869</v>
      </c>
      <c r="N275">
        <v>18</v>
      </c>
      <c r="O275">
        <v>228.6</v>
      </c>
    </row>
    <row r="276" spans="1:15">
      <c r="A276">
        <v>275</v>
      </c>
      <c r="B276" t="s">
        <v>870</v>
      </c>
      <c r="C276" t="s">
        <v>32</v>
      </c>
      <c r="D276" t="s">
        <v>61</v>
      </c>
      <c r="E276">
        <v>0</v>
      </c>
      <c r="F276" t="s">
        <v>18</v>
      </c>
      <c r="G276">
        <v>351</v>
      </c>
      <c r="H276" t="s">
        <v>19</v>
      </c>
      <c r="I276">
        <v>110062</v>
      </c>
      <c r="J276" t="s">
        <v>20</v>
      </c>
      <c r="K276" t="s">
        <v>871</v>
      </c>
      <c r="L276" t="s">
        <v>872</v>
      </c>
      <c r="M276" t="s">
        <v>441</v>
      </c>
      <c r="N276">
        <v>7</v>
      </c>
      <c r="O276">
        <v>0</v>
      </c>
    </row>
    <row r="277" spans="1:15">
      <c r="A277">
        <v>276</v>
      </c>
      <c r="B277" t="s">
        <v>873</v>
      </c>
      <c r="C277" t="s">
        <v>133</v>
      </c>
      <c r="D277" t="s">
        <v>137</v>
      </c>
      <c r="E277">
        <v>66.599999999999994</v>
      </c>
      <c r="F277" t="s">
        <v>26</v>
      </c>
      <c r="G277">
        <v>588</v>
      </c>
      <c r="H277" t="s">
        <v>19</v>
      </c>
      <c r="I277">
        <v>107448</v>
      </c>
      <c r="J277" t="s">
        <v>20</v>
      </c>
      <c r="K277" t="s">
        <v>874</v>
      </c>
      <c r="L277" t="s">
        <v>875</v>
      </c>
      <c r="M277" t="s">
        <v>112</v>
      </c>
      <c r="N277">
        <v>10</v>
      </c>
      <c r="O277">
        <v>163.69999999999999</v>
      </c>
    </row>
    <row r="278" spans="1:15">
      <c r="A278">
        <v>277</v>
      </c>
      <c r="B278" t="s">
        <v>876</v>
      </c>
      <c r="C278" t="s">
        <v>50</v>
      </c>
      <c r="D278" t="s">
        <v>137</v>
      </c>
      <c r="E278">
        <v>30.5</v>
      </c>
      <c r="F278" t="s">
        <v>56</v>
      </c>
      <c r="G278">
        <v>204</v>
      </c>
      <c r="H278" t="s">
        <v>27</v>
      </c>
      <c r="I278">
        <v>67647</v>
      </c>
      <c r="J278" t="s">
        <v>20</v>
      </c>
      <c r="K278" t="s">
        <v>877</v>
      </c>
      <c r="L278" t="s">
        <v>878</v>
      </c>
      <c r="M278" t="s">
        <v>86</v>
      </c>
      <c r="N278">
        <v>8</v>
      </c>
      <c r="O278">
        <v>91.3</v>
      </c>
    </row>
    <row r="279" spans="1:15">
      <c r="A279">
        <v>278</v>
      </c>
      <c r="B279" t="s">
        <v>879</v>
      </c>
      <c r="C279" t="s">
        <v>158</v>
      </c>
      <c r="D279" t="s">
        <v>17</v>
      </c>
      <c r="E279">
        <v>65.400000000000006</v>
      </c>
      <c r="F279" t="s">
        <v>56</v>
      </c>
      <c r="G279">
        <v>329</v>
      </c>
      <c r="H279" t="s">
        <v>27</v>
      </c>
      <c r="I279">
        <v>61566</v>
      </c>
      <c r="J279" t="s">
        <v>20</v>
      </c>
      <c r="K279" t="s">
        <v>71</v>
      </c>
      <c r="L279" t="s">
        <v>880</v>
      </c>
      <c r="M279" t="s">
        <v>86</v>
      </c>
      <c r="N279">
        <v>11</v>
      </c>
      <c r="O279">
        <v>211.9</v>
      </c>
    </row>
    <row r="280" spans="1:15">
      <c r="A280">
        <v>279</v>
      </c>
      <c r="B280" t="s">
        <v>881</v>
      </c>
      <c r="C280" t="s">
        <v>158</v>
      </c>
      <c r="D280" t="s">
        <v>17</v>
      </c>
      <c r="E280">
        <v>20.6</v>
      </c>
      <c r="F280" t="s">
        <v>18</v>
      </c>
      <c r="G280">
        <v>260</v>
      </c>
      <c r="H280" t="s">
        <v>27</v>
      </c>
      <c r="I280">
        <v>119428</v>
      </c>
      <c r="J280" t="s">
        <v>20</v>
      </c>
      <c r="K280" t="s">
        <v>882</v>
      </c>
      <c r="L280" t="s">
        <v>883</v>
      </c>
      <c r="M280" t="s">
        <v>54</v>
      </c>
      <c r="N280">
        <v>14</v>
      </c>
      <c r="O280">
        <v>47.4</v>
      </c>
    </row>
    <row r="281" spans="1:15">
      <c r="A281">
        <v>280</v>
      </c>
      <c r="B281" t="s">
        <v>884</v>
      </c>
      <c r="C281" t="s">
        <v>50</v>
      </c>
      <c r="D281" t="s">
        <v>40</v>
      </c>
      <c r="E281">
        <v>40.299999999999997</v>
      </c>
      <c r="F281" t="s">
        <v>56</v>
      </c>
      <c r="G281">
        <v>228</v>
      </c>
      <c r="H281" t="s">
        <v>19</v>
      </c>
      <c r="I281">
        <v>69693</v>
      </c>
      <c r="J281" t="s">
        <v>20</v>
      </c>
      <c r="K281" t="s">
        <v>685</v>
      </c>
      <c r="L281" t="s">
        <v>885</v>
      </c>
      <c r="N281">
        <v>9</v>
      </c>
      <c r="O281">
        <v>98.3</v>
      </c>
    </row>
    <row r="282" spans="1:15">
      <c r="A282">
        <v>281</v>
      </c>
      <c r="B282" t="s">
        <v>886</v>
      </c>
      <c r="C282" t="s">
        <v>39</v>
      </c>
      <c r="D282" t="s">
        <v>61</v>
      </c>
      <c r="E282">
        <v>0</v>
      </c>
      <c r="F282" t="s">
        <v>26</v>
      </c>
      <c r="G282">
        <v>593</v>
      </c>
      <c r="H282" t="s">
        <v>27</v>
      </c>
      <c r="I282">
        <v>16473</v>
      </c>
      <c r="J282" t="s">
        <v>20</v>
      </c>
      <c r="K282" t="s">
        <v>887</v>
      </c>
      <c r="L282" t="s">
        <v>888</v>
      </c>
      <c r="M282" t="s">
        <v>86</v>
      </c>
      <c r="N282">
        <v>5</v>
      </c>
      <c r="O282">
        <v>0</v>
      </c>
    </row>
    <row r="283" spans="1:15">
      <c r="A283">
        <v>282</v>
      </c>
      <c r="B283" t="s">
        <v>889</v>
      </c>
      <c r="C283" t="s">
        <v>25</v>
      </c>
      <c r="D283" t="s">
        <v>33</v>
      </c>
      <c r="E283">
        <v>73.3</v>
      </c>
      <c r="F283" t="s">
        <v>26</v>
      </c>
      <c r="G283">
        <v>257</v>
      </c>
      <c r="H283" t="s">
        <v>19</v>
      </c>
      <c r="I283">
        <v>86622</v>
      </c>
      <c r="J283" t="s">
        <v>20</v>
      </c>
      <c r="K283" t="s">
        <v>412</v>
      </c>
      <c r="L283" t="s">
        <v>890</v>
      </c>
      <c r="M283" t="s">
        <v>48</v>
      </c>
      <c r="N283">
        <v>13</v>
      </c>
      <c r="O283">
        <v>231.7</v>
      </c>
    </row>
    <row r="284" spans="1:15">
      <c r="A284">
        <v>283</v>
      </c>
      <c r="B284" t="s">
        <v>891</v>
      </c>
      <c r="C284" t="s">
        <v>123</v>
      </c>
      <c r="D284" t="s">
        <v>17</v>
      </c>
      <c r="E284">
        <v>93.1</v>
      </c>
      <c r="F284" t="s">
        <v>56</v>
      </c>
      <c r="G284">
        <v>685</v>
      </c>
      <c r="H284" t="s">
        <v>27</v>
      </c>
      <c r="I284">
        <v>45149</v>
      </c>
      <c r="J284" t="s">
        <v>20</v>
      </c>
      <c r="K284" t="s">
        <v>892</v>
      </c>
      <c r="L284" t="s">
        <v>893</v>
      </c>
      <c r="M284" t="s">
        <v>86</v>
      </c>
      <c r="N284">
        <v>2</v>
      </c>
      <c r="O284">
        <v>299.89999999999998</v>
      </c>
    </row>
    <row r="285" spans="1:15">
      <c r="A285">
        <v>284</v>
      </c>
      <c r="B285" t="s">
        <v>894</v>
      </c>
      <c r="C285" t="s">
        <v>25</v>
      </c>
      <c r="D285" t="s">
        <v>114</v>
      </c>
      <c r="E285">
        <v>85.9</v>
      </c>
      <c r="F285" t="s">
        <v>18</v>
      </c>
      <c r="G285">
        <v>461</v>
      </c>
      <c r="H285" t="s">
        <v>19</v>
      </c>
      <c r="I285">
        <v>8189</v>
      </c>
      <c r="J285" t="s">
        <v>20</v>
      </c>
      <c r="K285" t="s">
        <v>895</v>
      </c>
      <c r="L285" t="s">
        <v>896</v>
      </c>
      <c r="M285" t="s">
        <v>112</v>
      </c>
      <c r="N285">
        <v>6</v>
      </c>
      <c r="O285">
        <v>180.7</v>
      </c>
    </row>
    <row r="286" spans="1:15">
      <c r="A286">
        <v>285</v>
      </c>
      <c r="B286" t="s">
        <v>897</v>
      </c>
      <c r="C286" t="s">
        <v>25</v>
      </c>
      <c r="D286" t="s">
        <v>61</v>
      </c>
      <c r="E286">
        <v>0</v>
      </c>
      <c r="F286" t="s">
        <v>18</v>
      </c>
      <c r="G286">
        <v>685</v>
      </c>
      <c r="H286" t="s">
        <v>27</v>
      </c>
      <c r="I286">
        <v>72722</v>
      </c>
      <c r="J286" t="s">
        <v>20</v>
      </c>
      <c r="K286" t="s">
        <v>898</v>
      </c>
      <c r="L286" t="s">
        <v>899</v>
      </c>
      <c r="N286">
        <v>19</v>
      </c>
      <c r="O286">
        <v>0</v>
      </c>
    </row>
    <row r="287" spans="1:15">
      <c r="A287">
        <v>286</v>
      </c>
      <c r="B287" t="s">
        <v>900</v>
      </c>
      <c r="C287" t="s">
        <v>50</v>
      </c>
      <c r="D287" t="s">
        <v>114</v>
      </c>
      <c r="E287">
        <v>61.3</v>
      </c>
      <c r="F287" t="s">
        <v>41</v>
      </c>
      <c r="G287">
        <v>228</v>
      </c>
      <c r="H287" t="s">
        <v>27</v>
      </c>
      <c r="I287">
        <v>39643</v>
      </c>
      <c r="J287" t="s">
        <v>20</v>
      </c>
      <c r="K287" t="s">
        <v>901</v>
      </c>
      <c r="L287" t="s">
        <v>502</v>
      </c>
      <c r="M287" t="s">
        <v>441</v>
      </c>
      <c r="N287">
        <v>10</v>
      </c>
      <c r="O287">
        <v>197.1</v>
      </c>
    </row>
    <row r="288" spans="1:15">
      <c r="A288">
        <v>287</v>
      </c>
      <c r="B288" t="s">
        <v>902</v>
      </c>
      <c r="C288" t="s">
        <v>25</v>
      </c>
      <c r="D288" t="s">
        <v>137</v>
      </c>
      <c r="E288">
        <v>43.5</v>
      </c>
      <c r="F288" t="s">
        <v>62</v>
      </c>
      <c r="G288">
        <v>578</v>
      </c>
      <c r="H288" t="s">
        <v>19</v>
      </c>
      <c r="I288">
        <v>72717</v>
      </c>
      <c r="J288" t="s">
        <v>20</v>
      </c>
      <c r="K288" t="s">
        <v>903</v>
      </c>
      <c r="L288" t="s">
        <v>904</v>
      </c>
      <c r="M288" t="s">
        <v>441</v>
      </c>
      <c r="N288">
        <v>2</v>
      </c>
      <c r="O288">
        <v>96.4</v>
      </c>
    </row>
    <row r="289" spans="1:15">
      <c r="A289">
        <v>288</v>
      </c>
      <c r="B289" t="s">
        <v>750</v>
      </c>
      <c r="C289" t="s">
        <v>123</v>
      </c>
      <c r="D289" t="s">
        <v>61</v>
      </c>
      <c r="E289">
        <v>0</v>
      </c>
      <c r="F289" t="s">
        <v>18</v>
      </c>
      <c r="G289">
        <v>619</v>
      </c>
      <c r="H289" t="s">
        <v>19</v>
      </c>
      <c r="I289">
        <v>104202</v>
      </c>
      <c r="J289" t="s">
        <v>20</v>
      </c>
      <c r="K289" t="s">
        <v>905</v>
      </c>
      <c r="L289" t="s">
        <v>906</v>
      </c>
      <c r="M289" t="s">
        <v>48</v>
      </c>
      <c r="N289">
        <v>19</v>
      </c>
      <c r="O289">
        <v>0</v>
      </c>
    </row>
    <row r="290" spans="1:15">
      <c r="A290">
        <v>289</v>
      </c>
      <c r="B290" t="s">
        <v>760</v>
      </c>
      <c r="C290" t="s">
        <v>16</v>
      </c>
      <c r="D290" t="s">
        <v>61</v>
      </c>
      <c r="E290">
        <v>0</v>
      </c>
      <c r="F290" t="s">
        <v>56</v>
      </c>
      <c r="G290">
        <v>652</v>
      </c>
      <c r="H290" t="s">
        <v>19</v>
      </c>
      <c r="I290">
        <v>80432</v>
      </c>
      <c r="J290" t="s">
        <v>20</v>
      </c>
      <c r="K290" t="s">
        <v>907</v>
      </c>
      <c r="L290" t="s">
        <v>908</v>
      </c>
      <c r="N290">
        <v>14</v>
      </c>
      <c r="O290">
        <v>0</v>
      </c>
    </row>
    <row r="291" spans="1:15">
      <c r="A291">
        <v>290</v>
      </c>
      <c r="B291" t="s">
        <v>909</v>
      </c>
      <c r="C291" t="s">
        <v>123</v>
      </c>
      <c r="D291" t="s">
        <v>33</v>
      </c>
      <c r="E291">
        <v>92.1</v>
      </c>
      <c r="F291" t="s">
        <v>56</v>
      </c>
      <c r="G291">
        <v>303</v>
      </c>
      <c r="H291" t="s">
        <v>19</v>
      </c>
      <c r="I291">
        <v>32187</v>
      </c>
      <c r="J291" t="s">
        <v>20</v>
      </c>
      <c r="K291" t="s">
        <v>910</v>
      </c>
      <c r="L291" t="s">
        <v>773</v>
      </c>
      <c r="M291" t="s">
        <v>69</v>
      </c>
      <c r="N291">
        <v>1</v>
      </c>
      <c r="O291">
        <v>245.6</v>
      </c>
    </row>
    <row r="292" spans="1:15">
      <c r="A292">
        <v>291</v>
      </c>
      <c r="B292" t="s">
        <v>911</v>
      </c>
      <c r="C292" t="s">
        <v>39</v>
      </c>
      <c r="D292" t="s">
        <v>61</v>
      </c>
      <c r="E292">
        <v>0</v>
      </c>
      <c r="F292" t="s">
        <v>18</v>
      </c>
      <c r="G292">
        <v>649</v>
      </c>
      <c r="H292" t="s">
        <v>27</v>
      </c>
      <c r="I292">
        <v>40086</v>
      </c>
      <c r="J292" t="s">
        <v>20</v>
      </c>
      <c r="K292" t="s">
        <v>912</v>
      </c>
      <c r="L292" t="s">
        <v>695</v>
      </c>
      <c r="M292" t="s">
        <v>86</v>
      </c>
      <c r="N292">
        <v>18</v>
      </c>
      <c r="O292">
        <v>0</v>
      </c>
    </row>
    <row r="293" spans="1:15">
      <c r="A293">
        <v>292</v>
      </c>
      <c r="B293" t="s">
        <v>913</v>
      </c>
      <c r="C293" t="s">
        <v>16</v>
      </c>
      <c r="D293" t="s">
        <v>61</v>
      </c>
      <c r="E293">
        <v>0</v>
      </c>
      <c r="F293" t="s">
        <v>26</v>
      </c>
      <c r="G293">
        <v>210</v>
      </c>
      <c r="H293" t="s">
        <v>19</v>
      </c>
      <c r="I293">
        <v>21605</v>
      </c>
      <c r="J293" t="s">
        <v>20</v>
      </c>
      <c r="K293" t="s">
        <v>914</v>
      </c>
      <c r="L293" t="s">
        <v>915</v>
      </c>
      <c r="M293" t="s">
        <v>86</v>
      </c>
      <c r="N293">
        <v>20</v>
      </c>
      <c r="O293">
        <v>0</v>
      </c>
    </row>
    <row r="294" spans="1:15">
      <c r="A294">
        <v>293</v>
      </c>
      <c r="B294" t="s">
        <v>916</v>
      </c>
      <c r="C294" t="s">
        <v>123</v>
      </c>
      <c r="D294" t="s">
        <v>114</v>
      </c>
      <c r="E294">
        <v>19.3</v>
      </c>
      <c r="F294" t="s">
        <v>62</v>
      </c>
      <c r="G294">
        <v>495</v>
      </c>
      <c r="H294" t="s">
        <v>19</v>
      </c>
      <c r="I294">
        <v>34458</v>
      </c>
      <c r="J294" t="s">
        <v>20</v>
      </c>
      <c r="K294" t="s">
        <v>917</v>
      </c>
      <c r="L294" t="s">
        <v>918</v>
      </c>
      <c r="M294" t="s">
        <v>48</v>
      </c>
      <c r="N294">
        <v>8</v>
      </c>
      <c r="O294">
        <v>50</v>
      </c>
    </row>
    <row r="295" spans="1:15">
      <c r="A295">
        <v>294</v>
      </c>
      <c r="B295" t="s">
        <v>861</v>
      </c>
      <c r="C295" t="s">
        <v>158</v>
      </c>
      <c r="D295" t="s">
        <v>33</v>
      </c>
      <c r="E295">
        <v>83.8</v>
      </c>
      <c r="F295" t="s">
        <v>18</v>
      </c>
      <c r="G295">
        <v>389</v>
      </c>
      <c r="H295" t="s">
        <v>27</v>
      </c>
      <c r="I295">
        <v>117511</v>
      </c>
      <c r="J295" t="s">
        <v>20</v>
      </c>
      <c r="K295" t="s">
        <v>919</v>
      </c>
      <c r="L295" t="s">
        <v>670</v>
      </c>
      <c r="M295" t="s">
        <v>117</v>
      </c>
      <c r="N295">
        <v>11</v>
      </c>
      <c r="O295">
        <v>241.4</v>
      </c>
    </row>
    <row r="296" spans="1:15">
      <c r="A296">
        <v>295</v>
      </c>
      <c r="B296" t="s">
        <v>920</v>
      </c>
      <c r="C296" t="s">
        <v>32</v>
      </c>
      <c r="D296" t="s">
        <v>17</v>
      </c>
      <c r="E296">
        <v>25.1</v>
      </c>
      <c r="F296" t="s">
        <v>18</v>
      </c>
      <c r="G296">
        <v>689</v>
      </c>
      <c r="H296" t="s">
        <v>27</v>
      </c>
      <c r="I296">
        <v>104292</v>
      </c>
      <c r="J296" t="s">
        <v>20</v>
      </c>
      <c r="K296" t="s">
        <v>921</v>
      </c>
      <c r="L296" t="s">
        <v>875</v>
      </c>
      <c r="M296" t="s">
        <v>112</v>
      </c>
      <c r="N296">
        <v>18</v>
      </c>
      <c r="O296">
        <v>51.4</v>
      </c>
    </row>
    <row r="297" spans="1:15">
      <c r="A297">
        <v>296</v>
      </c>
      <c r="B297" t="s">
        <v>922</v>
      </c>
      <c r="C297" t="s">
        <v>158</v>
      </c>
      <c r="D297" t="s">
        <v>114</v>
      </c>
      <c r="E297">
        <v>97</v>
      </c>
      <c r="F297" t="s">
        <v>18</v>
      </c>
      <c r="G297">
        <v>260</v>
      </c>
      <c r="H297" t="s">
        <v>27</v>
      </c>
      <c r="I297">
        <v>79880</v>
      </c>
      <c r="J297" t="s">
        <v>20</v>
      </c>
      <c r="K297" t="s">
        <v>923</v>
      </c>
      <c r="L297" t="s">
        <v>924</v>
      </c>
      <c r="M297" t="s">
        <v>54</v>
      </c>
      <c r="N297">
        <v>16</v>
      </c>
      <c r="O297">
        <v>272.10000000000002</v>
      </c>
    </row>
    <row r="298" spans="1:15">
      <c r="A298">
        <v>297</v>
      </c>
      <c r="B298" t="s">
        <v>925</v>
      </c>
      <c r="C298" t="s">
        <v>123</v>
      </c>
      <c r="D298" t="s">
        <v>33</v>
      </c>
      <c r="E298">
        <v>69.900000000000006</v>
      </c>
      <c r="F298" t="s">
        <v>56</v>
      </c>
      <c r="G298">
        <v>45</v>
      </c>
      <c r="H298" t="s">
        <v>27</v>
      </c>
      <c r="I298">
        <v>65896</v>
      </c>
      <c r="J298" t="s">
        <v>20</v>
      </c>
      <c r="K298" t="s">
        <v>236</v>
      </c>
      <c r="L298" t="s">
        <v>657</v>
      </c>
      <c r="M298" t="s">
        <v>86</v>
      </c>
      <c r="N298">
        <v>11</v>
      </c>
      <c r="O298">
        <v>240</v>
      </c>
    </row>
    <row r="299" spans="1:15">
      <c r="A299">
        <v>298</v>
      </c>
      <c r="B299" t="s">
        <v>926</v>
      </c>
      <c r="C299" t="s">
        <v>133</v>
      </c>
      <c r="D299" t="s">
        <v>33</v>
      </c>
      <c r="E299">
        <v>70.8</v>
      </c>
      <c r="F299" t="s">
        <v>18</v>
      </c>
      <c r="G299">
        <v>220</v>
      </c>
      <c r="H299" t="s">
        <v>27</v>
      </c>
      <c r="I299">
        <v>83480</v>
      </c>
      <c r="J299" t="s">
        <v>20</v>
      </c>
      <c r="K299" t="s">
        <v>927</v>
      </c>
      <c r="L299" t="s">
        <v>928</v>
      </c>
      <c r="M299" t="s">
        <v>121</v>
      </c>
      <c r="N299">
        <v>18</v>
      </c>
      <c r="O299">
        <v>216.1</v>
      </c>
    </row>
    <row r="300" spans="1:15">
      <c r="A300">
        <v>299</v>
      </c>
      <c r="B300" t="s">
        <v>598</v>
      </c>
      <c r="C300" t="s">
        <v>133</v>
      </c>
      <c r="D300" t="s">
        <v>137</v>
      </c>
      <c r="E300">
        <v>77.2</v>
      </c>
      <c r="F300" t="s">
        <v>56</v>
      </c>
      <c r="G300">
        <v>361</v>
      </c>
      <c r="H300" t="s">
        <v>19</v>
      </c>
      <c r="I300">
        <v>57815</v>
      </c>
      <c r="J300" t="s">
        <v>20</v>
      </c>
      <c r="K300" t="s">
        <v>929</v>
      </c>
      <c r="L300" t="s">
        <v>930</v>
      </c>
      <c r="M300" t="s">
        <v>59</v>
      </c>
      <c r="N300">
        <v>11</v>
      </c>
      <c r="O300">
        <v>234.7</v>
      </c>
    </row>
    <row r="301" spans="1:15">
      <c r="A301">
        <v>300</v>
      </c>
      <c r="B301" t="s">
        <v>931</v>
      </c>
      <c r="C301" t="s">
        <v>158</v>
      </c>
      <c r="D301" t="s">
        <v>137</v>
      </c>
      <c r="E301">
        <v>44.7</v>
      </c>
      <c r="F301" t="s">
        <v>18</v>
      </c>
      <c r="G301">
        <v>355</v>
      </c>
      <c r="H301" t="s">
        <v>19</v>
      </c>
      <c r="I301">
        <v>17399</v>
      </c>
      <c r="J301" t="s">
        <v>20</v>
      </c>
      <c r="K301" t="s">
        <v>932</v>
      </c>
      <c r="L301" t="s">
        <v>933</v>
      </c>
      <c r="M301" t="s">
        <v>112</v>
      </c>
      <c r="N301">
        <v>14</v>
      </c>
      <c r="O301">
        <v>108.3</v>
      </c>
    </row>
    <row r="302" spans="1:15">
      <c r="A302">
        <v>301</v>
      </c>
      <c r="B302" t="s">
        <v>934</v>
      </c>
      <c r="C302" t="s">
        <v>123</v>
      </c>
      <c r="D302" t="s">
        <v>33</v>
      </c>
      <c r="E302">
        <v>55.7</v>
      </c>
      <c r="F302" t="s">
        <v>41</v>
      </c>
      <c r="G302">
        <v>196</v>
      </c>
      <c r="H302" t="s">
        <v>27</v>
      </c>
      <c r="I302">
        <v>24626</v>
      </c>
      <c r="J302" t="s">
        <v>20</v>
      </c>
      <c r="K302" t="s">
        <v>895</v>
      </c>
      <c r="L302" t="s">
        <v>791</v>
      </c>
      <c r="M302" t="s">
        <v>59</v>
      </c>
      <c r="N302">
        <v>5</v>
      </c>
      <c r="O302">
        <v>166.1</v>
      </c>
    </row>
    <row r="303" spans="1:15">
      <c r="A303">
        <v>302</v>
      </c>
      <c r="B303" t="s">
        <v>935</v>
      </c>
      <c r="C303" t="s">
        <v>16</v>
      </c>
      <c r="D303" t="s">
        <v>40</v>
      </c>
      <c r="E303">
        <v>24.2</v>
      </c>
      <c r="F303" t="s">
        <v>18</v>
      </c>
      <c r="G303">
        <v>84</v>
      </c>
      <c r="H303" t="s">
        <v>19</v>
      </c>
      <c r="I303">
        <v>59600</v>
      </c>
      <c r="J303" t="s">
        <v>20</v>
      </c>
      <c r="K303" t="s">
        <v>936</v>
      </c>
      <c r="L303" t="s">
        <v>595</v>
      </c>
      <c r="N303">
        <v>12</v>
      </c>
      <c r="O303">
        <v>67.2</v>
      </c>
    </row>
    <row r="304" spans="1:15">
      <c r="A304">
        <v>303</v>
      </c>
      <c r="B304" t="s">
        <v>937</v>
      </c>
      <c r="C304" t="s">
        <v>32</v>
      </c>
      <c r="D304" t="s">
        <v>114</v>
      </c>
      <c r="E304">
        <v>94</v>
      </c>
      <c r="F304" t="s">
        <v>26</v>
      </c>
      <c r="G304">
        <v>27</v>
      </c>
      <c r="H304" t="s">
        <v>19</v>
      </c>
      <c r="I304">
        <v>57290</v>
      </c>
      <c r="J304" t="s">
        <v>20</v>
      </c>
      <c r="K304" t="s">
        <v>938</v>
      </c>
      <c r="L304" t="s">
        <v>612</v>
      </c>
      <c r="M304" t="s">
        <v>441</v>
      </c>
      <c r="N304">
        <v>2</v>
      </c>
      <c r="O304">
        <v>308.2</v>
      </c>
    </row>
    <row r="305" spans="1:15">
      <c r="A305">
        <v>304</v>
      </c>
      <c r="B305" t="s">
        <v>939</v>
      </c>
      <c r="C305" t="s">
        <v>123</v>
      </c>
      <c r="D305" t="s">
        <v>33</v>
      </c>
      <c r="E305">
        <v>79.400000000000006</v>
      </c>
      <c r="F305" t="s">
        <v>56</v>
      </c>
      <c r="G305">
        <v>204</v>
      </c>
      <c r="H305" t="s">
        <v>27</v>
      </c>
      <c r="I305">
        <v>56360</v>
      </c>
      <c r="J305" t="s">
        <v>20</v>
      </c>
      <c r="K305" t="s">
        <v>940</v>
      </c>
      <c r="L305" t="s">
        <v>618</v>
      </c>
      <c r="M305" t="s">
        <v>59</v>
      </c>
      <c r="N305">
        <v>4</v>
      </c>
      <c r="O305">
        <v>171.6</v>
      </c>
    </row>
    <row r="306" spans="1:15">
      <c r="A306">
        <v>305</v>
      </c>
      <c r="B306" t="s">
        <v>941</v>
      </c>
      <c r="C306" t="s">
        <v>25</v>
      </c>
      <c r="D306" t="s">
        <v>61</v>
      </c>
      <c r="E306">
        <v>0</v>
      </c>
      <c r="F306" t="s">
        <v>26</v>
      </c>
      <c r="G306">
        <v>104</v>
      </c>
      <c r="H306" t="s">
        <v>27</v>
      </c>
      <c r="I306">
        <v>32375</v>
      </c>
      <c r="J306" t="s">
        <v>20</v>
      </c>
      <c r="K306" t="s">
        <v>942</v>
      </c>
      <c r="L306" t="s">
        <v>943</v>
      </c>
      <c r="M306" t="s">
        <v>121</v>
      </c>
      <c r="N306">
        <v>15</v>
      </c>
      <c r="O306">
        <v>0</v>
      </c>
    </row>
    <row r="307" spans="1:15">
      <c r="A307">
        <v>306</v>
      </c>
      <c r="B307" t="s">
        <v>944</v>
      </c>
      <c r="C307" t="s">
        <v>133</v>
      </c>
      <c r="D307" t="s">
        <v>137</v>
      </c>
      <c r="E307">
        <v>66.5</v>
      </c>
      <c r="F307" t="s">
        <v>26</v>
      </c>
      <c r="G307">
        <v>618</v>
      </c>
      <c r="H307" t="s">
        <v>19</v>
      </c>
      <c r="I307">
        <v>88272</v>
      </c>
      <c r="J307" t="s">
        <v>20</v>
      </c>
      <c r="K307" t="s">
        <v>945</v>
      </c>
      <c r="L307" t="s">
        <v>946</v>
      </c>
      <c r="N307">
        <v>9</v>
      </c>
      <c r="O307">
        <v>191.5</v>
      </c>
    </row>
    <row r="308" spans="1:15">
      <c r="A308">
        <v>307</v>
      </c>
      <c r="B308" t="s">
        <v>947</v>
      </c>
      <c r="C308" t="s">
        <v>158</v>
      </c>
      <c r="D308" t="s">
        <v>33</v>
      </c>
      <c r="E308">
        <v>40.6</v>
      </c>
      <c r="F308" t="s">
        <v>26</v>
      </c>
      <c r="G308">
        <v>257</v>
      </c>
      <c r="H308" t="s">
        <v>19</v>
      </c>
      <c r="I308">
        <v>16517</v>
      </c>
      <c r="J308" t="s">
        <v>20</v>
      </c>
      <c r="K308" t="s">
        <v>948</v>
      </c>
      <c r="L308" t="s">
        <v>949</v>
      </c>
      <c r="M308" t="s">
        <v>117</v>
      </c>
      <c r="N308">
        <v>6</v>
      </c>
      <c r="O308">
        <v>128.4</v>
      </c>
    </row>
    <row r="309" spans="1:15">
      <c r="A309">
        <v>308</v>
      </c>
      <c r="B309" t="s">
        <v>950</v>
      </c>
      <c r="C309" t="s">
        <v>25</v>
      </c>
      <c r="D309" t="s">
        <v>137</v>
      </c>
      <c r="E309">
        <v>56.8</v>
      </c>
      <c r="F309" t="s">
        <v>18</v>
      </c>
      <c r="G309">
        <v>491</v>
      </c>
      <c r="H309" t="s">
        <v>19</v>
      </c>
      <c r="I309">
        <v>102660</v>
      </c>
      <c r="J309" t="s">
        <v>20</v>
      </c>
      <c r="K309" t="s">
        <v>951</v>
      </c>
      <c r="L309" t="s">
        <v>496</v>
      </c>
      <c r="M309" t="s">
        <v>112</v>
      </c>
      <c r="N309">
        <v>18</v>
      </c>
      <c r="O309">
        <v>172.5</v>
      </c>
    </row>
    <row r="310" spans="1:15">
      <c r="A310">
        <v>309</v>
      </c>
      <c r="B310" t="s">
        <v>952</v>
      </c>
      <c r="C310" t="s">
        <v>16</v>
      </c>
      <c r="D310" t="s">
        <v>33</v>
      </c>
      <c r="E310">
        <v>63.5</v>
      </c>
      <c r="F310" t="s">
        <v>26</v>
      </c>
      <c r="G310">
        <v>331</v>
      </c>
      <c r="H310" t="s">
        <v>19</v>
      </c>
      <c r="I310">
        <v>15473</v>
      </c>
      <c r="J310" t="s">
        <v>20</v>
      </c>
      <c r="K310" t="s">
        <v>953</v>
      </c>
      <c r="L310" t="s">
        <v>434</v>
      </c>
      <c r="M310" t="s">
        <v>69</v>
      </c>
      <c r="N310">
        <v>10</v>
      </c>
      <c r="O310">
        <v>184.3</v>
      </c>
    </row>
    <row r="311" spans="1:15">
      <c r="A311">
        <v>310</v>
      </c>
      <c r="B311" t="s">
        <v>954</v>
      </c>
      <c r="C311" t="s">
        <v>39</v>
      </c>
      <c r="D311" t="s">
        <v>114</v>
      </c>
      <c r="E311">
        <v>47.7</v>
      </c>
      <c r="F311" t="s">
        <v>56</v>
      </c>
      <c r="G311">
        <v>115</v>
      </c>
      <c r="H311" t="s">
        <v>19</v>
      </c>
      <c r="I311">
        <v>6820</v>
      </c>
      <c r="J311" t="s">
        <v>20</v>
      </c>
      <c r="K311" t="s">
        <v>955</v>
      </c>
      <c r="L311" t="s">
        <v>956</v>
      </c>
      <c r="M311" t="s">
        <v>117</v>
      </c>
      <c r="N311">
        <v>2</v>
      </c>
      <c r="O311">
        <v>101.7</v>
      </c>
    </row>
    <row r="312" spans="1:15">
      <c r="A312">
        <v>311</v>
      </c>
      <c r="B312" t="s">
        <v>957</v>
      </c>
      <c r="C312" t="s">
        <v>25</v>
      </c>
      <c r="D312" t="s">
        <v>61</v>
      </c>
      <c r="E312">
        <v>0</v>
      </c>
      <c r="F312" t="s">
        <v>18</v>
      </c>
      <c r="G312">
        <v>597</v>
      </c>
      <c r="H312" t="s">
        <v>27</v>
      </c>
      <c r="I312">
        <v>16850</v>
      </c>
      <c r="J312" t="s">
        <v>20</v>
      </c>
      <c r="K312" t="s">
        <v>958</v>
      </c>
      <c r="L312" t="s">
        <v>959</v>
      </c>
      <c r="M312" t="s">
        <v>48</v>
      </c>
      <c r="N312">
        <v>20</v>
      </c>
      <c r="O312">
        <v>0</v>
      </c>
    </row>
    <row r="313" spans="1:15">
      <c r="A313">
        <v>312</v>
      </c>
      <c r="B313" t="s">
        <v>960</v>
      </c>
      <c r="C313" t="s">
        <v>123</v>
      </c>
      <c r="D313" t="s">
        <v>114</v>
      </c>
      <c r="E313">
        <v>22</v>
      </c>
      <c r="F313" t="s">
        <v>62</v>
      </c>
      <c r="G313">
        <v>373</v>
      </c>
      <c r="H313" t="s">
        <v>19</v>
      </c>
      <c r="I313">
        <v>115897</v>
      </c>
      <c r="J313" t="s">
        <v>20</v>
      </c>
      <c r="K313" t="s">
        <v>961</v>
      </c>
      <c r="L313" t="s">
        <v>701</v>
      </c>
      <c r="M313" t="s">
        <v>48</v>
      </c>
      <c r="N313">
        <v>11</v>
      </c>
      <c r="O313">
        <v>70</v>
      </c>
    </row>
    <row r="314" spans="1:15">
      <c r="A314">
        <v>313</v>
      </c>
      <c r="B314" t="s">
        <v>962</v>
      </c>
      <c r="C314" t="s">
        <v>133</v>
      </c>
      <c r="D314" t="s">
        <v>17</v>
      </c>
      <c r="E314">
        <v>9.1</v>
      </c>
      <c r="F314" t="s">
        <v>41</v>
      </c>
      <c r="G314">
        <v>198</v>
      </c>
      <c r="H314" t="s">
        <v>27</v>
      </c>
      <c r="I314">
        <v>25888</v>
      </c>
      <c r="J314" t="s">
        <v>20</v>
      </c>
      <c r="K314" t="s">
        <v>84</v>
      </c>
      <c r="L314" t="s">
        <v>963</v>
      </c>
      <c r="M314" t="s">
        <v>54</v>
      </c>
      <c r="N314">
        <v>17</v>
      </c>
      <c r="O314">
        <v>21.8</v>
      </c>
    </row>
    <row r="315" spans="1:15">
      <c r="A315">
        <v>314</v>
      </c>
      <c r="B315" t="s">
        <v>964</v>
      </c>
      <c r="C315" t="s">
        <v>123</v>
      </c>
      <c r="D315" t="s">
        <v>17</v>
      </c>
      <c r="E315">
        <v>74.7</v>
      </c>
      <c r="F315" t="s">
        <v>56</v>
      </c>
      <c r="G315">
        <v>333</v>
      </c>
      <c r="H315" t="s">
        <v>27</v>
      </c>
      <c r="I315">
        <v>28797</v>
      </c>
      <c r="J315" t="s">
        <v>20</v>
      </c>
      <c r="K315" t="s">
        <v>965</v>
      </c>
      <c r="L315" t="s">
        <v>796</v>
      </c>
      <c r="N315">
        <v>10</v>
      </c>
      <c r="O315">
        <v>153.5</v>
      </c>
    </row>
    <row r="316" spans="1:15">
      <c r="A316">
        <v>315</v>
      </c>
      <c r="B316" t="s">
        <v>966</v>
      </c>
      <c r="C316" t="s">
        <v>16</v>
      </c>
      <c r="D316" t="s">
        <v>137</v>
      </c>
      <c r="E316">
        <v>90</v>
      </c>
      <c r="F316" t="s">
        <v>56</v>
      </c>
      <c r="G316">
        <v>684</v>
      </c>
      <c r="H316" t="s">
        <v>19</v>
      </c>
      <c r="I316">
        <v>112828</v>
      </c>
      <c r="J316" t="s">
        <v>20</v>
      </c>
      <c r="K316" t="s">
        <v>967</v>
      </c>
      <c r="L316" t="s">
        <v>390</v>
      </c>
      <c r="M316" t="s">
        <v>59</v>
      </c>
      <c r="N316">
        <v>13</v>
      </c>
      <c r="O316">
        <v>292.89999999999998</v>
      </c>
    </row>
    <row r="317" spans="1:15">
      <c r="A317">
        <v>316</v>
      </c>
      <c r="B317" t="s">
        <v>968</v>
      </c>
      <c r="C317" t="s">
        <v>158</v>
      </c>
      <c r="D317" t="s">
        <v>33</v>
      </c>
      <c r="E317">
        <v>31.1</v>
      </c>
      <c r="F317" t="s">
        <v>62</v>
      </c>
      <c r="G317">
        <v>331</v>
      </c>
      <c r="H317" t="s">
        <v>19</v>
      </c>
      <c r="I317">
        <v>53670</v>
      </c>
      <c r="J317" t="s">
        <v>20</v>
      </c>
      <c r="K317" t="s">
        <v>969</v>
      </c>
      <c r="L317" t="s">
        <v>970</v>
      </c>
      <c r="M317" t="s">
        <v>117</v>
      </c>
      <c r="N317">
        <v>9</v>
      </c>
      <c r="O317">
        <v>84.2</v>
      </c>
    </row>
    <row r="318" spans="1:15">
      <c r="A318">
        <v>317</v>
      </c>
      <c r="B318" t="s">
        <v>971</v>
      </c>
      <c r="C318" t="s">
        <v>16</v>
      </c>
      <c r="D318" t="s">
        <v>33</v>
      </c>
      <c r="E318">
        <v>17.899999999999999</v>
      </c>
      <c r="F318" t="s">
        <v>26</v>
      </c>
      <c r="G318">
        <v>37</v>
      </c>
      <c r="H318" t="s">
        <v>19</v>
      </c>
      <c r="I318">
        <v>71279</v>
      </c>
      <c r="J318" t="s">
        <v>20</v>
      </c>
      <c r="K318" t="s">
        <v>972</v>
      </c>
      <c r="L318" t="s">
        <v>888</v>
      </c>
      <c r="M318" t="s">
        <v>86</v>
      </c>
      <c r="N318">
        <v>12</v>
      </c>
      <c r="O318">
        <v>55.4</v>
      </c>
    </row>
    <row r="319" spans="1:15">
      <c r="A319">
        <v>318</v>
      </c>
      <c r="B319" t="s">
        <v>973</v>
      </c>
      <c r="C319" t="s">
        <v>39</v>
      </c>
      <c r="D319" t="s">
        <v>137</v>
      </c>
      <c r="E319">
        <v>13.2</v>
      </c>
      <c r="F319" t="s">
        <v>62</v>
      </c>
      <c r="G319">
        <v>478</v>
      </c>
      <c r="H319" t="s">
        <v>27</v>
      </c>
      <c r="I319">
        <v>100007</v>
      </c>
      <c r="J319" t="s">
        <v>20</v>
      </c>
      <c r="K319" t="s">
        <v>974</v>
      </c>
      <c r="L319" t="s">
        <v>975</v>
      </c>
      <c r="M319" t="s">
        <v>54</v>
      </c>
      <c r="N319">
        <v>2</v>
      </c>
      <c r="O319">
        <v>38.9</v>
      </c>
    </row>
    <row r="320" spans="1:15">
      <c r="A320">
        <v>319</v>
      </c>
      <c r="B320" t="s">
        <v>976</v>
      </c>
      <c r="C320" t="s">
        <v>133</v>
      </c>
      <c r="D320" t="s">
        <v>33</v>
      </c>
      <c r="E320">
        <v>63.5</v>
      </c>
      <c r="F320" t="s">
        <v>18</v>
      </c>
      <c r="G320">
        <v>486</v>
      </c>
      <c r="H320" t="s">
        <v>19</v>
      </c>
      <c r="I320">
        <v>10897</v>
      </c>
      <c r="J320" t="s">
        <v>20</v>
      </c>
      <c r="K320" t="s">
        <v>977</v>
      </c>
      <c r="L320" t="s">
        <v>519</v>
      </c>
      <c r="M320" t="s">
        <v>59</v>
      </c>
      <c r="N320">
        <v>20</v>
      </c>
      <c r="O320">
        <v>160.9</v>
      </c>
    </row>
    <row r="321" spans="1:15">
      <c r="A321">
        <v>320</v>
      </c>
      <c r="B321" t="s">
        <v>978</v>
      </c>
      <c r="C321" t="s">
        <v>123</v>
      </c>
      <c r="D321" t="s">
        <v>33</v>
      </c>
      <c r="E321">
        <v>4.5</v>
      </c>
      <c r="F321" t="s">
        <v>41</v>
      </c>
      <c r="G321">
        <v>314</v>
      </c>
      <c r="H321" t="s">
        <v>27</v>
      </c>
      <c r="I321">
        <v>37289</v>
      </c>
      <c r="J321" t="s">
        <v>20</v>
      </c>
      <c r="K321" t="s">
        <v>979</v>
      </c>
      <c r="L321" t="s">
        <v>980</v>
      </c>
      <c r="M321" t="s">
        <v>117</v>
      </c>
      <c r="N321">
        <v>14</v>
      </c>
      <c r="O321">
        <v>13.1</v>
      </c>
    </row>
    <row r="322" spans="1:15">
      <c r="A322">
        <v>321</v>
      </c>
      <c r="B322" t="s">
        <v>981</v>
      </c>
      <c r="C322" t="s">
        <v>39</v>
      </c>
      <c r="D322" t="s">
        <v>17</v>
      </c>
      <c r="E322">
        <v>67</v>
      </c>
      <c r="F322" t="s">
        <v>18</v>
      </c>
      <c r="G322">
        <v>511</v>
      </c>
      <c r="H322" t="s">
        <v>27</v>
      </c>
      <c r="I322">
        <v>41925</v>
      </c>
      <c r="J322" t="s">
        <v>20</v>
      </c>
      <c r="K322" t="s">
        <v>982</v>
      </c>
      <c r="L322" t="s">
        <v>983</v>
      </c>
      <c r="M322" t="s">
        <v>117</v>
      </c>
      <c r="N322">
        <v>17</v>
      </c>
      <c r="O322">
        <v>205</v>
      </c>
    </row>
    <row r="323" spans="1:15">
      <c r="A323">
        <v>322</v>
      </c>
      <c r="B323" t="s">
        <v>984</v>
      </c>
      <c r="C323" t="s">
        <v>133</v>
      </c>
      <c r="D323" t="s">
        <v>33</v>
      </c>
      <c r="E323">
        <v>39.299999999999997</v>
      </c>
      <c r="F323" t="s">
        <v>62</v>
      </c>
      <c r="G323">
        <v>302</v>
      </c>
      <c r="H323" t="s">
        <v>19</v>
      </c>
      <c r="I323">
        <v>90492</v>
      </c>
      <c r="J323" t="s">
        <v>20</v>
      </c>
      <c r="K323" t="s">
        <v>985</v>
      </c>
      <c r="L323" t="s">
        <v>986</v>
      </c>
      <c r="M323" t="s">
        <v>59</v>
      </c>
      <c r="N323">
        <v>8</v>
      </c>
      <c r="O323">
        <v>131.1</v>
      </c>
    </row>
    <row r="324" spans="1:15">
      <c r="A324">
        <v>323</v>
      </c>
      <c r="B324" t="s">
        <v>987</v>
      </c>
      <c r="C324" t="s">
        <v>25</v>
      </c>
      <c r="D324" t="s">
        <v>137</v>
      </c>
      <c r="E324">
        <v>74.400000000000006</v>
      </c>
      <c r="F324" t="s">
        <v>26</v>
      </c>
      <c r="G324">
        <v>287</v>
      </c>
      <c r="H324" t="s">
        <v>19</v>
      </c>
      <c r="I324">
        <v>21497</v>
      </c>
      <c r="J324" t="s">
        <v>20</v>
      </c>
      <c r="K324" t="s">
        <v>988</v>
      </c>
      <c r="L324" t="s">
        <v>989</v>
      </c>
      <c r="M324" t="s">
        <v>54</v>
      </c>
      <c r="N324">
        <v>2</v>
      </c>
      <c r="O324">
        <v>195.5</v>
      </c>
    </row>
    <row r="325" spans="1:15">
      <c r="A325">
        <v>324</v>
      </c>
      <c r="B325" t="s">
        <v>990</v>
      </c>
      <c r="C325" t="s">
        <v>123</v>
      </c>
      <c r="D325" t="s">
        <v>40</v>
      </c>
      <c r="E325">
        <v>99.3</v>
      </c>
      <c r="F325" t="s">
        <v>62</v>
      </c>
      <c r="G325">
        <v>214</v>
      </c>
      <c r="H325" t="s">
        <v>19</v>
      </c>
      <c r="I325">
        <v>47818</v>
      </c>
      <c r="J325" t="s">
        <v>20</v>
      </c>
      <c r="K325" t="s">
        <v>991</v>
      </c>
      <c r="L325" t="s">
        <v>819</v>
      </c>
      <c r="M325" t="s">
        <v>54</v>
      </c>
      <c r="N325">
        <v>19</v>
      </c>
      <c r="O325">
        <v>247.3</v>
      </c>
    </row>
    <row r="326" spans="1:15">
      <c r="A326">
        <v>325</v>
      </c>
      <c r="B326" t="s">
        <v>992</v>
      </c>
      <c r="C326" t="s">
        <v>39</v>
      </c>
      <c r="D326" t="s">
        <v>61</v>
      </c>
      <c r="E326">
        <v>0</v>
      </c>
      <c r="F326" t="s">
        <v>18</v>
      </c>
      <c r="G326">
        <v>319</v>
      </c>
      <c r="H326" t="s">
        <v>27</v>
      </c>
      <c r="I326">
        <v>10643</v>
      </c>
      <c r="J326" t="s">
        <v>20</v>
      </c>
      <c r="K326" t="s">
        <v>993</v>
      </c>
      <c r="L326" t="s">
        <v>994</v>
      </c>
      <c r="M326" t="s">
        <v>48</v>
      </c>
      <c r="N326">
        <v>14</v>
      </c>
      <c r="O326">
        <v>0</v>
      </c>
    </row>
    <row r="327" spans="1:15">
      <c r="A327">
        <v>326</v>
      </c>
      <c r="B327" t="s">
        <v>995</v>
      </c>
      <c r="C327" t="s">
        <v>16</v>
      </c>
      <c r="D327" t="s">
        <v>33</v>
      </c>
      <c r="E327">
        <v>11.8</v>
      </c>
      <c r="F327" t="s">
        <v>41</v>
      </c>
      <c r="G327">
        <v>30</v>
      </c>
      <c r="H327" t="s">
        <v>19</v>
      </c>
      <c r="I327">
        <v>108369</v>
      </c>
      <c r="J327" t="s">
        <v>20</v>
      </c>
      <c r="K327" t="s">
        <v>996</v>
      </c>
      <c r="L327" t="s">
        <v>997</v>
      </c>
      <c r="M327" t="s">
        <v>112</v>
      </c>
      <c r="N327">
        <v>15</v>
      </c>
      <c r="O327">
        <v>26.5</v>
      </c>
    </row>
    <row r="328" spans="1:15">
      <c r="A328">
        <v>327</v>
      </c>
      <c r="B328" t="s">
        <v>998</v>
      </c>
      <c r="C328" t="s">
        <v>50</v>
      </c>
      <c r="D328" t="s">
        <v>40</v>
      </c>
      <c r="E328">
        <v>35.200000000000003</v>
      </c>
      <c r="F328" t="s">
        <v>56</v>
      </c>
      <c r="G328">
        <v>265</v>
      </c>
      <c r="H328" t="s">
        <v>27</v>
      </c>
      <c r="I328">
        <v>28950</v>
      </c>
      <c r="J328" t="s">
        <v>20</v>
      </c>
      <c r="K328" t="s">
        <v>999</v>
      </c>
      <c r="L328" t="s">
        <v>970</v>
      </c>
      <c r="M328" t="s">
        <v>441</v>
      </c>
      <c r="N328">
        <v>17</v>
      </c>
      <c r="O328">
        <v>106.5</v>
      </c>
    </row>
    <row r="329" spans="1:15">
      <c r="A329">
        <v>328</v>
      </c>
      <c r="B329" t="s">
        <v>1000</v>
      </c>
      <c r="C329" t="s">
        <v>158</v>
      </c>
      <c r="D329" t="s">
        <v>33</v>
      </c>
      <c r="E329">
        <v>61.8</v>
      </c>
      <c r="F329" t="s">
        <v>18</v>
      </c>
      <c r="G329">
        <v>657</v>
      </c>
      <c r="H329" t="s">
        <v>19</v>
      </c>
      <c r="I329">
        <v>97828</v>
      </c>
      <c r="J329" t="s">
        <v>20</v>
      </c>
      <c r="K329" t="s">
        <v>1001</v>
      </c>
      <c r="L329" t="s">
        <v>1002</v>
      </c>
      <c r="M329" t="s">
        <v>69</v>
      </c>
      <c r="N329">
        <v>4</v>
      </c>
      <c r="O329">
        <v>176.3</v>
      </c>
    </row>
    <row r="330" spans="1:15">
      <c r="A330">
        <v>329</v>
      </c>
      <c r="B330" t="s">
        <v>1003</v>
      </c>
      <c r="C330" t="s">
        <v>16</v>
      </c>
      <c r="D330" t="s">
        <v>40</v>
      </c>
      <c r="E330">
        <v>21.7</v>
      </c>
      <c r="F330" t="s">
        <v>26</v>
      </c>
      <c r="G330">
        <v>482</v>
      </c>
      <c r="H330" t="s">
        <v>27</v>
      </c>
      <c r="I330">
        <v>52077</v>
      </c>
      <c r="J330" t="s">
        <v>20</v>
      </c>
      <c r="K330" t="s">
        <v>1004</v>
      </c>
      <c r="L330" t="s">
        <v>502</v>
      </c>
      <c r="M330" t="s">
        <v>86</v>
      </c>
      <c r="N330">
        <v>3</v>
      </c>
      <c r="O330">
        <v>61.4</v>
      </c>
    </row>
    <row r="331" spans="1:15">
      <c r="A331">
        <v>330</v>
      </c>
      <c r="B331" t="s">
        <v>207</v>
      </c>
      <c r="C331" t="s">
        <v>123</v>
      </c>
      <c r="D331" t="s">
        <v>17</v>
      </c>
      <c r="E331">
        <v>47.4</v>
      </c>
      <c r="F331" t="s">
        <v>62</v>
      </c>
      <c r="G331">
        <v>135</v>
      </c>
      <c r="H331" t="s">
        <v>27</v>
      </c>
      <c r="I331">
        <v>2366</v>
      </c>
      <c r="J331" t="s">
        <v>20</v>
      </c>
      <c r="K331" t="s">
        <v>1005</v>
      </c>
      <c r="L331" t="s">
        <v>549</v>
      </c>
      <c r="M331" t="s">
        <v>48</v>
      </c>
      <c r="N331">
        <v>18</v>
      </c>
      <c r="O331">
        <v>139.19999999999999</v>
      </c>
    </row>
    <row r="332" spans="1:15">
      <c r="A332">
        <v>331</v>
      </c>
      <c r="B332" t="s">
        <v>1006</v>
      </c>
      <c r="C332" t="s">
        <v>39</v>
      </c>
      <c r="D332" t="s">
        <v>114</v>
      </c>
      <c r="E332">
        <v>9.6999999999999993</v>
      </c>
      <c r="F332" t="s">
        <v>41</v>
      </c>
      <c r="G332">
        <v>24</v>
      </c>
      <c r="H332" t="s">
        <v>19</v>
      </c>
      <c r="I332">
        <v>11631</v>
      </c>
      <c r="J332" t="s">
        <v>20</v>
      </c>
      <c r="K332" t="s">
        <v>1007</v>
      </c>
      <c r="L332" t="s">
        <v>1008</v>
      </c>
      <c r="M332" t="s">
        <v>441</v>
      </c>
      <c r="N332">
        <v>15</v>
      </c>
      <c r="O332">
        <v>31.7</v>
      </c>
    </row>
    <row r="333" spans="1:15">
      <c r="A333">
        <v>332</v>
      </c>
      <c r="B333" t="s">
        <v>1009</v>
      </c>
      <c r="C333" t="s">
        <v>16</v>
      </c>
      <c r="D333" t="s">
        <v>40</v>
      </c>
      <c r="E333">
        <v>32.4</v>
      </c>
      <c r="F333" t="s">
        <v>18</v>
      </c>
      <c r="G333">
        <v>636</v>
      </c>
      <c r="H333" t="s">
        <v>27</v>
      </c>
      <c r="I333">
        <v>16536</v>
      </c>
      <c r="J333" t="s">
        <v>20</v>
      </c>
      <c r="K333" t="s">
        <v>988</v>
      </c>
      <c r="L333" t="s">
        <v>1010</v>
      </c>
      <c r="M333" t="s">
        <v>54</v>
      </c>
      <c r="N333">
        <v>15</v>
      </c>
      <c r="O333">
        <v>100.6</v>
      </c>
    </row>
    <row r="334" spans="1:15">
      <c r="A334">
        <v>333</v>
      </c>
      <c r="B334" t="s">
        <v>1011</v>
      </c>
      <c r="C334" t="s">
        <v>123</v>
      </c>
      <c r="D334" t="s">
        <v>40</v>
      </c>
      <c r="E334">
        <v>40.799999999999997</v>
      </c>
      <c r="F334" t="s">
        <v>62</v>
      </c>
      <c r="G334">
        <v>614</v>
      </c>
      <c r="H334" t="s">
        <v>27</v>
      </c>
      <c r="I334">
        <v>109518</v>
      </c>
      <c r="J334" t="s">
        <v>20</v>
      </c>
      <c r="K334" t="s">
        <v>1012</v>
      </c>
      <c r="L334" t="s">
        <v>1013</v>
      </c>
      <c r="M334" t="s">
        <v>117</v>
      </c>
      <c r="N334">
        <v>10</v>
      </c>
      <c r="O334">
        <v>113.3</v>
      </c>
    </row>
    <row r="335" spans="1:15">
      <c r="A335">
        <v>334</v>
      </c>
      <c r="B335" t="s">
        <v>1014</v>
      </c>
      <c r="C335" t="s">
        <v>158</v>
      </c>
      <c r="D335" t="s">
        <v>114</v>
      </c>
      <c r="E335">
        <v>11.1</v>
      </c>
      <c r="F335" t="s">
        <v>62</v>
      </c>
      <c r="G335">
        <v>577</v>
      </c>
      <c r="H335" t="s">
        <v>27</v>
      </c>
      <c r="I335">
        <v>112060</v>
      </c>
      <c r="J335" t="s">
        <v>20</v>
      </c>
      <c r="K335" t="s">
        <v>1015</v>
      </c>
      <c r="L335" t="s">
        <v>1016</v>
      </c>
      <c r="M335" t="s">
        <v>48</v>
      </c>
      <c r="N335">
        <v>8</v>
      </c>
      <c r="O335">
        <v>26.3</v>
      </c>
    </row>
    <row r="336" spans="1:15">
      <c r="A336">
        <v>335</v>
      </c>
      <c r="B336" t="s">
        <v>1017</v>
      </c>
      <c r="C336" t="s">
        <v>25</v>
      </c>
      <c r="D336" t="s">
        <v>33</v>
      </c>
      <c r="E336">
        <v>62.2</v>
      </c>
      <c r="F336" t="s">
        <v>62</v>
      </c>
      <c r="G336">
        <v>533</v>
      </c>
      <c r="H336" t="s">
        <v>27</v>
      </c>
      <c r="I336">
        <v>11271</v>
      </c>
      <c r="J336" t="s">
        <v>20</v>
      </c>
      <c r="K336" t="s">
        <v>1018</v>
      </c>
      <c r="L336" t="s">
        <v>1019</v>
      </c>
      <c r="M336" t="s">
        <v>59</v>
      </c>
      <c r="N336">
        <v>1</v>
      </c>
      <c r="O336">
        <v>191.9</v>
      </c>
    </row>
    <row r="337" spans="1:15">
      <c r="A337">
        <v>336</v>
      </c>
      <c r="B337" t="s">
        <v>1020</v>
      </c>
      <c r="C337" t="s">
        <v>158</v>
      </c>
      <c r="D337" t="s">
        <v>33</v>
      </c>
      <c r="E337">
        <v>12.9</v>
      </c>
      <c r="F337" t="s">
        <v>41</v>
      </c>
      <c r="G337">
        <v>648</v>
      </c>
      <c r="H337" t="s">
        <v>19</v>
      </c>
      <c r="I337">
        <v>54992</v>
      </c>
      <c r="J337" t="s">
        <v>20</v>
      </c>
      <c r="K337" t="s">
        <v>1021</v>
      </c>
      <c r="L337" t="s">
        <v>1022</v>
      </c>
      <c r="M337" t="s">
        <v>48</v>
      </c>
      <c r="N337">
        <v>8</v>
      </c>
      <c r="O337">
        <v>34.700000000000003</v>
      </c>
    </row>
    <row r="338" spans="1:15">
      <c r="A338">
        <v>337</v>
      </c>
      <c r="B338" t="s">
        <v>835</v>
      </c>
      <c r="C338" t="s">
        <v>16</v>
      </c>
      <c r="D338" t="s">
        <v>114</v>
      </c>
      <c r="E338">
        <v>65</v>
      </c>
      <c r="F338" t="s">
        <v>26</v>
      </c>
      <c r="G338">
        <v>283</v>
      </c>
      <c r="H338" t="s">
        <v>19</v>
      </c>
      <c r="I338">
        <v>72859</v>
      </c>
      <c r="J338" t="s">
        <v>20</v>
      </c>
      <c r="K338" t="s">
        <v>484</v>
      </c>
      <c r="L338" t="s">
        <v>1023</v>
      </c>
      <c r="M338" t="s">
        <v>54</v>
      </c>
      <c r="N338">
        <v>18</v>
      </c>
      <c r="O338">
        <v>170.8</v>
      </c>
    </row>
    <row r="339" spans="1:15">
      <c r="A339">
        <v>338</v>
      </c>
      <c r="B339" t="s">
        <v>1024</v>
      </c>
      <c r="C339" t="s">
        <v>123</v>
      </c>
      <c r="D339" t="s">
        <v>61</v>
      </c>
      <c r="E339">
        <v>0</v>
      </c>
      <c r="F339" t="s">
        <v>62</v>
      </c>
      <c r="G339">
        <v>425</v>
      </c>
      <c r="H339" t="s">
        <v>19</v>
      </c>
      <c r="I339">
        <v>116680</v>
      </c>
      <c r="J339" t="s">
        <v>20</v>
      </c>
      <c r="K339" t="s">
        <v>1025</v>
      </c>
      <c r="L339" t="s">
        <v>1026</v>
      </c>
      <c r="M339" t="s">
        <v>112</v>
      </c>
      <c r="N339">
        <v>1</v>
      </c>
      <c r="O339">
        <v>0</v>
      </c>
    </row>
    <row r="340" spans="1:15">
      <c r="A340">
        <v>339</v>
      </c>
      <c r="B340" t="s">
        <v>334</v>
      </c>
      <c r="C340" t="s">
        <v>123</v>
      </c>
      <c r="D340" t="s">
        <v>40</v>
      </c>
      <c r="E340">
        <v>6.9</v>
      </c>
      <c r="F340" t="s">
        <v>62</v>
      </c>
      <c r="G340">
        <v>401</v>
      </c>
      <c r="H340" t="s">
        <v>27</v>
      </c>
      <c r="I340">
        <v>44560</v>
      </c>
      <c r="J340" t="s">
        <v>20</v>
      </c>
      <c r="K340" t="s">
        <v>1027</v>
      </c>
      <c r="L340" t="s">
        <v>1028</v>
      </c>
      <c r="M340" t="s">
        <v>69</v>
      </c>
      <c r="N340">
        <v>1</v>
      </c>
      <c r="O340">
        <v>18.3</v>
      </c>
    </row>
    <row r="341" spans="1:15">
      <c r="A341">
        <v>340</v>
      </c>
      <c r="B341" t="s">
        <v>1029</v>
      </c>
      <c r="C341" t="s">
        <v>39</v>
      </c>
      <c r="D341" t="s">
        <v>114</v>
      </c>
      <c r="E341">
        <v>67</v>
      </c>
      <c r="F341" t="s">
        <v>18</v>
      </c>
      <c r="G341">
        <v>645</v>
      </c>
      <c r="H341" t="s">
        <v>19</v>
      </c>
      <c r="I341">
        <v>103706</v>
      </c>
      <c r="J341" t="s">
        <v>20</v>
      </c>
      <c r="K341" t="s">
        <v>228</v>
      </c>
      <c r="L341" t="s">
        <v>1030</v>
      </c>
      <c r="M341" t="s">
        <v>117</v>
      </c>
      <c r="N341">
        <v>19</v>
      </c>
      <c r="O341">
        <v>174.4</v>
      </c>
    </row>
    <row r="342" spans="1:15">
      <c r="A342">
        <v>341</v>
      </c>
      <c r="B342" t="s">
        <v>1031</v>
      </c>
      <c r="C342" t="s">
        <v>39</v>
      </c>
      <c r="D342" t="s">
        <v>40</v>
      </c>
      <c r="E342">
        <v>4.3</v>
      </c>
      <c r="F342" t="s">
        <v>56</v>
      </c>
      <c r="G342">
        <v>416</v>
      </c>
      <c r="H342" t="s">
        <v>19</v>
      </c>
      <c r="I342">
        <v>9073</v>
      </c>
      <c r="J342" t="s">
        <v>20</v>
      </c>
      <c r="K342" t="s">
        <v>1032</v>
      </c>
      <c r="L342" t="s">
        <v>1033</v>
      </c>
      <c r="M342" t="s">
        <v>112</v>
      </c>
      <c r="N342">
        <v>14</v>
      </c>
      <c r="O342">
        <v>11.2</v>
      </c>
    </row>
    <row r="343" spans="1:15">
      <c r="A343">
        <v>342</v>
      </c>
      <c r="B343" t="s">
        <v>742</v>
      </c>
      <c r="C343" t="s">
        <v>25</v>
      </c>
      <c r="D343" t="s">
        <v>61</v>
      </c>
      <c r="E343">
        <v>0</v>
      </c>
      <c r="F343" t="s">
        <v>41</v>
      </c>
      <c r="G343">
        <v>333</v>
      </c>
      <c r="H343" t="s">
        <v>19</v>
      </c>
      <c r="I343">
        <v>46650</v>
      </c>
      <c r="J343" t="s">
        <v>20</v>
      </c>
      <c r="K343" t="s">
        <v>1034</v>
      </c>
      <c r="L343" t="s">
        <v>655</v>
      </c>
      <c r="N343">
        <v>19</v>
      </c>
      <c r="O343">
        <v>0</v>
      </c>
    </row>
    <row r="344" spans="1:15">
      <c r="A344">
        <v>343</v>
      </c>
      <c r="B344" t="s">
        <v>1035</v>
      </c>
      <c r="C344" t="s">
        <v>32</v>
      </c>
      <c r="D344" t="s">
        <v>61</v>
      </c>
      <c r="E344">
        <v>0</v>
      </c>
      <c r="F344" t="s">
        <v>26</v>
      </c>
      <c r="G344">
        <v>452</v>
      </c>
      <c r="H344" t="s">
        <v>27</v>
      </c>
      <c r="I344">
        <v>112534</v>
      </c>
      <c r="J344" t="s">
        <v>20</v>
      </c>
      <c r="K344" t="s">
        <v>1036</v>
      </c>
      <c r="L344" t="s">
        <v>1037</v>
      </c>
      <c r="M344" t="s">
        <v>48</v>
      </c>
      <c r="N344">
        <v>7</v>
      </c>
      <c r="O344">
        <v>0</v>
      </c>
    </row>
    <row r="345" spans="1:15">
      <c r="A345">
        <v>344</v>
      </c>
      <c r="B345" t="s">
        <v>1038</v>
      </c>
      <c r="C345" t="s">
        <v>123</v>
      </c>
      <c r="D345" t="s">
        <v>40</v>
      </c>
      <c r="E345">
        <v>73.900000000000006</v>
      </c>
      <c r="F345" t="s">
        <v>56</v>
      </c>
      <c r="G345">
        <v>378</v>
      </c>
      <c r="H345" t="s">
        <v>27</v>
      </c>
      <c r="I345">
        <v>97362</v>
      </c>
      <c r="J345" t="s">
        <v>20</v>
      </c>
      <c r="K345" t="s">
        <v>1039</v>
      </c>
      <c r="L345" t="s">
        <v>642</v>
      </c>
      <c r="M345" t="s">
        <v>441</v>
      </c>
      <c r="N345">
        <v>3</v>
      </c>
      <c r="O345">
        <v>183.9</v>
      </c>
    </row>
    <row r="346" spans="1:15">
      <c r="A346">
        <v>345</v>
      </c>
      <c r="B346" t="s">
        <v>1040</v>
      </c>
      <c r="C346" t="s">
        <v>123</v>
      </c>
      <c r="D346" t="s">
        <v>114</v>
      </c>
      <c r="E346">
        <v>10.5</v>
      </c>
      <c r="F346" t="s">
        <v>56</v>
      </c>
      <c r="G346">
        <v>414</v>
      </c>
      <c r="H346" t="s">
        <v>19</v>
      </c>
      <c r="I346">
        <v>81002</v>
      </c>
      <c r="J346" t="s">
        <v>20</v>
      </c>
      <c r="K346" t="s">
        <v>1041</v>
      </c>
      <c r="L346" t="s">
        <v>896</v>
      </c>
      <c r="M346" t="s">
        <v>441</v>
      </c>
      <c r="N346">
        <v>2</v>
      </c>
      <c r="O346">
        <v>28.7</v>
      </c>
    </row>
    <row r="347" spans="1:15">
      <c r="A347">
        <v>346</v>
      </c>
      <c r="B347" t="s">
        <v>1042</v>
      </c>
      <c r="C347" t="s">
        <v>32</v>
      </c>
      <c r="D347" t="s">
        <v>33</v>
      </c>
      <c r="E347">
        <v>57.2</v>
      </c>
      <c r="F347" t="s">
        <v>18</v>
      </c>
      <c r="G347">
        <v>494</v>
      </c>
      <c r="H347" t="s">
        <v>19</v>
      </c>
      <c r="I347">
        <v>3163</v>
      </c>
      <c r="J347" t="s">
        <v>20</v>
      </c>
      <c r="K347" t="s">
        <v>1043</v>
      </c>
      <c r="L347" t="s">
        <v>1044</v>
      </c>
      <c r="M347" t="s">
        <v>121</v>
      </c>
      <c r="N347">
        <v>19</v>
      </c>
      <c r="O347">
        <v>144.80000000000001</v>
      </c>
    </row>
    <row r="348" spans="1:15">
      <c r="A348">
        <v>347</v>
      </c>
      <c r="B348" t="s">
        <v>1045</v>
      </c>
      <c r="C348" t="s">
        <v>158</v>
      </c>
      <c r="D348" t="s">
        <v>137</v>
      </c>
      <c r="E348">
        <v>99</v>
      </c>
      <c r="F348" t="s">
        <v>56</v>
      </c>
      <c r="G348">
        <v>662</v>
      </c>
      <c r="H348" t="s">
        <v>27</v>
      </c>
      <c r="I348">
        <v>104054</v>
      </c>
      <c r="J348" t="s">
        <v>20</v>
      </c>
      <c r="K348" t="s">
        <v>1046</v>
      </c>
      <c r="L348" t="s">
        <v>1047</v>
      </c>
      <c r="M348" t="s">
        <v>69</v>
      </c>
      <c r="N348">
        <v>15</v>
      </c>
      <c r="O348">
        <v>218.1</v>
      </c>
    </row>
    <row r="349" spans="1:15">
      <c r="A349">
        <v>348</v>
      </c>
      <c r="B349" t="s">
        <v>1048</v>
      </c>
      <c r="C349" t="s">
        <v>39</v>
      </c>
      <c r="D349" t="s">
        <v>40</v>
      </c>
      <c r="E349">
        <v>83.7</v>
      </c>
      <c r="F349" t="s">
        <v>62</v>
      </c>
      <c r="G349">
        <v>428</v>
      </c>
      <c r="H349" t="s">
        <v>19</v>
      </c>
      <c r="I349">
        <v>56259</v>
      </c>
      <c r="J349" t="s">
        <v>20</v>
      </c>
      <c r="K349" t="s">
        <v>1049</v>
      </c>
      <c r="L349" t="s">
        <v>1050</v>
      </c>
      <c r="M349" t="s">
        <v>112</v>
      </c>
      <c r="N349">
        <v>7</v>
      </c>
      <c r="O349">
        <v>176.6</v>
      </c>
    </row>
    <row r="350" spans="1:15">
      <c r="A350">
        <v>349</v>
      </c>
      <c r="B350" t="s">
        <v>1051</v>
      </c>
      <c r="C350" t="s">
        <v>158</v>
      </c>
      <c r="D350" t="s">
        <v>40</v>
      </c>
      <c r="E350">
        <v>93.4</v>
      </c>
      <c r="F350" t="s">
        <v>26</v>
      </c>
      <c r="G350">
        <v>653</v>
      </c>
      <c r="H350" t="s">
        <v>27</v>
      </c>
      <c r="I350">
        <v>66651</v>
      </c>
      <c r="J350" t="s">
        <v>20</v>
      </c>
      <c r="K350" t="s">
        <v>1052</v>
      </c>
      <c r="L350" t="s">
        <v>621</v>
      </c>
      <c r="M350" t="s">
        <v>112</v>
      </c>
      <c r="N350">
        <v>1</v>
      </c>
      <c r="O350">
        <v>320.2</v>
      </c>
    </row>
    <row r="351" spans="1:15">
      <c r="A351">
        <v>350</v>
      </c>
      <c r="B351" t="s">
        <v>1053</v>
      </c>
      <c r="C351" t="s">
        <v>39</v>
      </c>
      <c r="D351" t="s">
        <v>33</v>
      </c>
      <c r="E351">
        <v>18.8</v>
      </c>
      <c r="F351" t="s">
        <v>26</v>
      </c>
      <c r="G351">
        <v>200</v>
      </c>
      <c r="H351" t="s">
        <v>27</v>
      </c>
      <c r="I351">
        <v>10466</v>
      </c>
      <c r="J351" t="s">
        <v>20</v>
      </c>
      <c r="K351" t="s">
        <v>1054</v>
      </c>
      <c r="L351" t="s">
        <v>1055</v>
      </c>
      <c r="N351">
        <v>15</v>
      </c>
      <c r="O351">
        <v>47.3</v>
      </c>
    </row>
    <row r="352" spans="1:15">
      <c r="A352">
        <v>351</v>
      </c>
      <c r="B352" t="s">
        <v>553</v>
      </c>
      <c r="C352" t="s">
        <v>158</v>
      </c>
      <c r="D352" t="s">
        <v>17</v>
      </c>
      <c r="E352">
        <v>21.4</v>
      </c>
      <c r="F352" t="s">
        <v>56</v>
      </c>
      <c r="G352">
        <v>459</v>
      </c>
      <c r="H352" t="s">
        <v>27</v>
      </c>
      <c r="I352">
        <v>7360</v>
      </c>
      <c r="J352" t="s">
        <v>20</v>
      </c>
      <c r="K352" t="s">
        <v>1056</v>
      </c>
      <c r="L352" t="s">
        <v>822</v>
      </c>
      <c r="M352" t="s">
        <v>441</v>
      </c>
      <c r="N352">
        <v>14</v>
      </c>
      <c r="O352">
        <v>54.1</v>
      </c>
    </row>
    <row r="353" spans="1:15">
      <c r="A353">
        <v>352</v>
      </c>
      <c r="B353" t="s">
        <v>1057</v>
      </c>
      <c r="C353" t="s">
        <v>25</v>
      </c>
      <c r="D353" t="s">
        <v>33</v>
      </c>
      <c r="E353">
        <v>51.1</v>
      </c>
      <c r="F353" t="s">
        <v>18</v>
      </c>
      <c r="G353">
        <v>568</v>
      </c>
      <c r="H353" t="s">
        <v>27</v>
      </c>
      <c r="I353">
        <v>20520</v>
      </c>
      <c r="J353" t="s">
        <v>20</v>
      </c>
      <c r="K353" t="s">
        <v>1058</v>
      </c>
      <c r="L353" t="s">
        <v>1059</v>
      </c>
      <c r="M353" t="s">
        <v>48</v>
      </c>
      <c r="N353">
        <v>4</v>
      </c>
      <c r="O353">
        <v>143</v>
      </c>
    </row>
    <row r="354" spans="1:15">
      <c r="A354">
        <v>353</v>
      </c>
      <c r="B354" t="s">
        <v>1060</v>
      </c>
      <c r="C354" t="s">
        <v>133</v>
      </c>
      <c r="D354" t="s">
        <v>17</v>
      </c>
      <c r="E354">
        <v>24.1</v>
      </c>
      <c r="F354" t="s">
        <v>26</v>
      </c>
      <c r="G354">
        <v>531</v>
      </c>
      <c r="H354" t="s">
        <v>19</v>
      </c>
      <c r="I354">
        <v>22595</v>
      </c>
      <c r="J354" t="s">
        <v>20</v>
      </c>
      <c r="K354" t="s">
        <v>346</v>
      </c>
      <c r="L354" t="s">
        <v>1061</v>
      </c>
      <c r="N354">
        <v>9</v>
      </c>
      <c r="O354">
        <v>58</v>
      </c>
    </row>
    <row r="355" spans="1:15">
      <c r="A355">
        <v>354</v>
      </c>
      <c r="B355" t="s">
        <v>1062</v>
      </c>
      <c r="C355" t="s">
        <v>158</v>
      </c>
      <c r="D355" t="s">
        <v>40</v>
      </c>
      <c r="E355">
        <v>70.599999999999994</v>
      </c>
      <c r="F355" t="s">
        <v>62</v>
      </c>
      <c r="G355">
        <v>343</v>
      </c>
      <c r="H355" t="s">
        <v>19</v>
      </c>
      <c r="I355">
        <v>36636</v>
      </c>
      <c r="J355" t="s">
        <v>20</v>
      </c>
      <c r="K355" t="s">
        <v>650</v>
      </c>
      <c r="L355" t="s">
        <v>1013</v>
      </c>
      <c r="M355" t="s">
        <v>121</v>
      </c>
      <c r="N355">
        <v>10</v>
      </c>
      <c r="O355">
        <v>224</v>
      </c>
    </row>
    <row r="356" spans="1:15">
      <c r="A356">
        <v>355</v>
      </c>
      <c r="B356" t="s">
        <v>1063</v>
      </c>
      <c r="C356" t="s">
        <v>39</v>
      </c>
      <c r="D356" t="s">
        <v>40</v>
      </c>
      <c r="E356">
        <v>57.2</v>
      </c>
      <c r="F356" t="s">
        <v>18</v>
      </c>
      <c r="G356">
        <v>320</v>
      </c>
      <c r="H356" t="s">
        <v>27</v>
      </c>
      <c r="I356">
        <v>74570</v>
      </c>
      <c r="J356" t="s">
        <v>20</v>
      </c>
      <c r="K356" t="s">
        <v>1064</v>
      </c>
      <c r="L356" t="s">
        <v>1065</v>
      </c>
      <c r="M356" t="s">
        <v>69</v>
      </c>
      <c r="N356">
        <v>9</v>
      </c>
      <c r="O356">
        <v>193.8</v>
      </c>
    </row>
    <row r="357" spans="1:15">
      <c r="A357">
        <v>356</v>
      </c>
      <c r="B357" t="s">
        <v>1066</v>
      </c>
      <c r="C357" t="s">
        <v>50</v>
      </c>
      <c r="D357" t="s">
        <v>137</v>
      </c>
      <c r="E357">
        <v>60.2</v>
      </c>
      <c r="F357" t="s">
        <v>56</v>
      </c>
      <c r="G357">
        <v>319</v>
      </c>
      <c r="H357" t="s">
        <v>19</v>
      </c>
      <c r="I357">
        <v>68113</v>
      </c>
      <c r="J357" t="s">
        <v>20</v>
      </c>
      <c r="K357" t="s">
        <v>1067</v>
      </c>
      <c r="L357" t="s">
        <v>1068</v>
      </c>
      <c r="M357" t="s">
        <v>117</v>
      </c>
      <c r="N357">
        <v>6</v>
      </c>
      <c r="O357">
        <v>196.1</v>
      </c>
    </row>
    <row r="358" spans="1:15">
      <c r="A358">
        <v>357</v>
      </c>
      <c r="B358" t="s">
        <v>1069</v>
      </c>
      <c r="C358" t="s">
        <v>16</v>
      </c>
      <c r="D358" t="s">
        <v>17</v>
      </c>
      <c r="E358">
        <v>63.1</v>
      </c>
      <c r="F358" t="s">
        <v>41</v>
      </c>
      <c r="G358">
        <v>592</v>
      </c>
      <c r="H358" t="s">
        <v>19</v>
      </c>
      <c r="I358">
        <v>36129</v>
      </c>
      <c r="J358" t="s">
        <v>20</v>
      </c>
      <c r="K358" t="s">
        <v>1070</v>
      </c>
      <c r="L358" t="s">
        <v>1071</v>
      </c>
      <c r="M358" t="s">
        <v>54</v>
      </c>
      <c r="N358">
        <v>11</v>
      </c>
      <c r="O358">
        <v>219.4</v>
      </c>
    </row>
    <row r="359" spans="1:15">
      <c r="A359">
        <v>358</v>
      </c>
      <c r="B359" t="s">
        <v>1072</v>
      </c>
      <c r="C359" t="s">
        <v>133</v>
      </c>
      <c r="D359" t="s">
        <v>17</v>
      </c>
      <c r="E359">
        <v>52.7</v>
      </c>
      <c r="F359" t="s">
        <v>26</v>
      </c>
      <c r="G359">
        <v>91</v>
      </c>
      <c r="H359" t="s">
        <v>27</v>
      </c>
      <c r="I359">
        <v>98236</v>
      </c>
      <c r="J359" t="s">
        <v>20</v>
      </c>
      <c r="K359" t="s">
        <v>1073</v>
      </c>
      <c r="L359" t="s">
        <v>1074</v>
      </c>
      <c r="M359" t="s">
        <v>86</v>
      </c>
      <c r="N359">
        <v>11</v>
      </c>
      <c r="O359">
        <v>132.80000000000001</v>
      </c>
    </row>
    <row r="360" spans="1:15">
      <c r="A360">
        <v>359</v>
      </c>
      <c r="B360" t="s">
        <v>731</v>
      </c>
      <c r="C360" t="s">
        <v>158</v>
      </c>
      <c r="D360" t="s">
        <v>40</v>
      </c>
      <c r="E360">
        <v>7.4</v>
      </c>
      <c r="F360" t="s">
        <v>41</v>
      </c>
      <c r="G360">
        <v>225</v>
      </c>
      <c r="H360" t="s">
        <v>19</v>
      </c>
      <c r="I360">
        <v>119233</v>
      </c>
      <c r="J360" t="s">
        <v>20</v>
      </c>
      <c r="K360" t="s">
        <v>1075</v>
      </c>
      <c r="L360" t="s">
        <v>1076</v>
      </c>
      <c r="M360" t="s">
        <v>441</v>
      </c>
      <c r="N360">
        <v>20</v>
      </c>
      <c r="O360">
        <v>16.100000000000001</v>
      </c>
    </row>
    <row r="361" spans="1:15">
      <c r="A361">
        <v>360</v>
      </c>
      <c r="B361" t="s">
        <v>619</v>
      </c>
      <c r="C361" t="s">
        <v>50</v>
      </c>
      <c r="D361" t="s">
        <v>40</v>
      </c>
      <c r="E361">
        <v>67.599999999999994</v>
      </c>
      <c r="F361" t="s">
        <v>26</v>
      </c>
      <c r="G361">
        <v>368</v>
      </c>
      <c r="H361" t="s">
        <v>19</v>
      </c>
      <c r="I361">
        <v>49832</v>
      </c>
      <c r="J361" t="s">
        <v>20</v>
      </c>
      <c r="K361" t="s">
        <v>1077</v>
      </c>
      <c r="L361" t="s">
        <v>1078</v>
      </c>
      <c r="M361" t="s">
        <v>121</v>
      </c>
      <c r="N361">
        <v>4</v>
      </c>
      <c r="O361">
        <v>168.7</v>
      </c>
    </row>
    <row r="362" spans="1:15">
      <c r="A362">
        <v>361</v>
      </c>
      <c r="B362" t="s">
        <v>1079</v>
      </c>
      <c r="C362" t="s">
        <v>133</v>
      </c>
      <c r="D362" t="s">
        <v>40</v>
      </c>
      <c r="E362">
        <v>61.2</v>
      </c>
      <c r="F362" t="s">
        <v>26</v>
      </c>
      <c r="G362">
        <v>669</v>
      </c>
      <c r="H362" t="s">
        <v>19</v>
      </c>
      <c r="I362">
        <v>38016</v>
      </c>
      <c r="J362" t="s">
        <v>20</v>
      </c>
      <c r="K362" t="s">
        <v>1080</v>
      </c>
      <c r="L362" t="s">
        <v>788</v>
      </c>
      <c r="N362">
        <v>5</v>
      </c>
      <c r="O362">
        <v>193.6</v>
      </c>
    </row>
    <row r="363" spans="1:15">
      <c r="A363">
        <v>362</v>
      </c>
      <c r="B363" t="s">
        <v>1081</v>
      </c>
      <c r="C363" t="s">
        <v>158</v>
      </c>
      <c r="D363" t="s">
        <v>33</v>
      </c>
      <c r="E363">
        <v>22.9</v>
      </c>
      <c r="F363" t="s">
        <v>26</v>
      </c>
      <c r="G363">
        <v>412</v>
      </c>
      <c r="H363" t="s">
        <v>27</v>
      </c>
      <c r="I363">
        <v>83224</v>
      </c>
      <c r="J363" t="s">
        <v>20</v>
      </c>
      <c r="K363" t="s">
        <v>1082</v>
      </c>
      <c r="L363" t="s">
        <v>496</v>
      </c>
      <c r="M363" t="s">
        <v>441</v>
      </c>
      <c r="N363">
        <v>2</v>
      </c>
      <c r="O363">
        <v>52.2</v>
      </c>
    </row>
    <row r="364" spans="1:15">
      <c r="A364">
        <v>363</v>
      </c>
      <c r="B364" t="s">
        <v>1083</v>
      </c>
      <c r="C364" t="s">
        <v>133</v>
      </c>
      <c r="D364" t="s">
        <v>61</v>
      </c>
      <c r="E364">
        <v>0</v>
      </c>
      <c r="F364" t="s">
        <v>56</v>
      </c>
      <c r="G364">
        <v>164</v>
      </c>
      <c r="H364" t="s">
        <v>27</v>
      </c>
      <c r="I364">
        <v>117144</v>
      </c>
      <c r="J364" t="s">
        <v>20</v>
      </c>
      <c r="K364" t="s">
        <v>1084</v>
      </c>
      <c r="L364" t="s">
        <v>1085</v>
      </c>
      <c r="M364" t="s">
        <v>59</v>
      </c>
      <c r="N364">
        <v>15</v>
      </c>
      <c r="O364">
        <v>0</v>
      </c>
    </row>
    <row r="365" spans="1:15">
      <c r="A365">
        <v>364</v>
      </c>
      <c r="B365" t="s">
        <v>1086</v>
      </c>
      <c r="C365" t="s">
        <v>123</v>
      </c>
      <c r="D365" t="s">
        <v>114</v>
      </c>
      <c r="E365">
        <v>84.4</v>
      </c>
      <c r="F365" t="s">
        <v>62</v>
      </c>
      <c r="G365">
        <v>56</v>
      </c>
      <c r="H365" t="s">
        <v>27</v>
      </c>
      <c r="I365">
        <v>71760</v>
      </c>
      <c r="J365" t="s">
        <v>20</v>
      </c>
      <c r="K365" t="s">
        <v>1077</v>
      </c>
      <c r="L365" t="s">
        <v>788</v>
      </c>
      <c r="M365" t="s">
        <v>48</v>
      </c>
      <c r="N365">
        <v>3</v>
      </c>
      <c r="O365">
        <v>271.8</v>
      </c>
    </row>
    <row r="366" spans="1:15">
      <c r="A366">
        <v>365</v>
      </c>
      <c r="B366" t="s">
        <v>1087</v>
      </c>
      <c r="C366" t="s">
        <v>16</v>
      </c>
      <c r="D366" t="s">
        <v>61</v>
      </c>
      <c r="E366">
        <v>0</v>
      </c>
      <c r="F366" t="s">
        <v>56</v>
      </c>
      <c r="G366">
        <v>500</v>
      </c>
      <c r="H366" t="s">
        <v>27</v>
      </c>
      <c r="I366">
        <v>31470</v>
      </c>
      <c r="J366" t="s">
        <v>20</v>
      </c>
      <c r="K366" t="s">
        <v>463</v>
      </c>
      <c r="L366" t="s">
        <v>915</v>
      </c>
      <c r="M366" t="s">
        <v>69</v>
      </c>
      <c r="N366">
        <v>8</v>
      </c>
      <c r="O366">
        <v>0</v>
      </c>
    </row>
    <row r="367" spans="1:15">
      <c r="A367">
        <v>366</v>
      </c>
      <c r="B367" t="s">
        <v>1088</v>
      </c>
      <c r="C367" t="s">
        <v>133</v>
      </c>
      <c r="D367" t="s">
        <v>17</v>
      </c>
      <c r="E367">
        <v>18.100000000000001</v>
      </c>
      <c r="F367" t="s">
        <v>18</v>
      </c>
      <c r="G367">
        <v>82</v>
      </c>
      <c r="H367" t="s">
        <v>27</v>
      </c>
      <c r="I367">
        <v>114288</v>
      </c>
      <c r="J367" t="s">
        <v>20</v>
      </c>
      <c r="K367" t="s">
        <v>1089</v>
      </c>
      <c r="L367" t="s">
        <v>1090</v>
      </c>
      <c r="M367" t="s">
        <v>54</v>
      </c>
      <c r="N367">
        <v>8</v>
      </c>
      <c r="O367">
        <v>41.9</v>
      </c>
    </row>
    <row r="368" spans="1:15">
      <c r="A368">
        <v>367</v>
      </c>
      <c r="B368" t="s">
        <v>1091</v>
      </c>
      <c r="C368" t="s">
        <v>16</v>
      </c>
      <c r="D368" t="s">
        <v>137</v>
      </c>
      <c r="E368">
        <v>17.5</v>
      </c>
      <c r="F368" t="s">
        <v>62</v>
      </c>
      <c r="G368">
        <v>66</v>
      </c>
      <c r="H368" t="s">
        <v>19</v>
      </c>
      <c r="I368">
        <v>119142</v>
      </c>
      <c r="J368" t="s">
        <v>20</v>
      </c>
      <c r="K368" t="s">
        <v>1092</v>
      </c>
      <c r="L368" t="s">
        <v>1093</v>
      </c>
      <c r="M368" t="s">
        <v>59</v>
      </c>
      <c r="N368">
        <v>19</v>
      </c>
      <c r="O368">
        <v>36.799999999999997</v>
      </c>
    </row>
    <row r="369" spans="1:15">
      <c r="A369">
        <v>368</v>
      </c>
      <c r="B369" t="s">
        <v>1094</v>
      </c>
      <c r="C369" t="s">
        <v>158</v>
      </c>
      <c r="D369" t="s">
        <v>33</v>
      </c>
      <c r="E369">
        <v>31.9</v>
      </c>
      <c r="F369" t="s">
        <v>18</v>
      </c>
      <c r="G369">
        <v>479</v>
      </c>
      <c r="H369" t="s">
        <v>19</v>
      </c>
      <c r="I369">
        <v>84023</v>
      </c>
      <c r="J369" t="s">
        <v>20</v>
      </c>
      <c r="K369" t="s">
        <v>1095</v>
      </c>
      <c r="L369" t="s">
        <v>74</v>
      </c>
      <c r="M369" t="s">
        <v>69</v>
      </c>
      <c r="N369">
        <v>16</v>
      </c>
      <c r="O369">
        <v>66</v>
      </c>
    </row>
    <row r="370" spans="1:15">
      <c r="A370">
        <v>369</v>
      </c>
      <c r="B370" t="s">
        <v>1096</v>
      </c>
      <c r="C370" t="s">
        <v>16</v>
      </c>
      <c r="D370" t="s">
        <v>137</v>
      </c>
      <c r="E370">
        <v>90.8</v>
      </c>
      <c r="F370" t="s">
        <v>62</v>
      </c>
      <c r="G370">
        <v>597</v>
      </c>
      <c r="H370" t="s">
        <v>27</v>
      </c>
      <c r="I370">
        <v>59275</v>
      </c>
      <c r="J370" t="s">
        <v>20</v>
      </c>
      <c r="K370" t="s">
        <v>1097</v>
      </c>
      <c r="L370" t="s">
        <v>1098</v>
      </c>
      <c r="M370" t="s">
        <v>121</v>
      </c>
      <c r="N370">
        <v>5</v>
      </c>
      <c r="O370">
        <v>310.60000000000002</v>
      </c>
    </row>
    <row r="371" spans="1:15">
      <c r="A371">
        <v>370</v>
      </c>
      <c r="B371" t="s">
        <v>1099</v>
      </c>
      <c r="C371" t="s">
        <v>158</v>
      </c>
      <c r="D371" t="s">
        <v>137</v>
      </c>
      <c r="E371">
        <v>41.4</v>
      </c>
      <c r="F371" t="s">
        <v>41</v>
      </c>
      <c r="G371">
        <v>505</v>
      </c>
      <c r="H371" t="s">
        <v>27</v>
      </c>
      <c r="I371">
        <v>83546</v>
      </c>
      <c r="J371" t="s">
        <v>20</v>
      </c>
      <c r="K371" t="s">
        <v>285</v>
      </c>
      <c r="L371" t="s">
        <v>1100</v>
      </c>
      <c r="M371" t="s">
        <v>69</v>
      </c>
      <c r="N371">
        <v>4</v>
      </c>
      <c r="O371">
        <v>98.1</v>
      </c>
    </row>
    <row r="372" spans="1:15">
      <c r="A372">
        <v>371</v>
      </c>
      <c r="B372" t="s">
        <v>1101</v>
      </c>
      <c r="C372" t="s">
        <v>39</v>
      </c>
      <c r="D372" t="s">
        <v>17</v>
      </c>
      <c r="E372">
        <v>86.3</v>
      </c>
      <c r="F372" t="s">
        <v>41</v>
      </c>
      <c r="G372">
        <v>210</v>
      </c>
      <c r="H372" t="s">
        <v>19</v>
      </c>
      <c r="I372">
        <v>100132</v>
      </c>
      <c r="J372" t="s">
        <v>20</v>
      </c>
      <c r="K372" t="s">
        <v>1102</v>
      </c>
      <c r="L372" t="s">
        <v>1103</v>
      </c>
      <c r="M372" t="s">
        <v>121</v>
      </c>
      <c r="N372">
        <v>11</v>
      </c>
      <c r="O372">
        <v>220.8</v>
      </c>
    </row>
    <row r="373" spans="1:15">
      <c r="A373">
        <v>372</v>
      </c>
      <c r="B373" t="s">
        <v>1104</v>
      </c>
      <c r="C373" t="s">
        <v>39</v>
      </c>
      <c r="D373" t="s">
        <v>137</v>
      </c>
      <c r="E373">
        <v>59.7</v>
      </c>
      <c r="F373" t="s">
        <v>26</v>
      </c>
      <c r="G373">
        <v>647</v>
      </c>
      <c r="H373" t="s">
        <v>27</v>
      </c>
      <c r="I373">
        <v>69132</v>
      </c>
      <c r="J373" t="s">
        <v>20</v>
      </c>
      <c r="K373" t="s">
        <v>1105</v>
      </c>
      <c r="L373" t="s">
        <v>633</v>
      </c>
      <c r="M373" t="s">
        <v>86</v>
      </c>
      <c r="N373">
        <v>19</v>
      </c>
      <c r="O373">
        <v>142.30000000000001</v>
      </c>
    </row>
    <row r="374" spans="1:15">
      <c r="A374">
        <v>373</v>
      </c>
      <c r="B374" t="s">
        <v>1106</v>
      </c>
      <c r="C374" t="s">
        <v>50</v>
      </c>
      <c r="D374" t="s">
        <v>114</v>
      </c>
      <c r="E374">
        <v>93.5</v>
      </c>
      <c r="F374" t="s">
        <v>56</v>
      </c>
      <c r="G374">
        <v>101</v>
      </c>
      <c r="H374" t="s">
        <v>19</v>
      </c>
      <c r="I374">
        <v>47581</v>
      </c>
      <c r="J374" t="s">
        <v>20</v>
      </c>
      <c r="K374" t="s">
        <v>1001</v>
      </c>
      <c r="L374" t="s">
        <v>606</v>
      </c>
      <c r="M374" t="s">
        <v>117</v>
      </c>
      <c r="N374">
        <v>18</v>
      </c>
      <c r="O374">
        <v>308.89999999999998</v>
      </c>
    </row>
    <row r="375" spans="1:15">
      <c r="A375">
        <v>374</v>
      </c>
      <c r="B375" t="s">
        <v>1107</v>
      </c>
      <c r="C375" t="s">
        <v>158</v>
      </c>
      <c r="D375" t="s">
        <v>17</v>
      </c>
      <c r="E375">
        <v>17.100000000000001</v>
      </c>
      <c r="F375" t="s">
        <v>62</v>
      </c>
      <c r="G375">
        <v>544</v>
      </c>
      <c r="H375" t="s">
        <v>27</v>
      </c>
      <c r="I375">
        <v>18689</v>
      </c>
      <c r="J375" t="s">
        <v>20</v>
      </c>
      <c r="K375" t="s">
        <v>1108</v>
      </c>
      <c r="L375" t="s">
        <v>986</v>
      </c>
      <c r="N375">
        <v>6</v>
      </c>
      <c r="O375">
        <v>55</v>
      </c>
    </row>
    <row r="376" spans="1:15">
      <c r="A376">
        <v>375</v>
      </c>
      <c r="B376" t="s">
        <v>1088</v>
      </c>
      <c r="C376" t="s">
        <v>133</v>
      </c>
      <c r="D376" t="s">
        <v>17</v>
      </c>
      <c r="E376">
        <v>7.1</v>
      </c>
      <c r="F376" t="s">
        <v>62</v>
      </c>
      <c r="G376">
        <v>594</v>
      </c>
      <c r="H376" t="s">
        <v>27</v>
      </c>
      <c r="I376">
        <v>119655</v>
      </c>
      <c r="J376" t="s">
        <v>20</v>
      </c>
      <c r="K376" t="s">
        <v>766</v>
      </c>
      <c r="L376" t="s">
        <v>1109</v>
      </c>
      <c r="M376" t="s">
        <v>441</v>
      </c>
      <c r="N376">
        <v>19</v>
      </c>
      <c r="O376">
        <v>23.1</v>
      </c>
    </row>
    <row r="377" spans="1:15">
      <c r="A377">
        <v>376</v>
      </c>
      <c r="B377" t="s">
        <v>1110</v>
      </c>
      <c r="C377" t="s">
        <v>123</v>
      </c>
      <c r="D377" t="s">
        <v>40</v>
      </c>
      <c r="E377">
        <v>3.5</v>
      </c>
      <c r="F377" t="s">
        <v>62</v>
      </c>
      <c r="G377">
        <v>336</v>
      </c>
      <c r="H377" t="s">
        <v>19</v>
      </c>
      <c r="I377">
        <v>17362</v>
      </c>
      <c r="J377" t="s">
        <v>20</v>
      </c>
      <c r="K377" t="s">
        <v>1034</v>
      </c>
      <c r="L377" t="s">
        <v>1111</v>
      </c>
      <c r="M377" t="s">
        <v>86</v>
      </c>
      <c r="N377">
        <v>3</v>
      </c>
      <c r="O377">
        <v>8.9</v>
      </c>
    </row>
    <row r="378" spans="1:15">
      <c r="A378">
        <v>377</v>
      </c>
      <c r="B378" t="s">
        <v>1112</v>
      </c>
      <c r="C378" t="s">
        <v>32</v>
      </c>
      <c r="D378" t="s">
        <v>17</v>
      </c>
      <c r="E378">
        <v>92.7</v>
      </c>
      <c r="F378" t="s">
        <v>62</v>
      </c>
      <c r="G378">
        <v>276</v>
      </c>
      <c r="H378" t="s">
        <v>19</v>
      </c>
      <c r="I378">
        <v>25079</v>
      </c>
      <c r="J378" t="s">
        <v>20</v>
      </c>
      <c r="K378" t="s">
        <v>1113</v>
      </c>
      <c r="L378" t="s">
        <v>655</v>
      </c>
      <c r="M378" t="s">
        <v>59</v>
      </c>
      <c r="N378">
        <v>13</v>
      </c>
      <c r="O378">
        <v>195.6</v>
      </c>
    </row>
    <row r="379" spans="1:15">
      <c r="A379">
        <v>378</v>
      </c>
      <c r="B379" t="s">
        <v>1114</v>
      </c>
      <c r="C379" t="s">
        <v>123</v>
      </c>
      <c r="D379" t="s">
        <v>33</v>
      </c>
      <c r="E379">
        <v>71.7</v>
      </c>
      <c r="F379" t="s">
        <v>41</v>
      </c>
      <c r="G379">
        <v>110</v>
      </c>
      <c r="H379" t="s">
        <v>27</v>
      </c>
      <c r="I379">
        <v>63815</v>
      </c>
      <c r="J379" t="s">
        <v>20</v>
      </c>
      <c r="K379" t="s">
        <v>1115</v>
      </c>
      <c r="L379" t="s">
        <v>1116</v>
      </c>
      <c r="M379" t="s">
        <v>48</v>
      </c>
      <c r="N379">
        <v>9</v>
      </c>
      <c r="O379">
        <v>168.7</v>
      </c>
    </row>
    <row r="380" spans="1:15">
      <c r="A380">
        <v>379</v>
      </c>
      <c r="B380" t="s">
        <v>1117</v>
      </c>
      <c r="C380" t="s">
        <v>39</v>
      </c>
      <c r="D380" t="s">
        <v>17</v>
      </c>
      <c r="E380">
        <v>49.2</v>
      </c>
      <c r="F380" t="s">
        <v>18</v>
      </c>
      <c r="G380">
        <v>375</v>
      </c>
      <c r="H380" t="s">
        <v>19</v>
      </c>
      <c r="I380">
        <v>37590</v>
      </c>
      <c r="J380" t="s">
        <v>20</v>
      </c>
      <c r="K380" t="s">
        <v>1118</v>
      </c>
      <c r="L380" t="s">
        <v>1119</v>
      </c>
      <c r="M380" t="s">
        <v>86</v>
      </c>
      <c r="N380">
        <v>13</v>
      </c>
      <c r="O380">
        <v>136.4</v>
      </c>
    </row>
    <row r="381" spans="1:15">
      <c r="A381">
        <v>380</v>
      </c>
      <c r="B381" t="s">
        <v>643</v>
      </c>
      <c r="C381" t="s">
        <v>25</v>
      </c>
      <c r="D381" t="s">
        <v>40</v>
      </c>
      <c r="E381">
        <v>75.8</v>
      </c>
      <c r="F381" t="s">
        <v>41</v>
      </c>
      <c r="G381">
        <v>239</v>
      </c>
      <c r="H381" t="s">
        <v>27</v>
      </c>
      <c r="I381">
        <v>59491</v>
      </c>
      <c r="J381" t="s">
        <v>20</v>
      </c>
      <c r="K381" t="s">
        <v>1120</v>
      </c>
      <c r="L381" t="s">
        <v>1121</v>
      </c>
      <c r="M381" t="s">
        <v>112</v>
      </c>
      <c r="N381">
        <v>3</v>
      </c>
      <c r="O381">
        <v>228.3</v>
      </c>
    </row>
    <row r="382" spans="1:15">
      <c r="A382">
        <v>381</v>
      </c>
      <c r="B382" t="s">
        <v>1122</v>
      </c>
      <c r="C382" t="s">
        <v>123</v>
      </c>
      <c r="D382" t="s">
        <v>40</v>
      </c>
      <c r="E382">
        <v>36.299999999999997</v>
      </c>
      <c r="F382" t="s">
        <v>26</v>
      </c>
      <c r="G382">
        <v>619</v>
      </c>
      <c r="H382" t="s">
        <v>19</v>
      </c>
      <c r="I382">
        <v>30168</v>
      </c>
      <c r="J382" t="s">
        <v>20</v>
      </c>
      <c r="K382" t="s">
        <v>1123</v>
      </c>
      <c r="L382" t="s">
        <v>600</v>
      </c>
      <c r="M382" t="s">
        <v>117</v>
      </c>
      <c r="N382">
        <v>4</v>
      </c>
      <c r="O382">
        <v>79</v>
      </c>
    </row>
    <row r="383" spans="1:15">
      <c r="A383">
        <v>382</v>
      </c>
      <c r="B383" t="s">
        <v>1124</v>
      </c>
      <c r="C383" t="s">
        <v>123</v>
      </c>
      <c r="D383" t="s">
        <v>40</v>
      </c>
      <c r="E383">
        <v>22.1</v>
      </c>
      <c r="F383" t="s">
        <v>56</v>
      </c>
      <c r="G383">
        <v>119</v>
      </c>
      <c r="H383" t="s">
        <v>27</v>
      </c>
      <c r="I383">
        <v>24336</v>
      </c>
      <c r="J383" t="s">
        <v>20</v>
      </c>
      <c r="K383" t="s">
        <v>1125</v>
      </c>
      <c r="L383" t="s">
        <v>1126</v>
      </c>
      <c r="M383" t="s">
        <v>117</v>
      </c>
      <c r="N383">
        <v>8</v>
      </c>
      <c r="O383">
        <v>61.8</v>
      </c>
    </row>
    <row r="384" spans="1:15">
      <c r="A384">
        <v>383</v>
      </c>
      <c r="B384" t="s">
        <v>1127</v>
      </c>
      <c r="C384" t="s">
        <v>50</v>
      </c>
      <c r="D384" t="s">
        <v>61</v>
      </c>
      <c r="E384">
        <v>0</v>
      </c>
      <c r="F384" t="s">
        <v>62</v>
      </c>
      <c r="G384">
        <v>88</v>
      </c>
      <c r="H384" t="s">
        <v>19</v>
      </c>
      <c r="I384">
        <v>75951</v>
      </c>
      <c r="J384" t="s">
        <v>20</v>
      </c>
      <c r="K384" t="s">
        <v>1128</v>
      </c>
      <c r="L384" t="s">
        <v>1129</v>
      </c>
      <c r="M384" t="s">
        <v>112</v>
      </c>
      <c r="N384">
        <v>13</v>
      </c>
      <c r="O384">
        <v>0</v>
      </c>
    </row>
    <row r="385" spans="1:15">
      <c r="A385">
        <v>384</v>
      </c>
      <c r="B385" t="s">
        <v>1130</v>
      </c>
      <c r="C385" t="s">
        <v>32</v>
      </c>
      <c r="D385" t="s">
        <v>61</v>
      </c>
      <c r="E385">
        <v>0</v>
      </c>
      <c r="F385" t="s">
        <v>56</v>
      </c>
      <c r="G385">
        <v>108</v>
      </c>
      <c r="H385" t="s">
        <v>19</v>
      </c>
      <c r="I385">
        <v>94177</v>
      </c>
      <c r="J385" t="s">
        <v>20</v>
      </c>
      <c r="K385" t="s">
        <v>1131</v>
      </c>
      <c r="L385" t="s">
        <v>827</v>
      </c>
      <c r="M385" t="s">
        <v>441</v>
      </c>
      <c r="N385">
        <v>17</v>
      </c>
      <c r="O385">
        <v>0</v>
      </c>
    </row>
    <row r="386" spans="1:15">
      <c r="A386">
        <v>385</v>
      </c>
      <c r="B386" t="s">
        <v>1132</v>
      </c>
      <c r="C386" t="s">
        <v>32</v>
      </c>
      <c r="D386" t="s">
        <v>33</v>
      </c>
      <c r="E386">
        <v>15.4</v>
      </c>
      <c r="F386" t="s">
        <v>62</v>
      </c>
      <c r="G386">
        <v>565</v>
      </c>
      <c r="H386" t="s">
        <v>19</v>
      </c>
      <c r="I386">
        <v>76762</v>
      </c>
      <c r="J386" t="s">
        <v>20</v>
      </c>
      <c r="K386" t="s">
        <v>1133</v>
      </c>
      <c r="L386" t="s">
        <v>1134</v>
      </c>
      <c r="N386">
        <v>16</v>
      </c>
      <c r="O386">
        <v>34.6</v>
      </c>
    </row>
    <row r="387" spans="1:15">
      <c r="A387">
        <v>386</v>
      </c>
      <c r="B387" t="s">
        <v>1135</v>
      </c>
      <c r="C387" t="s">
        <v>133</v>
      </c>
      <c r="D387" t="s">
        <v>40</v>
      </c>
      <c r="E387">
        <v>29.9</v>
      </c>
      <c r="F387" t="s">
        <v>26</v>
      </c>
      <c r="G387">
        <v>573</v>
      </c>
      <c r="H387" t="s">
        <v>27</v>
      </c>
      <c r="I387">
        <v>31560</v>
      </c>
      <c r="J387" t="s">
        <v>20</v>
      </c>
      <c r="K387" t="s">
        <v>1136</v>
      </c>
      <c r="L387" t="s">
        <v>1137</v>
      </c>
      <c r="M387" t="s">
        <v>121</v>
      </c>
      <c r="N387">
        <v>19</v>
      </c>
      <c r="O387">
        <v>63.6</v>
      </c>
    </row>
    <row r="388" spans="1:15">
      <c r="A388">
        <v>387</v>
      </c>
      <c r="B388" t="s">
        <v>1138</v>
      </c>
      <c r="C388" t="s">
        <v>32</v>
      </c>
      <c r="D388" t="s">
        <v>137</v>
      </c>
      <c r="E388">
        <v>9.9</v>
      </c>
      <c r="F388" t="s">
        <v>56</v>
      </c>
      <c r="G388">
        <v>418</v>
      </c>
      <c r="H388" t="s">
        <v>19</v>
      </c>
      <c r="I388">
        <v>43726</v>
      </c>
      <c r="J388" t="s">
        <v>20</v>
      </c>
      <c r="K388" t="s">
        <v>1139</v>
      </c>
      <c r="L388" t="s">
        <v>1140</v>
      </c>
      <c r="M388" t="s">
        <v>48</v>
      </c>
      <c r="N388">
        <v>10</v>
      </c>
      <c r="O388">
        <v>26.6</v>
      </c>
    </row>
    <row r="389" spans="1:15">
      <c r="A389">
        <v>388</v>
      </c>
      <c r="B389" t="s">
        <v>1141</v>
      </c>
      <c r="C389" t="s">
        <v>16</v>
      </c>
      <c r="D389" t="s">
        <v>137</v>
      </c>
      <c r="E389">
        <v>36.9</v>
      </c>
      <c r="F389" t="s">
        <v>26</v>
      </c>
      <c r="G389">
        <v>450</v>
      </c>
      <c r="H389" t="s">
        <v>27</v>
      </c>
      <c r="I389">
        <v>99107</v>
      </c>
      <c r="J389" t="s">
        <v>20</v>
      </c>
      <c r="K389" t="s">
        <v>1142</v>
      </c>
      <c r="L389" t="s">
        <v>1143</v>
      </c>
      <c r="M389" t="s">
        <v>48</v>
      </c>
      <c r="N389">
        <v>9</v>
      </c>
      <c r="O389">
        <v>85.8</v>
      </c>
    </row>
    <row r="390" spans="1:15">
      <c r="A390">
        <v>389</v>
      </c>
      <c r="B390" t="s">
        <v>1144</v>
      </c>
      <c r="C390" t="s">
        <v>39</v>
      </c>
      <c r="D390" t="s">
        <v>40</v>
      </c>
      <c r="E390">
        <v>3.9</v>
      </c>
      <c r="F390" t="s">
        <v>41</v>
      </c>
      <c r="G390">
        <v>211</v>
      </c>
      <c r="H390" t="s">
        <v>27</v>
      </c>
      <c r="I390">
        <v>80081</v>
      </c>
      <c r="J390" t="s">
        <v>20</v>
      </c>
      <c r="K390" t="s">
        <v>1145</v>
      </c>
      <c r="L390" t="s">
        <v>1146</v>
      </c>
      <c r="M390" t="s">
        <v>112</v>
      </c>
      <c r="N390">
        <v>10</v>
      </c>
      <c r="O390">
        <v>11.3</v>
      </c>
    </row>
    <row r="391" spans="1:15">
      <c r="A391">
        <v>390</v>
      </c>
      <c r="B391" t="s">
        <v>1147</v>
      </c>
      <c r="C391" t="s">
        <v>39</v>
      </c>
      <c r="D391" t="s">
        <v>114</v>
      </c>
      <c r="E391">
        <v>89.7</v>
      </c>
      <c r="F391" t="s">
        <v>26</v>
      </c>
      <c r="G391">
        <v>162</v>
      </c>
      <c r="H391" t="s">
        <v>27</v>
      </c>
      <c r="I391">
        <v>93251</v>
      </c>
      <c r="J391" t="s">
        <v>20</v>
      </c>
      <c r="K391" t="s">
        <v>1148</v>
      </c>
      <c r="L391" t="s">
        <v>1149</v>
      </c>
      <c r="M391" t="s">
        <v>54</v>
      </c>
      <c r="N391">
        <v>18</v>
      </c>
      <c r="O391">
        <v>190.2</v>
      </c>
    </row>
    <row r="392" spans="1:15">
      <c r="A392">
        <v>391</v>
      </c>
      <c r="B392" t="s">
        <v>1150</v>
      </c>
      <c r="C392" t="s">
        <v>25</v>
      </c>
      <c r="D392" t="s">
        <v>17</v>
      </c>
      <c r="E392">
        <v>39.700000000000003</v>
      </c>
      <c r="F392" t="s">
        <v>41</v>
      </c>
      <c r="G392">
        <v>273</v>
      </c>
      <c r="H392" t="s">
        <v>19</v>
      </c>
      <c r="I392">
        <v>57806</v>
      </c>
      <c r="J392" t="s">
        <v>20</v>
      </c>
      <c r="K392" t="s">
        <v>1151</v>
      </c>
      <c r="L392" t="s">
        <v>786</v>
      </c>
      <c r="M392" t="s">
        <v>441</v>
      </c>
      <c r="N392">
        <v>6</v>
      </c>
      <c r="O392">
        <v>119.1</v>
      </c>
    </row>
    <row r="393" spans="1:15">
      <c r="A393">
        <v>392</v>
      </c>
      <c r="B393" t="s">
        <v>1152</v>
      </c>
      <c r="C393" t="s">
        <v>16</v>
      </c>
      <c r="D393" t="s">
        <v>40</v>
      </c>
      <c r="E393">
        <v>15.8</v>
      </c>
      <c r="F393" t="s">
        <v>18</v>
      </c>
      <c r="G393">
        <v>262</v>
      </c>
      <c r="H393" t="s">
        <v>27</v>
      </c>
      <c r="I393">
        <v>60434</v>
      </c>
      <c r="J393" t="s">
        <v>20</v>
      </c>
      <c r="K393" t="s">
        <v>1153</v>
      </c>
      <c r="L393" t="s">
        <v>747</v>
      </c>
      <c r="M393" t="s">
        <v>48</v>
      </c>
      <c r="N393">
        <v>11</v>
      </c>
      <c r="O393">
        <v>37</v>
      </c>
    </row>
    <row r="394" spans="1:15">
      <c r="A394">
        <v>393</v>
      </c>
      <c r="B394" t="s">
        <v>1154</v>
      </c>
      <c r="C394" t="s">
        <v>16</v>
      </c>
      <c r="D394" t="s">
        <v>17</v>
      </c>
      <c r="E394">
        <v>73.900000000000006</v>
      </c>
      <c r="F394" t="s">
        <v>56</v>
      </c>
      <c r="G394">
        <v>222</v>
      </c>
      <c r="H394" t="s">
        <v>19</v>
      </c>
      <c r="I394">
        <v>20489</v>
      </c>
      <c r="J394" t="s">
        <v>20</v>
      </c>
      <c r="K394" t="s">
        <v>1155</v>
      </c>
      <c r="L394" t="s">
        <v>1156</v>
      </c>
      <c r="N394">
        <v>14</v>
      </c>
      <c r="O394">
        <v>203.6</v>
      </c>
    </row>
    <row r="395" spans="1:15">
      <c r="A395">
        <v>394</v>
      </c>
      <c r="B395" t="s">
        <v>1157</v>
      </c>
      <c r="C395" t="s">
        <v>16</v>
      </c>
      <c r="D395" t="s">
        <v>61</v>
      </c>
      <c r="E395">
        <v>0</v>
      </c>
      <c r="F395" t="s">
        <v>62</v>
      </c>
      <c r="G395">
        <v>551</v>
      </c>
      <c r="H395" t="s">
        <v>27</v>
      </c>
      <c r="I395">
        <v>19421</v>
      </c>
      <c r="J395" t="s">
        <v>20</v>
      </c>
      <c r="K395" t="s">
        <v>1158</v>
      </c>
      <c r="L395" t="s">
        <v>1159</v>
      </c>
      <c r="M395" t="s">
        <v>112</v>
      </c>
      <c r="N395">
        <v>1</v>
      </c>
      <c r="O395">
        <v>0</v>
      </c>
    </row>
    <row r="396" spans="1:15">
      <c r="A396">
        <v>395</v>
      </c>
      <c r="B396" t="s">
        <v>1160</v>
      </c>
      <c r="C396" t="s">
        <v>16</v>
      </c>
      <c r="D396" t="s">
        <v>61</v>
      </c>
      <c r="E396">
        <v>0</v>
      </c>
      <c r="F396" t="s">
        <v>41</v>
      </c>
      <c r="G396">
        <v>42</v>
      </c>
      <c r="H396" t="s">
        <v>19</v>
      </c>
      <c r="I396">
        <v>28064</v>
      </c>
      <c r="J396" t="s">
        <v>20</v>
      </c>
      <c r="K396" t="s">
        <v>1041</v>
      </c>
      <c r="L396" t="s">
        <v>1161</v>
      </c>
      <c r="M396" t="s">
        <v>117</v>
      </c>
      <c r="N396">
        <v>9</v>
      </c>
      <c r="O396">
        <v>0</v>
      </c>
    </row>
    <row r="397" spans="1:15">
      <c r="A397">
        <v>396</v>
      </c>
      <c r="B397" t="s">
        <v>1162</v>
      </c>
      <c r="C397" t="s">
        <v>133</v>
      </c>
      <c r="D397" t="s">
        <v>17</v>
      </c>
      <c r="E397">
        <v>70.2</v>
      </c>
      <c r="F397" t="s">
        <v>41</v>
      </c>
      <c r="G397">
        <v>474</v>
      </c>
      <c r="H397" t="s">
        <v>27</v>
      </c>
      <c r="I397">
        <v>90261</v>
      </c>
      <c r="J397" t="s">
        <v>20</v>
      </c>
      <c r="K397" t="s">
        <v>1163</v>
      </c>
      <c r="L397" t="s">
        <v>1164</v>
      </c>
      <c r="M397" t="s">
        <v>86</v>
      </c>
      <c r="N397">
        <v>13</v>
      </c>
      <c r="O397">
        <v>216.3</v>
      </c>
    </row>
    <row r="398" spans="1:15">
      <c r="A398">
        <v>397</v>
      </c>
      <c r="B398" t="s">
        <v>1165</v>
      </c>
      <c r="C398" t="s">
        <v>158</v>
      </c>
      <c r="D398" t="s">
        <v>137</v>
      </c>
      <c r="E398">
        <v>88.5</v>
      </c>
      <c r="F398" t="s">
        <v>18</v>
      </c>
      <c r="G398">
        <v>130</v>
      </c>
      <c r="H398" t="s">
        <v>27</v>
      </c>
      <c r="I398">
        <v>71883</v>
      </c>
      <c r="J398" t="s">
        <v>20</v>
      </c>
      <c r="K398" t="s">
        <v>1166</v>
      </c>
      <c r="L398" t="s">
        <v>1167</v>
      </c>
      <c r="M398" t="s">
        <v>48</v>
      </c>
      <c r="N398">
        <v>9</v>
      </c>
      <c r="O398">
        <v>198.3</v>
      </c>
    </row>
    <row r="399" spans="1:15">
      <c r="A399">
        <v>398</v>
      </c>
      <c r="B399" t="s">
        <v>1168</v>
      </c>
      <c r="C399" t="s">
        <v>158</v>
      </c>
      <c r="D399" t="s">
        <v>114</v>
      </c>
      <c r="E399">
        <v>85.4</v>
      </c>
      <c r="F399" t="s">
        <v>62</v>
      </c>
      <c r="G399">
        <v>181</v>
      </c>
      <c r="H399" t="s">
        <v>19</v>
      </c>
      <c r="I399">
        <v>75668</v>
      </c>
      <c r="J399" t="s">
        <v>20</v>
      </c>
      <c r="K399" t="s">
        <v>1169</v>
      </c>
      <c r="L399" t="s">
        <v>1170</v>
      </c>
      <c r="M399" t="s">
        <v>69</v>
      </c>
      <c r="N399">
        <v>12</v>
      </c>
      <c r="O399">
        <v>201.3</v>
      </c>
    </row>
    <row r="400" spans="1:15">
      <c r="A400">
        <v>399</v>
      </c>
      <c r="B400" t="s">
        <v>1171</v>
      </c>
      <c r="C400" t="s">
        <v>133</v>
      </c>
      <c r="D400" t="s">
        <v>114</v>
      </c>
      <c r="E400">
        <v>44</v>
      </c>
      <c r="F400" t="s">
        <v>41</v>
      </c>
      <c r="G400">
        <v>119</v>
      </c>
      <c r="H400" t="s">
        <v>19</v>
      </c>
      <c r="I400">
        <v>38481</v>
      </c>
      <c r="J400" t="s">
        <v>20</v>
      </c>
      <c r="K400" t="s">
        <v>1172</v>
      </c>
      <c r="L400" t="s">
        <v>1173</v>
      </c>
      <c r="M400" t="s">
        <v>441</v>
      </c>
      <c r="N400">
        <v>14</v>
      </c>
      <c r="O400">
        <v>136.19999999999999</v>
      </c>
    </row>
    <row r="401" spans="1:15">
      <c r="A401">
        <v>400</v>
      </c>
      <c r="B401" t="s">
        <v>1174</v>
      </c>
      <c r="C401" t="s">
        <v>50</v>
      </c>
      <c r="D401" t="s">
        <v>61</v>
      </c>
      <c r="E401">
        <v>0</v>
      </c>
      <c r="F401" t="s">
        <v>62</v>
      </c>
      <c r="G401">
        <v>635</v>
      </c>
      <c r="H401" t="s">
        <v>19</v>
      </c>
      <c r="I401">
        <v>53817</v>
      </c>
      <c r="J401" t="s">
        <v>20</v>
      </c>
      <c r="K401" t="s">
        <v>1089</v>
      </c>
      <c r="L401" t="s">
        <v>1175</v>
      </c>
      <c r="M401" t="s">
        <v>121</v>
      </c>
      <c r="N401">
        <v>2</v>
      </c>
      <c r="O401">
        <v>0</v>
      </c>
    </row>
    <row r="402" spans="1:15">
      <c r="A402">
        <v>401</v>
      </c>
      <c r="B402" t="s">
        <v>1176</v>
      </c>
      <c r="C402" t="s">
        <v>123</v>
      </c>
      <c r="D402" t="s">
        <v>61</v>
      </c>
      <c r="E402">
        <v>0</v>
      </c>
      <c r="F402" t="s">
        <v>18</v>
      </c>
      <c r="G402">
        <v>470</v>
      </c>
      <c r="H402" t="s">
        <v>27</v>
      </c>
      <c r="I402">
        <v>35458</v>
      </c>
      <c r="J402" t="s">
        <v>20</v>
      </c>
      <c r="K402" t="s">
        <v>1177</v>
      </c>
      <c r="L402" t="s">
        <v>1178</v>
      </c>
      <c r="M402" t="s">
        <v>69</v>
      </c>
      <c r="N402">
        <v>6</v>
      </c>
      <c r="O402">
        <v>0</v>
      </c>
    </row>
    <row r="403" spans="1:15">
      <c r="A403">
        <v>402</v>
      </c>
      <c r="B403" t="s">
        <v>1179</v>
      </c>
      <c r="C403" t="s">
        <v>16</v>
      </c>
      <c r="D403" t="s">
        <v>33</v>
      </c>
      <c r="E403">
        <v>69.400000000000006</v>
      </c>
      <c r="F403" t="s">
        <v>62</v>
      </c>
      <c r="G403">
        <v>320</v>
      </c>
      <c r="H403" t="s">
        <v>19</v>
      </c>
      <c r="I403">
        <v>4078</v>
      </c>
      <c r="J403" t="s">
        <v>20</v>
      </c>
      <c r="K403" t="s">
        <v>1180</v>
      </c>
      <c r="L403" t="s">
        <v>1181</v>
      </c>
      <c r="M403" t="s">
        <v>112</v>
      </c>
      <c r="N403">
        <v>3</v>
      </c>
      <c r="O403">
        <v>211.7</v>
      </c>
    </row>
    <row r="404" spans="1:15">
      <c r="A404">
        <v>403</v>
      </c>
      <c r="B404" t="s">
        <v>1182</v>
      </c>
      <c r="C404" t="s">
        <v>123</v>
      </c>
      <c r="D404" t="s">
        <v>137</v>
      </c>
      <c r="E404">
        <v>30.6</v>
      </c>
      <c r="F404" t="s">
        <v>18</v>
      </c>
      <c r="G404">
        <v>92</v>
      </c>
      <c r="H404" t="s">
        <v>27</v>
      </c>
      <c r="I404">
        <v>88302</v>
      </c>
      <c r="J404" t="s">
        <v>20</v>
      </c>
      <c r="K404" t="s">
        <v>1183</v>
      </c>
      <c r="L404" t="s">
        <v>1184</v>
      </c>
      <c r="M404" t="s">
        <v>86</v>
      </c>
      <c r="N404">
        <v>15</v>
      </c>
      <c r="O404">
        <v>65.400000000000006</v>
      </c>
    </row>
    <row r="405" spans="1:15">
      <c r="A405">
        <v>404</v>
      </c>
      <c r="B405" t="s">
        <v>1185</v>
      </c>
      <c r="C405" t="s">
        <v>158</v>
      </c>
      <c r="D405" t="s">
        <v>61</v>
      </c>
      <c r="E405">
        <v>0</v>
      </c>
      <c r="F405" t="s">
        <v>56</v>
      </c>
      <c r="G405">
        <v>525</v>
      </c>
      <c r="H405" t="s">
        <v>27</v>
      </c>
      <c r="I405">
        <v>37387</v>
      </c>
      <c r="J405" t="s">
        <v>20</v>
      </c>
      <c r="K405" t="s">
        <v>1186</v>
      </c>
      <c r="L405" t="s">
        <v>1068</v>
      </c>
      <c r="M405" t="s">
        <v>121</v>
      </c>
      <c r="N405">
        <v>16</v>
      </c>
      <c r="O405">
        <v>0</v>
      </c>
    </row>
    <row r="406" spans="1:15">
      <c r="A406">
        <v>405</v>
      </c>
      <c r="B406" t="s">
        <v>1187</v>
      </c>
      <c r="C406" t="s">
        <v>39</v>
      </c>
      <c r="D406" t="s">
        <v>17</v>
      </c>
      <c r="E406">
        <v>93.2</v>
      </c>
      <c r="F406" t="s">
        <v>56</v>
      </c>
      <c r="G406">
        <v>422</v>
      </c>
      <c r="H406" t="s">
        <v>27</v>
      </c>
      <c r="I406">
        <v>92346</v>
      </c>
      <c r="J406" t="s">
        <v>20</v>
      </c>
      <c r="K406" t="s">
        <v>1188</v>
      </c>
      <c r="L406" t="s">
        <v>572</v>
      </c>
      <c r="M406" t="s">
        <v>441</v>
      </c>
      <c r="N406">
        <v>10</v>
      </c>
      <c r="O406">
        <v>201.7</v>
      </c>
    </row>
    <row r="407" spans="1:15">
      <c r="A407">
        <v>406</v>
      </c>
      <c r="B407" t="s">
        <v>1168</v>
      </c>
      <c r="C407" t="s">
        <v>50</v>
      </c>
      <c r="D407" t="s">
        <v>137</v>
      </c>
      <c r="E407">
        <v>84.3</v>
      </c>
      <c r="F407" t="s">
        <v>18</v>
      </c>
      <c r="G407">
        <v>93</v>
      </c>
      <c r="H407" t="s">
        <v>19</v>
      </c>
      <c r="I407">
        <v>26621</v>
      </c>
      <c r="J407" t="s">
        <v>20</v>
      </c>
      <c r="K407" t="s">
        <v>1189</v>
      </c>
      <c r="L407" t="s">
        <v>1190</v>
      </c>
      <c r="M407" t="s">
        <v>112</v>
      </c>
      <c r="N407">
        <v>7</v>
      </c>
      <c r="O407">
        <v>174.7</v>
      </c>
    </row>
    <row r="408" spans="1:15">
      <c r="A408">
        <v>407</v>
      </c>
      <c r="B408" t="s">
        <v>1191</v>
      </c>
      <c r="C408" t="s">
        <v>25</v>
      </c>
      <c r="D408" t="s">
        <v>137</v>
      </c>
      <c r="E408">
        <v>63.2</v>
      </c>
      <c r="F408" t="s">
        <v>62</v>
      </c>
      <c r="G408">
        <v>529</v>
      </c>
      <c r="H408" t="s">
        <v>27</v>
      </c>
      <c r="I408">
        <v>23609</v>
      </c>
      <c r="J408" t="s">
        <v>20</v>
      </c>
      <c r="K408" t="s">
        <v>100</v>
      </c>
      <c r="L408" t="s">
        <v>1019</v>
      </c>
      <c r="M408" t="s">
        <v>117</v>
      </c>
      <c r="N408">
        <v>2</v>
      </c>
      <c r="O408">
        <v>216.2</v>
      </c>
    </row>
    <row r="409" spans="1:15">
      <c r="A409">
        <v>408</v>
      </c>
      <c r="B409" t="s">
        <v>1192</v>
      </c>
      <c r="C409" t="s">
        <v>50</v>
      </c>
      <c r="D409" t="s">
        <v>17</v>
      </c>
      <c r="E409">
        <v>89.6</v>
      </c>
      <c r="F409" t="s">
        <v>41</v>
      </c>
      <c r="G409">
        <v>160</v>
      </c>
      <c r="H409" t="s">
        <v>27</v>
      </c>
      <c r="I409">
        <v>102251</v>
      </c>
      <c r="J409" t="s">
        <v>20</v>
      </c>
      <c r="K409" t="s">
        <v>1193</v>
      </c>
      <c r="L409" t="s">
        <v>1194</v>
      </c>
      <c r="M409" t="s">
        <v>69</v>
      </c>
      <c r="N409">
        <v>13</v>
      </c>
      <c r="O409">
        <v>233.3</v>
      </c>
    </row>
    <row r="410" spans="1:15">
      <c r="A410">
        <v>409</v>
      </c>
      <c r="B410" t="s">
        <v>1195</v>
      </c>
      <c r="C410" t="s">
        <v>158</v>
      </c>
      <c r="D410" t="s">
        <v>40</v>
      </c>
      <c r="E410">
        <v>27.2</v>
      </c>
      <c r="F410" t="s">
        <v>56</v>
      </c>
      <c r="G410">
        <v>227</v>
      </c>
      <c r="H410" t="s">
        <v>27</v>
      </c>
      <c r="I410">
        <v>46076</v>
      </c>
      <c r="J410" t="s">
        <v>20</v>
      </c>
      <c r="K410" t="s">
        <v>1196</v>
      </c>
      <c r="L410" t="s">
        <v>822</v>
      </c>
      <c r="M410" t="s">
        <v>48</v>
      </c>
      <c r="N410">
        <v>7</v>
      </c>
      <c r="O410">
        <v>92.4</v>
      </c>
    </row>
    <row r="411" spans="1:15">
      <c r="A411">
        <v>410</v>
      </c>
      <c r="B411" t="s">
        <v>1197</v>
      </c>
      <c r="C411" t="s">
        <v>25</v>
      </c>
      <c r="D411" t="s">
        <v>17</v>
      </c>
      <c r="E411">
        <v>98.2</v>
      </c>
      <c r="F411" t="s">
        <v>18</v>
      </c>
      <c r="G411">
        <v>571</v>
      </c>
      <c r="H411" t="s">
        <v>19</v>
      </c>
      <c r="I411">
        <v>3662</v>
      </c>
      <c r="J411" t="s">
        <v>20</v>
      </c>
      <c r="K411" t="s">
        <v>1198</v>
      </c>
      <c r="L411" t="s">
        <v>853</v>
      </c>
      <c r="M411" t="s">
        <v>59</v>
      </c>
      <c r="N411">
        <v>1</v>
      </c>
      <c r="O411">
        <v>272.5</v>
      </c>
    </row>
    <row r="412" spans="1:15">
      <c r="A412">
        <v>411</v>
      </c>
      <c r="B412" t="s">
        <v>1063</v>
      </c>
      <c r="C412" t="s">
        <v>50</v>
      </c>
      <c r="D412" t="s">
        <v>114</v>
      </c>
      <c r="E412">
        <v>62.3</v>
      </c>
      <c r="F412" t="s">
        <v>62</v>
      </c>
      <c r="G412">
        <v>153</v>
      </c>
      <c r="H412" t="s">
        <v>19</v>
      </c>
      <c r="I412">
        <v>22404</v>
      </c>
      <c r="J412" t="s">
        <v>20</v>
      </c>
      <c r="K412" t="s">
        <v>1199</v>
      </c>
      <c r="L412" t="s">
        <v>928</v>
      </c>
      <c r="M412" t="s">
        <v>121</v>
      </c>
      <c r="N412">
        <v>13</v>
      </c>
      <c r="O412">
        <v>126.5</v>
      </c>
    </row>
    <row r="413" spans="1:15">
      <c r="A413">
        <v>412</v>
      </c>
      <c r="B413" t="s">
        <v>1200</v>
      </c>
      <c r="C413" t="s">
        <v>39</v>
      </c>
      <c r="D413" t="s">
        <v>33</v>
      </c>
      <c r="E413">
        <v>66.099999999999994</v>
      </c>
      <c r="F413" t="s">
        <v>62</v>
      </c>
      <c r="G413">
        <v>339</v>
      </c>
      <c r="H413" t="s">
        <v>19</v>
      </c>
      <c r="I413">
        <v>58729</v>
      </c>
      <c r="J413" t="s">
        <v>20</v>
      </c>
      <c r="K413" t="s">
        <v>1201</v>
      </c>
      <c r="L413" t="s">
        <v>1202</v>
      </c>
      <c r="M413" t="s">
        <v>117</v>
      </c>
      <c r="N413">
        <v>18</v>
      </c>
      <c r="O413">
        <v>177.7</v>
      </c>
    </row>
    <row r="414" spans="1:15">
      <c r="A414">
        <v>413</v>
      </c>
      <c r="B414" t="s">
        <v>1203</v>
      </c>
      <c r="C414" t="s">
        <v>32</v>
      </c>
      <c r="D414" t="s">
        <v>17</v>
      </c>
      <c r="E414">
        <v>71.8</v>
      </c>
      <c r="F414" t="s">
        <v>56</v>
      </c>
      <c r="G414">
        <v>151</v>
      </c>
      <c r="H414" t="s">
        <v>19</v>
      </c>
      <c r="I414">
        <v>51738</v>
      </c>
      <c r="J414" t="s">
        <v>20</v>
      </c>
      <c r="K414" t="s">
        <v>1204</v>
      </c>
      <c r="L414" t="s">
        <v>36</v>
      </c>
      <c r="N414">
        <v>12</v>
      </c>
      <c r="O414">
        <v>246</v>
      </c>
    </row>
    <row r="415" spans="1:15">
      <c r="A415">
        <v>414</v>
      </c>
      <c r="B415" t="s">
        <v>1205</v>
      </c>
      <c r="C415" t="s">
        <v>133</v>
      </c>
      <c r="D415" t="s">
        <v>33</v>
      </c>
      <c r="E415">
        <v>51.8</v>
      </c>
      <c r="F415" t="s">
        <v>26</v>
      </c>
      <c r="G415">
        <v>589</v>
      </c>
      <c r="H415" t="s">
        <v>19</v>
      </c>
      <c r="I415">
        <v>93173</v>
      </c>
      <c r="J415" t="s">
        <v>20</v>
      </c>
      <c r="K415" t="s">
        <v>1206</v>
      </c>
      <c r="L415" t="s">
        <v>1207</v>
      </c>
      <c r="M415" t="s">
        <v>121</v>
      </c>
      <c r="N415">
        <v>16</v>
      </c>
      <c r="O415">
        <v>172.7</v>
      </c>
    </row>
    <row r="416" spans="1:15">
      <c r="A416">
        <v>415</v>
      </c>
      <c r="B416" t="s">
        <v>1208</v>
      </c>
      <c r="C416" t="s">
        <v>123</v>
      </c>
      <c r="D416" t="s">
        <v>61</v>
      </c>
      <c r="E416">
        <v>0</v>
      </c>
      <c r="F416" t="s">
        <v>18</v>
      </c>
      <c r="G416">
        <v>507</v>
      </c>
      <c r="H416" t="s">
        <v>27</v>
      </c>
      <c r="I416">
        <v>101674</v>
      </c>
      <c r="J416" t="s">
        <v>20</v>
      </c>
      <c r="K416" t="s">
        <v>1209</v>
      </c>
      <c r="L416" t="s">
        <v>983</v>
      </c>
      <c r="N416">
        <v>19</v>
      </c>
      <c r="O416">
        <v>0</v>
      </c>
    </row>
    <row r="417" spans="1:15">
      <c r="A417">
        <v>416</v>
      </c>
      <c r="B417" t="s">
        <v>1210</v>
      </c>
      <c r="C417" t="s">
        <v>50</v>
      </c>
      <c r="D417" t="s">
        <v>17</v>
      </c>
      <c r="E417">
        <v>54.7</v>
      </c>
      <c r="F417" t="s">
        <v>18</v>
      </c>
      <c r="G417">
        <v>289</v>
      </c>
      <c r="H417" t="s">
        <v>27</v>
      </c>
      <c r="I417">
        <v>86838</v>
      </c>
      <c r="J417" t="s">
        <v>20</v>
      </c>
      <c r="K417" t="s">
        <v>1211</v>
      </c>
      <c r="L417" t="s">
        <v>487</v>
      </c>
      <c r="M417" t="s">
        <v>69</v>
      </c>
      <c r="N417">
        <v>7</v>
      </c>
      <c r="O417">
        <v>183.4</v>
      </c>
    </row>
    <row r="418" spans="1:15">
      <c r="A418">
        <v>417</v>
      </c>
      <c r="B418" t="s">
        <v>1212</v>
      </c>
      <c r="C418" t="s">
        <v>123</v>
      </c>
      <c r="D418" t="s">
        <v>114</v>
      </c>
      <c r="E418">
        <v>58.7</v>
      </c>
      <c r="F418" t="s">
        <v>26</v>
      </c>
      <c r="G418">
        <v>662</v>
      </c>
      <c r="H418" t="s">
        <v>19</v>
      </c>
      <c r="I418">
        <v>16721</v>
      </c>
      <c r="J418" t="s">
        <v>20</v>
      </c>
      <c r="K418" t="s">
        <v>1025</v>
      </c>
      <c r="L418" t="s">
        <v>1213</v>
      </c>
      <c r="N418">
        <v>5</v>
      </c>
      <c r="O418">
        <v>152.5</v>
      </c>
    </row>
    <row r="419" spans="1:15">
      <c r="A419">
        <v>418</v>
      </c>
      <c r="B419" t="s">
        <v>1214</v>
      </c>
      <c r="C419" t="s">
        <v>50</v>
      </c>
      <c r="D419" t="s">
        <v>114</v>
      </c>
      <c r="E419">
        <v>35.799999999999997</v>
      </c>
      <c r="F419" t="s">
        <v>56</v>
      </c>
      <c r="G419">
        <v>178</v>
      </c>
      <c r="H419" t="s">
        <v>27</v>
      </c>
      <c r="I419">
        <v>4887</v>
      </c>
      <c r="J419" t="s">
        <v>20</v>
      </c>
      <c r="K419" t="s">
        <v>1215</v>
      </c>
      <c r="L419" t="s">
        <v>890</v>
      </c>
      <c r="M419" t="s">
        <v>54</v>
      </c>
      <c r="N419">
        <v>2</v>
      </c>
      <c r="O419">
        <v>77.099999999999994</v>
      </c>
    </row>
    <row r="420" spans="1:15">
      <c r="A420">
        <v>419</v>
      </c>
      <c r="B420" t="s">
        <v>1216</v>
      </c>
      <c r="C420" t="s">
        <v>25</v>
      </c>
      <c r="D420" t="s">
        <v>114</v>
      </c>
      <c r="E420">
        <v>84.4</v>
      </c>
      <c r="F420" t="s">
        <v>18</v>
      </c>
      <c r="G420">
        <v>359</v>
      </c>
      <c r="H420" t="s">
        <v>19</v>
      </c>
      <c r="I420">
        <v>104943</v>
      </c>
      <c r="J420" t="s">
        <v>20</v>
      </c>
      <c r="K420" t="s">
        <v>1217</v>
      </c>
      <c r="L420" t="s">
        <v>1218</v>
      </c>
      <c r="M420" t="s">
        <v>441</v>
      </c>
      <c r="N420">
        <v>9</v>
      </c>
      <c r="O420">
        <v>231.8</v>
      </c>
    </row>
    <row r="421" spans="1:15">
      <c r="A421">
        <v>420</v>
      </c>
      <c r="B421" t="s">
        <v>1219</v>
      </c>
      <c r="C421" t="s">
        <v>133</v>
      </c>
      <c r="D421" t="s">
        <v>40</v>
      </c>
      <c r="E421">
        <v>23.5</v>
      </c>
      <c r="F421" t="s">
        <v>56</v>
      </c>
      <c r="G421">
        <v>405</v>
      </c>
      <c r="H421" t="s">
        <v>19</v>
      </c>
      <c r="I421">
        <v>15736</v>
      </c>
      <c r="J421" t="s">
        <v>20</v>
      </c>
      <c r="K421" t="s">
        <v>1220</v>
      </c>
      <c r="L421" t="s">
        <v>1221</v>
      </c>
      <c r="M421" t="s">
        <v>112</v>
      </c>
      <c r="N421">
        <v>14</v>
      </c>
      <c r="O421">
        <v>72</v>
      </c>
    </row>
    <row r="422" spans="1:15">
      <c r="A422">
        <v>421</v>
      </c>
      <c r="B422" t="s">
        <v>1222</v>
      </c>
      <c r="C422" t="s">
        <v>50</v>
      </c>
      <c r="D422" t="s">
        <v>33</v>
      </c>
      <c r="E422">
        <v>44.4</v>
      </c>
      <c r="F422" t="s">
        <v>26</v>
      </c>
      <c r="G422">
        <v>37</v>
      </c>
      <c r="H422" t="s">
        <v>27</v>
      </c>
      <c r="I422">
        <v>87509</v>
      </c>
      <c r="J422" t="s">
        <v>20</v>
      </c>
      <c r="K422" t="s">
        <v>1223</v>
      </c>
      <c r="L422" t="s">
        <v>1224</v>
      </c>
      <c r="M422" t="s">
        <v>112</v>
      </c>
      <c r="N422">
        <v>7</v>
      </c>
      <c r="O422">
        <v>119.4</v>
      </c>
    </row>
    <row r="423" spans="1:15">
      <c r="A423">
        <v>422</v>
      </c>
      <c r="B423" t="s">
        <v>1225</v>
      </c>
      <c r="C423" t="s">
        <v>16</v>
      </c>
      <c r="D423" t="s">
        <v>137</v>
      </c>
      <c r="E423">
        <v>24.8</v>
      </c>
      <c r="F423" t="s">
        <v>62</v>
      </c>
      <c r="G423">
        <v>533</v>
      </c>
      <c r="H423" t="s">
        <v>27</v>
      </c>
      <c r="I423">
        <v>118541</v>
      </c>
      <c r="J423" t="s">
        <v>20</v>
      </c>
      <c r="K423" t="s">
        <v>1226</v>
      </c>
      <c r="L423" t="s">
        <v>1227</v>
      </c>
      <c r="M423" t="s">
        <v>48</v>
      </c>
      <c r="N423">
        <v>8</v>
      </c>
      <c r="O423">
        <v>76.2</v>
      </c>
    </row>
    <row r="424" spans="1:15">
      <c r="A424">
        <v>423</v>
      </c>
      <c r="B424" t="s">
        <v>1228</v>
      </c>
      <c r="C424" t="s">
        <v>50</v>
      </c>
      <c r="D424" t="s">
        <v>61</v>
      </c>
      <c r="E424">
        <v>0</v>
      </c>
      <c r="F424" t="s">
        <v>26</v>
      </c>
      <c r="G424">
        <v>663</v>
      </c>
      <c r="H424" t="s">
        <v>27</v>
      </c>
      <c r="I424">
        <v>45390</v>
      </c>
      <c r="J424" t="s">
        <v>20</v>
      </c>
      <c r="K424" t="s">
        <v>1229</v>
      </c>
      <c r="L424" t="s">
        <v>893</v>
      </c>
      <c r="M424" t="s">
        <v>54</v>
      </c>
      <c r="N424">
        <v>19</v>
      </c>
      <c r="O424">
        <v>0</v>
      </c>
    </row>
    <row r="425" spans="1:15">
      <c r="A425">
        <v>424</v>
      </c>
      <c r="B425" t="s">
        <v>1230</v>
      </c>
      <c r="C425" t="s">
        <v>50</v>
      </c>
      <c r="D425" t="s">
        <v>114</v>
      </c>
      <c r="E425">
        <v>27.3</v>
      </c>
      <c r="F425" t="s">
        <v>41</v>
      </c>
      <c r="G425">
        <v>282</v>
      </c>
      <c r="H425" t="s">
        <v>27</v>
      </c>
      <c r="I425">
        <v>37816</v>
      </c>
      <c r="J425" t="s">
        <v>20</v>
      </c>
      <c r="K425" t="s">
        <v>1231</v>
      </c>
      <c r="L425" t="s">
        <v>1232</v>
      </c>
      <c r="N425">
        <v>9</v>
      </c>
      <c r="O425">
        <v>94.1</v>
      </c>
    </row>
    <row r="426" spans="1:15">
      <c r="A426">
        <v>425</v>
      </c>
      <c r="B426" t="s">
        <v>1233</v>
      </c>
      <c r="C426" t="s">
        <v>50</v>
      </c>
      <c r="D426" t="s">
        <v>114</v>
      </c>
      <c r="E426">
        <v>86.9</v>
      </c>
      <c r="F426" t="s">
        <v>18</v>
      </c>
      <c r="G426">
        <v>227</v>
      </c>
      <c r="H426" t="s">
        <v>27</v>
      </c>
      <c r="I426">
        <v>119262</v>
      </c>
      <c r="J426" t="s">
        <v>20</v>
      </c>
      <c r="K426" t="s">
        <v>1234</v>
      </c>
      <c r="L426" t="s">
        <v>1235</v>
      </c>
      <c r="M426" t="s">
        <v>86</v>
      </c>
      <c r="N426">
        <v>3</v>
      </c>
      <c r="O426">
        <v>235.5</v>
      </c>
    </row>
    <row r="427" spans="1:15">
      <c r="A427">
        <v>426</v>
      </c>
      <c r="B427" t="s">
        <v>373</v>
      </c>
      <c r="C427" t="s">
        <v>133</v>
      </c>
      <c r="D427" t="s">
        <v>17</v>
      </c>
      <c r="E427">
        <v>41.9</v>
      </c>
      <c r="F427" t="s">
        <v>26</v>
      </c>
      <c r="G427">
        <v>175</v>
      </c>
      <c r="H427" t="s">
        <v>27</v>
      </c>
      <c r="I427">
        <v>11939</v>
      </c>
      <c r="J427" t="s">
        <v>20</v>
      </c>
      <c r="K427" t="s">
        <v>1236</v>
      </c>
      <c r="L427" t="s">
        <v>428</v>
      </c>
      <c r="M427" t="s">
        <v>54</v>
      </c>
      <c r="N427">
        <v>15</v>
      </c>
      <c r="O427">
        <v>133</v>
      </c>
    </row>
    <row r="428" spans="1:15">
      <c r="A428">
        <v>427</v>
      </c>
      <c r="B428" t="s">
        <v>1237</v>
      </c>
      <c r="C428" t="s">
        <v>123</v>
      </c>
      <c r="D428" t="s">
        <v>40</v>
      </c>
      <c r="E428">
        <v>95.2</v>
      </c>
      <c r="F428" t="s">
        <v>62</v>
      </c>
      <c r="G428">
        <v>609</v>
      </c>
      <c r="H428" t="s">
        <v>19</v>
      </c>
      <c r="I428">
        <v>24092</v>
      </c>
      <c r="J428" t="s">
        <v>20</v>
      </c>
      <c r="K428" t="s">
        <v>1238</v>
      </c>
      <c r="L428" t="s">
        <v>692</v>
      </c>
      <c r="M428" t="s">
        <v>112</v>
      </c>
      <c r="N428">
        <v>18</v>
      </c>
      <c r="O428">
        <v>322.5</v>
      </c>
    </row>
    <row r="429" spans="1:15">
      <c r="A429">
        <v>428</v>
      </c>
      <c r="B429" t="s">
        <v>1239</v>
      </c>
      <c r="C429" t="s">
        <v>39</v>
      </c>
      <c r="D429" t="s">
        <v>61</v>
      </c>
      <c r="E429">
        <v>0</v>
      </c>
      <c r="F429" t="s">
        <v>26</v>
      </c>
      <c r="G429">
        <v>152</v>
      </c>
      <c r="H429" t="s">
        <v>27</v>
      </c>
      <c r="I429">
        <v>25198</v>
      </c>
      <c r="J429" t="s">
        <v>20</v>
      </c>
      <c r="K429" t="s">
        <v>1240</v>
      </c>
      <c r="L429" t="s">
        <v>869</v>
      </c>
      <c r="M429" t="s">
        <v>59</v>
      </c>
      <c r="N429">
        <v>4</v>
      </c>
      <c r="O429">
        <v>0</v>
      </c>
    </row>
    <row r="430" spans="1:15">
      <c r="A430">
        <v>429</v>
      </c>
      <c r="B430" t="s">
        <v>1241</v>
      </c>
      <c r="C430" t="s">
        <v>25</v>
      </c>
      <c r="D430" t="s">
        <v>33</v>
      </c>
      <c r="E430">
        <v>63</v>
      </c>
      <c r="F430" t="s">
        <v>41</v>
      </c>
      <c r="G430">
        <v>207</v>
      </c>
      <c r="H430" t="s">
        <v>27</v>
      </c>
      <c r="I430">
        <v>68225</v>
      </c>
      <c r="J430" t="s">
        <v>20</v>
      </c>
      <c r="K430" t="s">
        <v>812</v>
      </c>
      <c r="L430" t="s">
        <v>1242</v>
      </c>
      <c r="M430" t="s">
        <v>54</v>
      </c>
      <c r="N430">
        <v>14</v>
      </c>
      <c r="O430">
        <v>156.5</v>
      </c>
    </row>
    <row r="431" spans="1:15">
      <c r="A431">
        <v>430</v>
      </c>
      <c r="B431" t="s">
        <v>1243</v>
      </c>
      <c r="C431" t="s">
        <v>50</v>
      </c>
      <c r="D431" t="s">
        <v>33</v>
      </c>
      <c r="E431">
        <v>93</v>
      </c>
      <c r="F431" t="s">
        <v>26</v>
      </c>
      <c r="G431">
        <v>87</v>
      </c>
      <c r="H431" t="s">
        <v>27</v>
      </c>
      <c r="I431">
        <v>118025</v>
      </c>
      <c r="J431" t="s">
        <v>20</v>
      </c>
      <c r="K431" t="s">
        <v>1244</v>
      </c>
      <c r="L431" t="s">
        <v>493</v>
      </c>
      <c r="M431" t="s">
        <v>121</v>
      </c>
      <c r="N431">
        <v>2</v>
      </c>
      <c r="O431">
        <v>292</v>
      </c>
    </row>
    <row r="432" spans="1:15">
      <c r="A432">
        <v>431</v>
      </c>
      <c r="B432" t="s">
        <v>1245</v>
      </c>
      <c r="C432" t="s">
        <v>16</v>
      </c>
      <c r="D432" t="s">
        <v>114</v>
      </c>
      <c r="E432">
        <v>36.6</v>
      </c>
      <c r="F432" t="s">
        <v>56</v>
      </c>
      <c r="G432">
        <v>457</v>
      </c>
      <c r="H432" t="s">
        <v>19</v>
      </c>
      <c r="I432">
        <v>42779</v>
      </c>
      <c r="J432" t="s">
        <v>20</v>
      </c>
      <c r="K432" t="s">
        <v>1246</v>
      </c>
      <c r="L432" t="s">
        <v>1247</v>
      </c>
      <c r="M432" t="s">
        <v>86</v>
      </c>
      <c r="N432">
        <v>11</v>
      </c>
      <c r="O432">
        <v>82.3</v>
      </c>
    </row>
    <row r="433" spans="1:15">
      <c r="A433">
        <v>432</v>
      </c>
      <c r="B433" t="s">
        <v>438</v>
      </c>
      <c r="C433" t="s">
        <v>158</v>
      </c>
      <c r="D433" t="s">
        <v>137</v>
      </c>
      <c r="E433">
        <v>74.599999999999994</v>
      </c>
      <c r="F433" t="s">
        <v>18</v>
      </c>
      <c r="G433">
        <v>149</v>
      </c>
      <c r="H433" t="s">
        <v>27</v>
      </c>
      <c r="I433">
        <v>102109</v>
      </c>
      <c r="J433" t="s">
        <v>20</v>
      </c>
      <c r="K433" t="s">
        <v>1248</v>
      </c>
      <c r="L433" t="s">
        <v>1249</v>
      </c>
      <c r="N433">
        <v>17</v>
      </c>
      <c r="O433">
        <v>160.4</v>
      </c>
    </row>
    <row r="434" spans="1:15">
      <c r="A434">
        <v>433</v>
      </c>
      <c r="B434" t="s">
        <v>1250</v>
      </c>
      <c r="C434" t="s">
        <v>133</v>
      </c>
      <c r="D434" t="s">
        <v>114</v>
      </c>
      <c r="E434">
        <v>26.8</v>
      </c>
      <c r="F434" t="s">
        <v>56</v>
      </c>
      <c r="G434">
        <v>180</v>
      </c>
      <c r="H434" t="s">
        <v>27</v>
      </c>
      <c r="I434">
        <v>42615</v>
      </c>
      <c r="J434" t="s">
        <v>20</v>
      </c>
      <c r="K434" t="s">
        <v>877</v>
      </c>
      <c r="L434" t="s">
        <v>1251</v>
      </c>
      <c r="M434" t="s">
        <v>86</v>
      </c>
      <c r="N434">
        <v>18</v>
      </c>
      <c r="O434">
        <v>82.8</v>
      </c>
    </row>
    <row r="435" spans="1:15">
      <c r="A435">
        <v>434</v>
      </c>
      <c r="B435" t="s">
        <v>1252</v>
      </c>
      <c r="C435" t="s">
        <v>25</v>
      </c>
      <c r="D435" t="s">
        <v>17</v>
      </c>
      <c r="E435">
        <v>64.2</v>
      </c>
      <c r="F435" t="s">
        <v>18</v>
      </c>
      <c r="G435">
        <v>20</v>
      </c>
      <c r="H435" t="s">
        <v>19</v>
      </c>
      <c r="I435">
        <v>113816</v>
      </c>
      <c r="J435" t="s">
        <v>20</v>
      </c>
      <c r="K435" t="s">
        <v>1253</v>
      </c>
      <c r="L435" t="s">
        <v>1254</v>
      </c>
      <c r="N435">
        <v>16</v>
      </c>
      <c r="O435">
        <v>144</v>
      </c>
    </row>
    <row r="436" spans="1:15">
      <c r="A436">
        <v>435</v>
      </c>
      <c r="B436" t="s">
        <v>1255</v>
      </c>
      <c r="C436" t="s">
        <v>50</v>
      </c>
      <c r="D436" t="s">
        <v>137</v>
      </c>
      <c r="E436">
        <v>74.5</v>
      </c>
      <c r="F436" t="s">
        <v>18</v>
      </c>
      <c r="G436">
        <v>628</v>
      </c>
      <c r="H436" t="s">
        <v>27</v>
      </c>
      <c r="I436">
        <v>113991</v>
      </c>
      <c r="J436" t="s">
        <v>20</v>
      </c>
      <c r="K436" t="s">
        <v>1256</v>
      </c>
      <c r="L436" t="s">
        <v>496</v>
      </c>
      <c r="M436" t="s">
        <v>54</v>
      </c>
      <c r="N436">
        <v>5</v>
      </c>
      <c r="O436">
        <v>221.1</v>
      </c>
    </row>
    <row r="437" spans="1:15">
      <c r="A437">
        <v>436</v>
      </c>
      <c r="B437" t="s">
        <v>984</v>
      </c>
      <c r="C437" t="s">
        <v>50</v>
      </c>
      <c r="D437" t="s">
        <v>137</v>
      </c>
      <c r="E437">
        <v>23.4</v>
      </c>
      <c r="F437" t="s">
        <v>26</v>
      </c>
      <c r="G437">
        <v>626</v>
      </c>
      <c r="H437" t="s">
        <v>19</v>
      </c>
      <c r="I437">
        <v>67247</v>
      </c>
      <c r="J437" t="s">
        <v>20</v>
      </c>
      <c r="K437" t="s">
        <v>1257</v>
      </c>
      <c r="L437" t="s">
        <v>738</v>
      </c>
      <c r="M437" t="s">
        <v>48</v>
      </c>
      <c r="N437">
        <v>17</v>
      </c>
      <c r="O437">
        <v>61.2</v>
      </c>
    </row>
    <row r="438" spans="1:15">
      <c r="A438">
        <v>437</v>
      </c>
      <c r="B438" t="s">
        <v>1258</v>
      </c>
      <c r="C438" t="s">
        <v>158</v>
      </c>
      <c r="D438" t="s">
        <v>114</v>
      </c>
      <c r="E438">
        <v>37.6</v>
      </c>
      <c r="F438" t="s">
        <v>18</v>
      </c>
      <c r="G438">
        <v>385</v>
      </c>
      <c r="H438" t="s">
        <v>19</v>
      </c>
      <c r="I438">
        <v>85687</v>
      </c>
      <c r="J438" t="s">
        <v>20</v>
      </c>
      <c r="K438" t="s">
        <v>1259</v>
      </c>
      <c r="L438" t="s">
        <v>1260</v>
      </c>
      <c r="M438" t="s">
        <v>112</v>
      </c>
      <c r="N438">
        <v>20</v>
      </c>
      <c r="O438">
        <v>110.6</v>
      </c>
    </row>
    <row r="439" spans="1:15">
      <c r="A439">
        <v>438</v>
      </c>
      <c r="B439" t="s">
        <v>1261</v>
      </c>
      <c r="C439" t="s">
        <v>25</v>
      </c>
      <c r="D439" t="s">
        <v>40</v>
      </c>
      <c r="E439">
        <v>64.7</v>
      </c>
      <c r="F439" t="s">
        <v>26</v>
      </c>
      <c r="G439">
        <v>490</v>
      </c>
      <c r="H439" t="s">
        <v>27</v>
      </c>
      <c r="I439">
        <v>72954</v>
      </c>
      <c r="J439" t="s">
        <v>20</v>
      </c>
      <c r="K439" t="s">
        <v>1262</v>
      </c>
      <c r="L439" t="s">
        <v>822</v>
      </c>
      <c r="M439" t="s">
        <v>112</v>
      </c>
      <c r="N439">
        <v>8</v>
      </c>
      <c r="O439">
        <v>194.9</v>
      </c>
    </row>
    <row r="440" spans="1:15">
      <c r="A440">
        <v>439</v>
      </c>
      <c r="B440" t="s">
        <v>1263</v>
      </c>
      <c r="C440" t="s">
        <v>39</v>
      </c>
      <c r="D440" t="s">
        <v>33</v>
      </c>
      <c r="E440">
        <v>8.6</v>
      </c>
      <c r="F440" t="s">
        <v>56</v>
      </c>
      <c r="G440">
        <v>453</v>
      </c>
      <c r="H440" t="s">
        <v>19</v>
      </c>
      <c r="I440">
        <v>46600</v>
      </c>
      <c r="J440" t="s">
        <v>20</v>
      </c>
      <c r="K440" t="s">
        <v>1264</v>
      </c>
      <c r="L440" t="s">
        <v>1265</v>
      </c>
      <c r="M440" t="s">
        <v>48</v>
      </c>
      <c r="N440">
        <v>8</v>
      </c>
      <c r="O440">
        <v>20.6</v>
      </c>
    </row>
    <row r="441" spans="1:15">
      <c r="A441">
        <v>440</v>
      </c>
      <c r="B441" t="s">
        <v>1266</v>
      </c>
      <c r="C441" t="s">
        <v>133</v>
      </c>
      <c r="D441" t="s">
        <v>137</v>
      </c>
      <c r="E441">
        <v>25.5</v>
      </c>
      <c r="F441" t="s">
        <v>26</v>
      </c>
      <c r="G441">
        <v>223</v>
      </c>
      <c r="H441" t="s">
        <v>19</v>
      </c>
      <c r="I441">
        <v>6840</v>
      </c>
      <c r="J441" t="s">
        <v>20</v>
      </c>
      <c r="K441" t="s">
        <v>1267</v>
      </c>
      <c r="L441" t="s">
        <v>1268</v>
      </c>
      <c r="M441" t="s">
        <v>86</v>
      </c>
      <c r="N441">
        <v>4</v>
      </c>
      <c r="O441">
        <v>77.8</v>
      </c>
    </row>
    <row r="442" spans="1:15">
      <c r="A442">
        <v>441</v>
      </c>
      <c r="B442" t="s">
        <v>1269</v>
      </c>
      <c r="C442" t="s">
        <v>25</v>
      </c>
      <c r="D442" t="s">
        <v>40</v>
      </c>
      <c r="E442">
        <v>21.4</v>
      </c>
      <c r="F442" t="s">
        <v>56</v>
      </c>
      <c r="G442">
        <v>531</v>
      </c>
      <c r="H442" t="s">
        <v>27</v>
      </c>
      <c r="I442">
        <v>67660</v>
      </c>
      <c r="J442" t="s">
        <v>20</v>
      </c>
      <c r="K442" t="s">
        <v>1270</v>
      </c>
      <c r="L442" t="s">
        <v>74</v>
      </c>
      <c r="N442">
        <v>18</v>
      </c>
      <c r="O442">
        <v>56.1</v>
      </c>
    </row>
    <row r="443" spans="1:15">
      <c r="A443">
        <v>442</v>
      </c>
      <c r="B443" t="s">
        <v>1271</v>
      </c>
      <c r="C443" t="s">
        <v>32</v>
      </c>
      <c r="D443" t="s">
        <v>17</v>
      </c>
      <c r="E443">
        <v>23.4</v>
      </c>
      <c r="F443" t="s">
        <v>18</v>
      </c>
      <c r="G443">
        <v>193</v>
      </c>
      <c r="H443" t="s">
        <v>19</v>
      </c>
      <c r="I443">
        <v>84388</v>
      </c>
      <c r="J443" t="s">
        <v>20</v>
      </c>
      <c r="K443" t="s">
        <v>1272</v>
      </c>
      <c r="L443" t="s">
        <v>1273</v>
      </c>
      <c r="M443" t="s">
        <v>48</v>
      </c>
      <c r="N443">
        <v>3</v>
      </c>
      <c r="O443">
        <v>75.400000000000006</v>
      </c>
    </row>
    <row r="444" spans="1:15">
      <c r="A444">
        <v>443</v>
      </c>
      <c r="B444" t="s">
        <v>643</v>
      </c>
      <c r="C444" t="s">
        <v>123</v>
      </c>
      <c r="D444" t="s">
        <v>137</v>
      </c>
      <c r="E444">
        <v>66.2</v>
      </c>
      <c r="F444" t="s">
        <v>62</v>
      </c>
      <c r="G444">
        <v>272</v>
      </c>
      <c r="H444" t="s">
        <v>27</v>
      </c>
      <c r="I444">
        <v>45042</v>
      </c>
      <c r="J444" t="s">
        <v>20</v>
      </c>
      <c r="K444" t="s">
        <v>1274</v>
      </c>
      <c r="L444" t="s">
        <v>752</v>
      </c>
      <c r="M444" t="s">
        <v>48</v>
      </c>
      <c r="N444">
        <v>5</v>
      </c>
      <c r="O444">
        <v>172.6</v>
      </c>
    </row>
    <row r="445" spans="1:15">
      <c r="A445">
        <v>444</v>
      </c>
      <c r="B445" t="s">
        <v>1275</v>
      </c>
      <c r="C445" t="s">
        <v>32</v>
      </c>
      <c r="D445" t="s">
        <v>17</v>
      </c>
      <c r="E445">
        <v>62.8</v>
      </c>
      <c r="F445" t="s">
        <v>18</v>
      </c>
      <c r="G445">
        <v>655</v>
      </c>
      <c r="H445" t="s">
        <v>27</v>
      </c>
      <c r="I445">
        <v>73830</v>
      </c>
      <c r="J445" t="s">
        <v>20</v>
      </c>
      <c r="K445" t="s">
        <v>1276</v>
      </c>
      <c r="L445" t="s">
        <v>1277</v>
      </c>
      <c r="M445" t="s">
        <v>48</v>
      </c>
      <c r="N445">
        <v>18</v>
      </c>
      <c r="O445">
        <v>167.4</v>
      </c>
    </row>
    <row r="446" spans="1:15">
      <c r="A446">
        <v>445</v>
      </c>
      <c r="B446" t="s">
        <v>1278</v>
      </c>
      <c r="C446" t="s">
        <v>123</v>
      </c>
      <c r="D446" t="s">
        <v>114</v>
      </c>
      <c r="E446">
        <v>5.0999999999999996</v>
      </c>
      <c r="F446" t="s">
        <v>41</v>
      </c>
      <c r="G446">
        <v>167</v>
      </c>
      <c r="H446" t="s">
        <v>27</v>
      </c>
      <c r="I446">
        <v>50004</v>
      </c>
      <c r="J446" t="s">
        <v>20</v>
      </c>
      <c r="K446" t="s">
        <v>1279</v>
      </c>
      <c r="L446" t="s">
        <v>1280</v>
      </c>
      <c r="M446" t="s">
        <v>59</v>
      </c>
      <c r="N446">
        <v>1</v>
      </c>
      <c r="O446">
        <v>12.1</v>
      </c>
    </row>
    <row r="447" spans="1:15">
      <c r="A447">
        <v>446</v>
      </c>
      <c r="B447" t="s">
        <v>1281</v>
      </c>
      <c r="C447" t="s">
        <v>25</v>
      </c>
      <c r="D447" t="s">
        <v>114</v>
      </c>
      <c r="E447">
        <v>32.700000000000003</v>
      </c>
      <c r="F447" t="s">
        <v>26</v>
      </c>
      <c r="G447">
        <v>287</v>
      </c>
      <c r="H447" t="s">
        <v>27</v>
      </c>
      <c r="I447">
        <v>72737</v>
      </c>
      <c r="J447" t="s">
        <v>20</v>
      </c>
      <c r="K447" t="s">
        <v>1282</v>
      </c>
      <c r="L447" t="s">
        <v>1283</v>
      </c>
      <c r="M447" t="s">
        <v>117</v>
      </c>
      <c r="N447">
        <v>13</v>
      </c>
      <c r="O447">
        <v>112.9</v>
      </c>
    </row>
    <row r="448" spans="1:15">
      <c r="A448">
        <v>447</v>
      </c>
      <c r="B448" t="s">
        <v>1284</v>
      </c>
      <c r="C448" t="s">
        <v>158</v>
      </c>
      <c r="D448" t="s">
        <v>17</v>
      </c>
      <c r="E448">
        <v>16.8</v>
      </c>
      <c r="F448" t="s">
        <v>26</v>
      </c>
      <c r="G448">
        <v>630</v>
      </c>
      <c r="H448" t="s">
        <v>27</v>
      </c>
      <c r="I448">
        <v>111813</v>
      </c>
      <c r="J448" t="s">
        <v>20</v>
      </c>
      <c r="K448" t="s">
        <v>329</v>
      </c>
      <c r="L448" t="s">
        <v>1285</v>
      </c>
      <c r="M448" t="s">
        <v>441</v>
      </c>
      <c r="N448">
        <v>17</v>
      </c>
      <c r="O448">
        <v>58.4</v>
      </c>
    </row>
    <row r="449" spans="1:15">
      <c r="A449">
        <v>448</v>
      </c>
      <c r="B449" t="s">
        <v>1286</v>
      </c>
      <c r="C449" t="s">
        <v>32</v>
      </c>
      <c r="D449" t="s">
        <v>114</v>
      </c>
      <c r="E449">
        <v>49.2</v>
      </c>
      <c r="F449" t="s">
        <v>18</v>
      </c>
      <c r="G449">
        <v>459</v>
      </c>
      <c r="H449" t="s">
        <v>19</v>
      </c>
      <c r="I449">
        <v>111234</v>
      </c>
      <c r="J449" t="s">
        <v>20</v>
      </c>
      <c r="K449" t="s">
        <v>1287</v>
      </c>
      <c r="L449" t="s">
        <v>1213</v>
      </c>
      <c r="M449" t="s">
        <v>112</v>
      </c>
      <c r="N449">
        <v>6</v>
      </c>
      <c r="O449">
        <v>140.5</v>
      </c>
    </row>
    <row r="450" spans="1:15">
      <c r="A450">
        <v>449</v>
      </c>
      <c r="B450" t="s">
        <v>1288</v>
      </c>
      <c r="C450" t="s">
        <v>32</v>
      </c>
      <c r="D450" t="s">
        <v>137</v>
      </c>
      <c r="E450">
        <v>20.5</v>
      </c>
      <c r="F450" t="s">
        <v>56</v>
      </c>
      <c r="G450">
        <v>357</v>
      </c>
      <c r="H450" t="s">
        <v>27</v>
      </c>
      <c r="I450">
        <v>118487</v>
      </c>
      <c r="J450" t="s">
        <v>20</v>
      </c>
      <c r="K450" t="s">
        <v>492</v>
      </c>
      <c r="L450" t="s">
        <v>508</v>
      </c>
      <c r="M450" t="s">
        <v>112</v>
      </c>
      <c r="N450">
        <v>12</v>
      </c>
      <c r="O450">
        <v>57</v>
      </c>
    </row>
    <row r="451" spans="1:15">
      <c r="A451">
        <v>450</v>
      </c>
      <c r="B451" t="s">
        <v>1289</v>
      </c>
      <c r="C451" t="s">
        <v>50</v>
      </c>
      <c r="D451" t="s">
        <v>40</v>
      </c>
      <c r="E451">
        <v>80.8</v>
      </c>
      <c r="F451" t="s">
        <v>41</v>
      </c>
      <c r="G451">
        <v>613</v>
      </c>
      <c r="H451" t="s">
        <v>19</v>
      </c>
      <c r="I451">
        <v>49951</v>
      </c>
      <c r="J451" t="s">
        <v>20</v>
      </c>
      <c r="K451" t="s">
        <v>1290</v>
      </c>
      <c r="L451" t="s">
        <v>1291</v>
      </c>
      <c r="M451" t="s">
        <v>54</v>
      </c>
      <c r="N451">
        <v>11</v>
      </c>
      <c r="O451">
        <v>233.6</v>
      </c>
    </row>
    <row r="452" spans="1:15">
      <c r="A452">
        <v>451</v>
      </c>
      <c r="B452" t="s">
        <v>1292</v>
      </c>
      <c r="C452" t="s">
        <v>123</v>
      </c>
      <c r="D452" t="s">
        <v>137</v>
      </c>
      <c r="E452">
        <v>26.3</v>
      </c>
      <c r="F452" t="s">
        <v>26</v>
      </c>
      <c r="G452">
        <v>527</v>
      </c>
      <c r="H452" t="s">
        <v>19</v>
      </c>
      <c r="I452">
        <v>109325</v>
      </c>
      <c r="J452" t="s">
        <v>20</v>
      </c>
      <c r="K452" t="s">
        <v>1293</v>
      </c>
      <c r="L452" t="s">
        <v>1074</v>
      </c>
      <c r="M452" t="s">
        <v>117</v>
      </c>
      <c r="N452">
        <v>2</v>
      </c>
      <c r="O452">
        <v>90.7</v>
      </c>
    </row>
    <row r="453" spans="1:15">
      <c r="A453">
        <v>452</v>
      </c>
      <c r="B453" t="s">
        <v>1294</v>
      </c>
      <c r="C453" t="s">
        <v>123</v>
      </c>
      <c r="D453" t="s">
        <v>17</v>
      </c>
      <c r="E453">
        <v>75.7</v>
      </c>
      <c r="F453" t="s">
        <v>18</v>
      </c>
      <c r="G453">
        <v>321</v>
      </c>
      <c r="H453" t="s">
        <v>19</v>
      </c>
      <c r="I453">
        <v>118418</v>
      </c>
      <c r="J453" t="s">
        <v>20</v>
      </c>
      <c r="K453" t="s">
        <v>1295</v>
      </c>
      <c r="L453" t="s">
        <v>1296</v>
      </c>
      <c r="M453" t="s">
        <v>441</v>
      </c>
      <c r="N453">
        <v>3</v>
      </c>
      <c r="O453">
        <v>216.9</v>
      </c>
    </row>
    <row r="454" spans="1:15">
      <c r="A454">
        <v>453</v>
      </c>
      <c r="B454" t="s">
        <v>1297</v>
      </c>
      <c r="C454" t="s">
        <v>25</v>
      </c>
      <c r="D454" t="s">
        <v>137</v>
      </c>
      <c r="E454">
        <v>5.9</v>
      </c>
      <c r="F454" t="s">
        <v>41</v>
      </c>
      <c r="G454">
        <v>480</v>
      </c>
      <c r="H454" t="s">
        <v>27</v>
      </c>
      <c r="I454">
        <v>48376</v>
      </c>
      <c r="J454" t="s">
        <v>20</v>
      </c>
      <c r="K454" t="s">
        <v>1298</v>
      </c>
      <c r="L454" t="s">
        <v>1299</v>
      </c>
      <c r="M454" t="s">
        <v>441</v>
      </c>
      <c r="N454">
        <v>14</v>
      </c>
      <c r="O454">
        <v>15.7</v>
      </c>
    </row>
    <row r="455" spans="1:15">
      <c r="A455">
        <v>454</v>
      </c>
      <c r="B455" t="s">
        <v>1300</v>
      </c>
      <c r="C455" t="s">
        <v>39</v>
      </c>
      <c r="D455" t="s">
        <v>17</v>
      </c>
      <c r="E455">
        <v>27.7</v>
      </c>
      <c r="F455" t="s">
        <v>41</v>
      </c>
      <c r="G455">
        <v>532</v>
      </c>
      <c r="H455" t="s">
        <v>19</v>
      </c>
      <c r="I455">
        <v>17849</v>
      </c>
      <c r="J455" t="s">
        <v>20</v>
      </c>
      <c r="K455" t="s">
        <v>1301</v>
      </c>
      <c r="L455" t="s">
        <v>1302</v>
      </c>
      <c r="M455" t="s">
        <v>48</v>
      </c>
      <c r="N455">
        <v>10</v>
      </c>
      <c r="O455">
        <v>55.9</v>
      </c>
    </row>
    <row r="456" spans="1:15">
      <c r="A456">
        <v>455</v>
      </c>
      <c r="B456" t="s">
        <v>1303</v>
      </c>
      <c r="C456" t="s">
        <v>32</v>
      </c>
      <c r="D456" t="s">
        <v>33</v>
      </c>
      <c r="E456">
        <v>68.900000000000006</v>
      </c>
      <c r="F456" t="s">
        <v>18</v>
      </c>
      <c r="G456">
        <v>392</v>
      </c>
      <c r="H456" t="s">
        <v>19</v>
      </c>
      <c r="I456">
        <v>10093</v>
      </c>
      <c r="J456" t="s">
        <v>20</v>
      </c>
      <c r="K456" t="s">
        <v>1304</v>
      </c>
      <c r="L456" t="s">
        <v>719</v>
      </c>
      <c r="M456" t="s">
        <v>112</v>
      </c>
      <c r="N456">
        <v>14</v>
      </c>
      <c r="O456">
        <v>218.9</v>
      </c>
    </row>
    <row r="457" spans="1:15">
      <c r="A457">
        <v>456</v>
      </c>
      <c r="B457" t="s">
        <v>1305</v>
      </c>
      <c r="C457" t="s">
        <v>133</v>
      </c>
      <c r="D457" t="s">
        <v>114</v>
      </c>
      <c r="E457">
        <v>16.600000000000001</v>
      </c>
      <c r="F457" t="s">
        <v>56</v>
      </c>
      <c r="G457">
        <v>276</v>
      </c>
      <c r="H457" t="s">
        <v>27</v>
      </c>
      <c r="I457">
        <v>61185</v>
      </c>
      <c r="J457" t="s">
        <v>20</v>
      </c>
      <c r="K457" t="s">
        <v>1306</v>
      </c>
      <c r="L457" t="s">
        <v>1307</v>
      </c>
      <c r="M457" t="s">
        <v>86</v>
      </c>
      <c r="N457">
        <v>20</v>
      </c>
      <c r="O457">
        <v>35.700000000000003</v>
      </c>
    </row>
    <row r="458" spans="1:15">
      <c r="A458">
        <v>457</v>
      </c>
      <c r="B458" t="s">
        <v>613</v>
      </c>
      <c r="C458" t="s">
        <v>25</v>
      </c>
      <c r="D458" t="s">
        <v>137</v>
      </c>
      <c r="E458">
        <v>14.4</v>
      </c>
      <c r="F458" t="s">
        <v>26</v>
      </c>
      <c r="G458">
        <v>522</v>
      </c>
      <c r="H458" t="s">
        <v>19</v>
      </c>
      <c r="I458">
        <v>85027</v>
      </c>
      <c r="J458" t="s">
        <v>20</v>
      </c>
      <c r="K458" t="s">
        <v>1308</v>
      </c>
      <c r="L458" t="s">
        <v>1309</v>
      </c>
      <c r="M458" t="s">
        <v>69</v>
      </c>
      <c r="N458">
        <v>13</v>
      </c>
      <c r="O458">
        <v>32.5</v>
      </c>
    </row>
    <row r="459" spans="1:15">
      <c r="A459">
        <v>458</v>
      </c>
      <c r="B459" t="s">
        <v>1310</v>
      </c>
      <c r="C459" t="s">
        <v>123</v>
      </c>
      <c r="D459" t="s">
        <v>40</v>
      </c>
      <c r="E459">
        <v>70.900000000000006</v>
      </c>
      <c r="F459" t="s">
        <v>41</v>
      </c>
      <c r="G459">
        <v>567</v>
      </c>
      <c r="H459" t="s">
        <v>27</v>
      </c>
      <c r="I459">
        <v>40361</v>
      </c>
      <c r="J459" t="s">
        <v>20</v>
      </c>
      <c r="K459" t="s">
        <v>1311</v>
      </c>
      <c r="L459" t="s">
        <v>1312</v>
      </c>
      <c r="M459" t="s">
        <v>54</v>
      </c>
      <c r="N459">
        <v>20</v>
      </c>
      <c r="O459">
        <v>181.7</v>
      </c>
    </row>
    <row r="460" spans="1:15">
      <c r="A460">
        <v>459</v>
      </c>
      <c r="B460" t="s">
        <v>1313</v>
      </c>
      <c r="C460" t="s">
        <v>32</v>
      </c>
      <c r="D460" t="s">
        <v>137</v>
      </c>
      <c r="E460">
        <v>87.3</v>
      </c>
      <c r="F460" t="s">
        <v>62</v>
      </c>
      <c r="G460">
        <v>94</v>
      </c>
      <c r="H460" t="s">
        <v>19</v>
      </c>
      <c r="I460">
        <v>63420</v>
      </c>
      <c r="J460" t="s">
        <v>20</v>
      </c>
      <c r="K460" t="s">
        <v>1314</v>
      </c>
      <c r="L460" t="s">
        <v>1315</v>
      </c>
      <c r="M460" t="s">
        <v>112</v>
      </c>
      <c r="N460">
        <v>5</v>
      </c>
      <c r="O460">
        <v>269.60000000000002</v>
      </c>
    </row>
    <row r="461" spans="1:15">
      <c r="A461">
        <v>460</v>
      </c>
      <c r="B461" t="s">
        <v>1162</v>
      </c>
      <c r="C461" t="s">
        <v>158</v>
      </c>
      <c r="D461" t="s">
        <v>61</v>
      </c>
      <c r="E461">
        <v>0</v>
      </c>
      <c r="F461" t="s">
        <v>18</v>
      </c>
      <c r="G461">
        <v>135</v>
      </c>
      <c r="H461" t="s">
        <v>27</v>
      </c>
      <c r="I461">
        <v>28299</v>
      </c>
      <c r="J461" t="s">
        <v>20</v>
      </c>
      <c r="K461" t="s">
        <v>1186</v>
      </c>
      <c r="L461" t="s">
        <v>880</v>
      </c>
      <c r="M461" t="s">
        <v>48</v>
      </c>
      <c r="N461">
        <v>8</v>
      </c>
      <c r="O461">
        <v>0</v>
      </c>
    </row>
    <row r="462" spans="1:15">
      <c r="A462">
        <v>461</v>
      </c>
      <c r="B462" t="s">
        <v>1316</v>
      </c>
      <c r="C462" t="s">
        <v>39</v>
      </c>
      <c r="D462" t="s">
        <v>40</v>
      </c>
      <c r="E462">
        <v>65.599999999999994</v>
      </c>
      <c r="F462" t="s">
        <v>62</v>
      </c>
      <c r="G462">
        <v>615</v>
      </c>
      <c r="H462" t="s">
        <v>27</v>
      </c>
      <c r="I462">
        <v>110943</v>
      </c>
      <c r="J462" t="s">
        <v>20</v>
      </c>
      <c r="K462" t="s">
        <v>1317</v>
      </c>
      <c r="L462" t="s">
        <v>883</v>
      </c>
      <c r="M462" t="s">
        <v>59</v>
      </c>
      <c r="N462">
        <v>2</v>
      </c>
      <c r="O462">
        <v>168.4</v>
      </c>
    </row>
    <row r="463" spans="1:15">
      <c r="A463">
        <v>462</v>
      </c>
      <c r="B463" t="s">
        <v>1318</v>
      </c>
      <c r="C463" t="s">
        <v>158</v>
      </c>
      <c r="D463" t="s">
        <v>17</v>
      </c>
      <c r="E463">
        <v>26.5</v>
      </c>
      <c r="F463" t="s">
        <v>41</v>
      </c>
      <c r="G463">
        <v>83</v>
      </c>
      <c r="H463" t="s">
        <v>19</v>
      </c>
      <c r="I463">
        <v>52192</v>
      </c>
      <c r="J463" t="s">
        <v>20</v>
      </c>
      <c r="K463" t="s">
        <v>1319</v>
      </c>
      <c r="L463" t="s">
        <v>1320</v>
      </c>
      <c r="M463" t="s">
        <v>54</v>
      </c>
      <c r="N463">
        <v>13</v>
      </c>
      <c r="O463">
        <v>61.9</v>
      </c>
    </row>
    <row r="464" spans="1:15">
      <c r="A464">
        <v>463</v>
      </c>
      <c r="B464" t="s">
        <v>1321</v>
      </c>
      <c r="C464" t="s">
        <v>39</v>
      </c>
      <c r="D464" t="s">
        <v>17</v>
      </c>
      <c r="E464">
        <v>32.5</v>
      </c>
      <c r="F464" t="s">
        <v>41</v>
      </c>
      <c r="G464">
        <v>616</v>
      </c>
      <c r="H464" t="s">
        <v>19</v>
      </c>
      <c r="I464">
        <v>59479</v>
      </c>
      <c r="J464" t="s">
        <v>20</v>
      </c>
      <c r="K464" t="s">
        <v>1322</v>
      </c>
      <c r="L464" t="s">
        <v>1323</v>
      </c>
      <c r="M464" t="s">
        <v>54</v>
      </c>
      <c r="N464">
        <v>9</v>
      </c>
      <c r="O464">
        <v>104.9</v>
      </c>
    </row>
    <row r="465" spans="1:15">
      <c r="A465">
        <v>464</v>
      </c>
      <c r="B465" t="s">
        <v>1162</v>
      </c>
      <c r="C465" t="s">
        <v>50</v>
      </c>
      <c r="D465" t="s">
        <v>40</v>
      </c>
      <c r="E465">
        <v>13.1</v>
      </c>
      <c r="F465" t="s">
        <v>56</v>
      </c>
      <c r="G465">
        <v>139</v>
      </c>
      <c r="H465" t="s">
        <v>19</v>
      </c>
      <c r="I465">
        <v>25359</v>
      </c>
      <c r="J465" t="s">
        <v>20</v>
      </c>
      <c r="K465" t="s">
        <v>1324</v>
      </c>
      <c r="L465" t="s">
        <v>1121</v>
      </c>
      <c r="M465" t="s">
        <v>59</v>
      </c>
      <c r="N465">
        <v>8</v>
      </c>
      <c r="O465">
        <v>39</v>
      </c>
    </row>
    <row r="466" spans="1:15">
      <c r="A466">
        <v>465</v>
      </c>
      <c r="B466" t="s">
        <v>1325</v>
      </c>
      <c r="C466" t="s">
        <v>50</v>
      </c>
      <c r="D466" t="s">
        <v>137</v>
      </c>
      <c r="E466">
        <v>73</v>
      </c>
      <c r="F466" t="s">
        <v>26</v>
      </c>
      <c r="G466">
        <v>608</v>
      </c>
      <c r="H466" t="s">
        <v>19</v>
      </c>
      <c r="I466">
        <v>102552</v>
      </c>
      <c r="J466" t="s">
        <v>20</v>
      </c>
      <c r="K466" t="s">
        <v>1326</v>
      </c>
      <c r="L466" t="s">
        <v>1327</v>
      </c>
      <c r="M466" t="s">
        <v>441</v>
      </c>
      <c r="N466">
        <v>3</v>
      </c>
      <c r="O466">
        <v>230.1</v>
      </c>
    </row>
    <row r="467" spans="1:15">
      <c r="A467">
        <v>466</v>
      </c>
      <c r="B467" t="s">
        <v>1328</v>
      </c>
      <c r="C467" t="s">
        <v>158</v>
      </c>
      <c r="D467" t="s">
        <v>61</v>
      </c>
      <c r="E467">
        <v>0</v>
      </c>
      <c r="F467" t="s">
        <v>18</v>
      </c>
      <c r="G467">
        <v>198</v>
      </c>
      <c r="H467" t="s">
        <v>27</v>
      </c>
      <c r="I467">
        <v>96016</v>
      </c>
      <c r="J467" t="s">
        <v>20</v>
      </c>
      <c r="K467" t="s">
        <v>1329</v>
      </c>
      <c r="L467" t="s">
        <v>89</v>
      </c>
      <c r="M467" t="s">
        <v>117</v>
      </c>
      <c r="N467">
        <v>12</v>
      </c>
      <c r="O467">
        <v>0</v>
      </c>
    </row>
    <row r="468" spans="1:15">
      <c r="A468">
        <v>467</v>
      </c>
      <c r="B468" t="s">
        <v>1330</v>
      </c>
      <c r="C468" t="s">
        <v>123</v>
      </c>
      <c r="D468" t="s">
        <v>40</v>
      </c>
      <c r="E468">
        <v>45.3</v>
      </c>
      <c r="F468" t="s">
        <v>18</v>
      </c>
      <c r="G468">
        <v>557</v>
      </c>
      <c r="H468" t="s">
        <v>19</v>
      </c>
      <c r="I468">
        <v>19695</v>
      </c>
      <c r="J468" t="s">
        <v>20</v>
      </c>
      <c r="K468" t="s">
        <v>1331</v>
      </c>
      <c r="L468" t="s">
        <v>1332</v>
      </c>
      <c r="M468" t="s">
        <v>117</v>
      </c>
      <c r="N468">
        <v>1</v>
      </c>
      <c r="O468">
        <v>145.69999999999999</v>
      </c>
    </row>
    <row r="469" spans="1:15">
      <c r="A469">
        <v>468</v>
      </c>
      <c r="B469" t="s">
        <v>1333</v>
      </c>
      <c r="C469" t="s">
        <v>133</v>
      </c>
      <c r="D469" t="s">
        <v>40</v>
      </c>
      <c r="E469">
        <v>70.5</v>
      </c>
      <c r="F469" t="s">
        <v>18</v>
      </c>
      <c r="G469">
        <v>60</v>
      </c>
      <c r="H469" t="s">
        <v>27</v>
      </c>
      <c r="I469">
        <v>63259</v>
      </c>
      <c r="J469" t="s">
        <v>20</v>
      </c>
      <c r="K469" t="s">
        <v>1334</v>
      </c>
      <c r="L469" t="s">
        <v>1335</v>
      </c>
      <c r="M469" t="s">
        <v>59</v>
      </c>
      <c r="N469">
        <v>9</v>
      </c>
      <c r="O469">
        <v>175.9</v>
      </c>
    </row>
    <row r="470" spans="1:15">
      <c r="A470">
        <v>469</v>
      </c>
      <c r="B470" t="s">
        <v>1336</v>
      </c>
      <c r="C470" t="s">
        <v>133</v>
      </c>
      <c r="D470" t="s">
        <v>33</v>
      </c>
      <c r="E470">
        <v>49</v>
      </c>
      <c r="F470" t="s">
        <v>41</v>
      </c>
      <c r="G470">
        <v>699</v>
      </c>
      <c r="H470" t="s">
        <v>27</v>
      </c>
      <c r="I470">
        <v>117761</v>
      </c>
      <c r="J470" t="s">
        <v>20</v>
      </c>
      <c r="K470" t="s">
        <v>1337</v>
      </c>
      <c r="L470" t="s">
        <v>1338</v>
      </c>
      <c r="M470" t="s">
        <v>86</v>
      </c>
      <c r="N470">
        <v>18</v>
      </c>
      <c r="O470">
        <v>98.9</v>
      </c>
    </row>
    <row r="471" spans="1:15">
      <c r="A471">
        <v>470</v>
      </c>
      <c r="B471" t="s">
        <v>1294</v>
      </c>
      <c r="C471" t="s">
        <v>39</v>
      </c>
      <c r="D471" t="s">
        <v>17</v>
      </c>
      <c r="E471">
        <v>17.899999999999999</v>
      </c>
      <c r="F471" t="s">
        <v>56</v>
      </c>
      <c r="G471">
        <v>80</v>
      </c>
      <c r="H471" t="s">
        <v>19</v>
      </c>
      <c r="I471">
        <v>63044</v>
      </c>
      <c r="J471" t="s">
        <v>20</v>
      </c>
      <c r="K471" t="s">
        <v>1339</v>
      </c>
      <c r="L471" t="s">
        <v>1340</v>
      </c>
      <c r="M471" t="s">
        <v>86</v>
      </c>
      <c r="N471">
        <v>8</v>
      </c>
      <c r="O471">
        <v>57.7</v>
      </c>
    </row>
    <row r="472" spans="1:15">
      <c r="A472">
        <v>471</v>
      </c>
      <c r="B472" t="s">
        <v>1341</v>
      </c>
      <c r="C472" t="s">
        <v>158</v>
      </c>
      <c r="D472" t="s">
        <v>17</v>
      </c>
      <c r="E472">
        <v>3.6</v>
      </c>
      <c r="F472" t="s">
        <v>41</v>
      </c>
      <c r="G472">
        <v>483</v>
      </c>
      <c r="H472" t="s">
        <v>19</v>
      </c>
      <c r="I472">
        <v>83954</v>
      </c>
      <c r="J472" t="s">
        <v>20</v>
      </c>
      <c r="K472" t="s">
        <v>1342</v>
      </c>
      <c r="L472" t="s">
        <v>47</v>
      </c>
      <c r="M472" t="s">
        <v>86</v>
      </c>
      <c r="N472">
        <v>7</v>
      </c>
      <c r="O472">
        <v>10.8</v>
      </c>
    </row>
    <row r="473" spans="1:15">
      <c r="A473">
        <v>472</v>
      </c>
      <c r="B473" t="s">
        <v>1343</v>
      </c>
      <c r="C473" t="s">
        <v>32</v>
      </c>
      <c r="D473" t="s">
        <v>40</v>
      </c>
      <c r="E473">
        <v>61.3</v>
      </c>
      <c r="F473" t="s">
        <v>26</v>
      </c>
      <c r="G473">
        <v>239</v>
      </c>
      <c r="H473" t="s">
        <v>27</v>
      </c>
      <c r="I473">
        <v>69264</v>
      </c>
      <c r="J473" t="s">
        <v>20</v>
      </c>
      <c r="K473" t="s">
        <v>1344</v>
      </c>
      <c r="L473" t="s">
        <v>1345</v>
      </c>
      <c r="M473" t="s">
        <v>117</v>
      </c>
      <c r="N473">
        <v>11</v>
      </c>
      <c r="O473">
        <v>190.5</v>
      </c>
    </row>
    <row r="474" spans="1:15">
      <c r="A474">
        <v>473</v>
      </c>
      <c r="B474" t="s">
        <v>1346</v>
      </c>
      <c r="C474" t="s">
        <v>39</v>
      </c>
      <c r="D474" t="s">
        <v>137</v>
      </c>
      <c r="E474">
        <v>65.599999999999994</v>
      </c>
      <c r="F474" t="s">
        <v>56</v>
      </c>
      <c r="G474">
        <v>693</v>
      </c>
      <c r="H474" t="s">
        <v>27</v>
      </c>
      <c r="I474">
        <v>84202</v>
      </c>
      <c r="J474" t="s">
        <v>20</v>
      </c>
      <c r="K474" t="s">
        <v>1347</v>
      </c>
      <c r="L474" t="s">
        <v>1348</v>
      </c>
      <c r="N474">
        <v>2</v>
      </c>
      <c r="O474">
        <v>157.30000000000001</v>
      </c>
    </row>
    <row r="475" spans="1:15">
      <c r="A475">
        <v>474</v>
      </c>
      <c r="B475" t="s">
        <v>1349</v>
      </c>
      <c r="C475" t="s">
        <v>123</v>
      </c>
      <c r="D475" t="s">
        <v>33</v>
      </c>
      <c r="E475">
        <v>78.7</v>
      </c>
      <c r="F475" t="s">
        <v>56</v>
      </c>
      <c r="G475">
        <v>152</v>
      </c>
      <c r="H475" t="s">
        <v>19</v>
      </c>
      <c r="I475">
        <v>102090</v>
      </c>
      <c r="J475" t="s">
        <v>20</v>
      </c>
      <c r="K475" t="s">
        <v>1350</v>
      </c>
      <c r="L475" t="s">
        <v>664</v>
      </c>
      <c r="M475" t="s">
        <v>86</v>
      </c>
      <c r="N475">
        <v>18</v>
      </c>
      <c r="O475">
        <v>164</v>
      </c>
    </row>
    <row r="476" spans="1:15">
      <c r="A476">
        <v>475</v>
      </c>
      <c r="B476" t="s">
        <v>1351</v>
      </c>
      <c r="C476" t="s">
        <v>133</v>
      </c>
      <c r="D476" t="s">
        <v>40</v>
      </c>
      <c r="E476">
        <v>25.5</v>
      </c>
      <c r="F476" t="s">
        <v>41</v>
      </c>
      <c r="G476">
        <v>342</v>
      </c>
      <c r="H476" t="s">
        <v>19</v>
      </c>
      <c r="I476">
        <v>14045</v>
      </c>
      <c r="J476" t="s">
        <v>20</v>
      </c>
      <c r="K476" t="s">
        <v>1352</v>
      </c>
      <c r="L476" t="s">
        <v>997</v>
      </c>
      <c r="M476" t="s">
        <v>117</v>
      </c>
      <c r="N476">
        <v>8</v>
      </c>
      <c r="O476">
        <v>83.8</v>
      </c>
    </row>
    <row r="477" spans="1:15">
      <c r="A477">
        <v>476</v>
      </c>
      <c r="B477" t="s">
        <v>1353</v>
      </c>
      <c r="C477" t="s">
        <v>16</v>
      </c>
      <c r="D477" t="s">
        <v>17</v>
      </c>
      <c r="E477">
        <v>77.599999999999994</v>
      </c>
      <c r="F477" t="s">
        <v>56</v>
      </c>
      <c r="G477">
        <v>346</v>
      </c>
      <c r="H477" t="s">
        <v>19</v>
      </c>
      <c r="I477">
        <v>62304</v>
      </c>
      <c r="J477" t="s">
        <v>20</v>
      </c>
      <c r="K477" t="s">
        <v>1354</v>
      </c>
      <c r="L477" t="s">
        <v>1355</v>
      </c>
      <c r="M477" t="s">
        <v>441</v>
      </c>
      <c r="N477">
        <v>12</v>
      </c>
      <c r="O477">
        <v>237.6</v>
      </c>
    </row>
    <row r="478" spans="1:15">
      <c r="A478">
        <v>477</v>
      </c>
      <c r="B478" t="s">
        <v>1356</v>
      </c>
      <c r="C478" t="s">
        <v>32</v>
      </c>
      <c r="D478" t="s">
        <v>61</v>
      </c>
      <c r="E478">
        <v>0</v>
      </c>
      <c r="F478" t="s">
        <v>41</v>
      </c>
      <c r="G478">
        <v>134</v>
      </c>
      <c r="H478" t="s">
        <v>27</v>
      </c>
      <c r="I478">
        <v>12627</v>
      </c>
      <c r="J478" t="s">
        <v>20</v>
      </c>
      <c r="K478" t="s">
        <v>1357</v>
      </c>
      <c r="L478" t="s">
        <v>116</v>
      </c>
      <c r="M478" t="s">
        <v>112</v>
      </c>
      <c r="N478">
        <v>14</v>
      </c>
      <c r="O478">
        <v>0</v>
      </c>
    </row>
    <row r="479" spans="1:15">
      <c r="A479">
        <v>478</v>
      </c>
      <c r="B479" t="s">
        <v>1358</v>
      </c>
      <c r="C479" t="s">
        <v>133</v>
      </c>
      <c r="D479" t="s">
        <v>40</v>
      </c>
      <c r="E479">
        <v>69.8</v>
      </c>
      <c r="F479" t="s">
        <v>56</v>
      </c>
      <c r="G479">
        <v>176</v>
      </c>
      <c r="H479" t="s">
        <v>19</v>
      </c>
      <c r="I479">
        <v>82152</v>
      </c>
      <c r="J479" t="s">
        <v>20</v>
      </c>
      <c r="K479" t="s">
        <v>1359</v>
      </c>
      <c r="L479" t="s">
        <v>703</v>
      </c>
      <c r="N479">
        <v>13</v>
      </c>
      <c r="O479">
        <v>166.7</v>
      </c>
    </row>
    <row r="480" spans="1:15">
      <c r="A480">
        <v>479</v>
      </c>
      <c r="B480" t="s">
        <v>1360</v>
      </c>
      <c r="C480" t="s">
        <v>133</v>
      </c>
      <c r="D480" t="s">
        <v>40</v>
      </c>
      <c r="E480">
        <v>19.100000000000001</v>
      </c>
      <c r="F480" t="s">
        <v>41</v>
      </c>
      <c r="G480">
        <v>618</v>
      </c>
      <c r="H480" t="s">
        <v>19</v>
      </c>
      <c r="I480">
        <v>88816</v>
      </c>
      <c r="J480" t="s">
        <v>20</v>
      </c>
      <c r="K480" t="s">
        <v>1361</v>
      </c>
      <c r="L480" t="s">
        <v>1299</v>
      </c>
      <c r="M480" t="s">
        <v>86</v>
      </c>
      <c r="N480">
        <v>2</v>
      </c>
      <c r="O480">
        <v>55</v>
      </c>
    </row>
    <row r="481" spans="1:15">
      <c r="A481">
        <v>480</v>
      </c>
      <c r="B481" t="s">
        <v>1362</v>
      </c>
      <c r="C481" t="s">
        <v>32</v>
      </c>
      <c r="D481" t="s">
        <v>61</v>
      </c>
      <c r="E481">
        <v>0</v>
      </c>
      <c r="F481" t="s">
        <v>62</v>
      </c>
      <c r="G481">
        <v>164</v>
      </c>
      <c r="H481" t="s">
        <v>19</v>
      </c>
      <c r="I481">
        <v>100909</v>
      </c>
      <c r="J481" t="s">
        <v>20</v>
      </c>
      <c r="K481" t="s">
        <v>1363</v>
      </c>
      <c r="L481" t="s">
        <v>1364</v>
      </c>
      <c r="M481" t="s">
        <v>117</v>
      </c>
      <c r="N481">
        <v>7</v>
      </c>
      <c r="O481">
        <v>0</v>
      </c>
    </row>
    <row r="482" spans="1:15">
      <c r="A482">
        <v>481</v>
      </c>
      <c r="B482" t="s">
        <v>1365</v>
      </c>
      <c r="C482" t="s">
        <v>39</v>
      </c>
      <c r="D482" t="s">
        <v>137</v>
      </c>
      <c r="E482">
        <v>8</v>
      </c>
      <c r="F482" t="s">
        <v>26</v>
      </c>
      <c r="G482">
        <v>81</v>
      </c>
      <c r="H482" t="s">
        <v>27</v>
      </c>
      <c r="I482">
        <v>37069</v>
      </c>
      <c r="J482" t="s">
        <v>20</v>
      </c>
      <c r="K482" t="s">
        <v>138</v>
      </c>
      <c r="L482" t="s">
        <v>904</v>
      </c>
      <c r="M482" t="s">
        <v>48</v>
      </c>
      <c r="N482">
        <v>8</v>
      </c>
      <c r="O482">
        <v>18.7</v>
      </c>
    </row>
    <row r="483" spans="1:15">
      <c r="A483">
        <v>482</v>
      </c>
      <c r="B483" t="s">
        <v>1366</v>
      </c>
      <c r="C483" t="s">
        <v>25</v>
      </c>
      <c r="D483" t="s">
        <v>33</v>
      </c>
      <c r="E483">
        <v>39.200000000000003</v>
      </c>
      <c r="F483" t="s">
        <v>18</v>
      </c>
      <c r="G483">
        <v>435</v>
      </c>
      <c r="H483" t="s">
        <v>19</v>
      </c>
      <c r="I483">
        <v>114099</v>
      </c>
      <c r="J483" t="s">
        <v>20</v>
      </c>
      <c r="K483" t="s">
        <v>1367</v>
      </c>
      <c r="L483" t="s">
        <v>572</v>
      </c>
      <c r="M483" t="s">
        <v>59</v>
      </c>
      <c r="N483">
        <v>5</v>
      </c>
      <c r="O483">
        <v>94.7</v>
      </c>
    </row>
    <row r="484" spans="1:15">
      <c r="A484">
        <v>483</v>
      </c>
      <c r="B484" t="s">
        <v>1321</v>
      </c>
      <c r="C484" t="s">
        <v>16</v>
      </c>
      <c r="D484" t="s">
        <v>137</v>
      </c>
      <c r="E484">
        <v>62.4</v>
      </c>
      <c r="F484" t="s">
        <v>62</v>
      </c>
      <c r="G484">
        <v>173</v>
      </c>
      <c r="H484" t="s">
        <v>27</v>
      </c>
      <c r="I484">
        <v>53198</v>
      </c>
      <c r="J484" t="s">
        <v>20</v>
      </c>
      <c r="K484" t="s">
        <v>1368</v>
      </c>
      <c r="L484" t="s">
        <v>1119</v>
      </c>
      <c r="M484" t="s">
        <v>117</v>
      </c>
      <c r="N484">
        <v>19</v>
      </c>
      <c r="O484">
        <v>196</v>
      </c>
    </row>
    <row r="485" spans="1:15">
      <c r="A485">
        <v>484</v>
      </c>
      <c r="B485" t="s">
        <v>1369</v>
      </c>
      <c r="C485" t="s">
        <v>32</v>
      </c>
      <c r="D485" t="s">
        <v>114</v>
      </c>
      <c r="E485">
        <v>73.900000000000006</v>
      </c>
      <c r="F485" t="s">
        <v>56</v>
      </c>
      <c r="G485">
        <v>205</v>
      </c>
      <c r="H485" t="s">
        <v>19</v>
      </c>
      <c r="I485">
        <v>57162</v>
      </c>
      <c r="J485" t="s">
        <v>20</v>
      </c>
      <c r="K485" t="s">
        <v>1370</v>
      </c>
      <c r="L485" t="s">
        <v>416</v>
      </c>
      <c r="M485" t="s">
        <v>112</v>
      </c>
      <c r="N485">
        <v>12</v>
      </c>
      <c r="O485">
        <v>256.2</v>
      </c>
    </row>
    <row r="486" spans="1:15">
      <c r="A486">
        <v>485</v>
      </c>
      <c r="B486" t="s">
        <v>1371</v>
      </c>
      <c r="C486" t="s">
        <v>25</v>
      </c>
      <c r="D486" t="s">
        <v>40</v>
      </c>
      <c r="E486">
        <v>63.3</v>
      </c>
      <c r="F486" t="s">
        <v>18</v>
      </c>
      <c r="G486">
        <v>392</v>
      </c>
      <c r="H486" t="s">
        <v>27</v>
      </c>
      <c r="I486">
        <v>11255</v>
      </c>
      <c r="J486" t="s">
        <v>20</v>
      </c>
      <c r="K486" t="s">
        <v>1372</v>
      </c>
      <c r="L486" t="s">
        <v>1373</v>
      </c>
      <c r="M486" t="s">
        <v>48</v>
      </c>
      <c r="N486">
        <v>19</v>
      </c>
      <c r="O486">
        <v>217.6</v>
      </c>
    </row>
    <row r="487" spans="1:15">
      <c r="A487">
        <v>486</v>
      </c>
      <c r="B487" t="s">
        <v>1374</v>
      </c>
      <c r="C487" t="s">
        <v>158</v>
      </c>
      <c r="D487" t="s">
        <v>17</v>
      </c>
      <c r="E487">
        <v>4.8</v>
      </c>
      <c r="F487" t="s">
        <v>56</v>
      </c>
      <c r="G487">
        <v>533</v>
      </c>
      <c r="H487" t="s">
        <v>27</v>
      </c>
      <c r="I487">
        <v>60718</v>
      </c>
      <c r="J487" t="s">
        <v>20</v>
      </c>
      <c r="K487" t="s">
        <v>1375</v>
      </c>
      <c r="L487" t="s">
        <v>1376</v>
      </c>
      <c r="M487" t="s">
        <v>48</v>
      </c>
      <c r="N487">
        <v>14</v>
      </c>
      <c r="O487">
        <v>10.4</v>
      </c>
    </row>
    <row r="488" spans="1:15">
      <c r="A488">
        <v>487</v>
      </c>
      <c r="B488" t="s">
        <v>1377</v>
      </c>
      <c r="C488" t="s">
        <v>50</v>
      </c>
      <c r="D488" t="s">
        <v>61</v>
      </c>
      <c r="E488">
        <v>0</v>
      </c>
      <c r="F488" t="s">
        <v>62</v>
      </c>
      <c r="G488">
        <v>393</v>
      </c>
      <c r="H488" t="s">
        <v>27</v>
      </c>
      <c r="I488">
        <v>84640</v>
      </c>
      <c r="J488" t="s">
        <v>20</v>
      </c>
      <c r="K488" t="s">
        <v>1378</v>
      </c>
      <c r="L488" t="s">
        <v>1379</v>
      </c>
      <c r="M488" t="s">
        <v>121</v>
      </c>
      <c r="N488">
        <v>17</v>
      </c>
      <c r="O488">
        <v>0</v>
      </c>
    </row>
    <row r="489" spans="1:15">
      <c r="A489">
        <v>488</v>
      </c>
      <c r="B489" t="s">
        <v>684</v>
      </c>
      <c r="C489" t="s">
        <v>39</v>
      </c>
      <c r="D489" t="s">
        <v>17</v>
      </c>
      <c r="E489">
        <v>19.7</v>
      </c>
      <c r="F489" t="s">
        <v>18</v>
      </c>
      <c r="G489">
        <v>61</v>
      </c>
      <c r="H489" t="s">
        <v>19</v>
      </c>
      <c r="I489">
        <v>8241</v>
      </c>
      <c r="J489" t="s">
        <v>20</v>
      </c>
      <c r="K489" t="s">
        <v>1380</v>
      </c>
      <c r="L489" t="s">
        <v>595</v>
      </c>
      <c r="M489" t="s">
        <v>48</v>
      </c>
      <c r="N489">
        <v>2</v>
      </c>
      <c r="O489">
        <v>66.8</v>
      </c>
    </row>
    <row r="490" spans="1:15">
      <c r="A490">
        <v>489</v>
      </c>
      <c r="B490" t="s">
        <v>1381</v>
      </c>
      <c r="C490" t="s">
        <v>39</v>
      </c>
      <c r="D490" t="s">
        <v>61</v>
      </c>
      <c r="E490">
        <v>0</v>
      </c>
      <c r="F490" t="s">
        <v>56</v>
      </c>
      <c r="G490">
        <v>22</v>
      </c>
      <c r="H490" t="s">
        <v>27</v>
      </c>
      <c r="I490">
        <v>92169</v>
      </c>
      <c r="J490" t="s">
        <v>20</v>
      </c>
      <c r="K490" t="s">
        <v>1382</v>
      </c>
      <c r="L490" t="s">
        <v>928</v>
      </c>
      <c r="M490" t="s">
        <v>112</v>
      </c>
      <c r="N490">
        <v>16</v>
      </c>
      <c r="O490">
        <v>0</v>
      </c>
    </row>
    <row r="491" spans="1:15">
      <c r="A491">
        <v>490</v>
      </c>
      <c r="B491" t="s">
        <v>1383</v>
      </c>
      <c r="C491" t="s">
        <v>158</v>
      </c>
      <c r="D491" t="s">
        <v>61</v>
      </c>
      <c r="E491">
        <v>0</v>
      </c>
      <c r="F491" t="s">
        <v>62</v>
      </c>
      <c r="G491">
        <v>594</v>
      </c>
      <c r="H491" t="s">
        <v>27</v>
      </c>
      <c r="I491">
        <v>43449</v>
      </c>
      <c r="J491" t="s">
        <v>20</v>
      </c>
      <c r="K491" t="s">
        <v>1384</v>
      </c>
      <c r="L491" t="s">
        <v>1385</v>
      </c>
      <c r="M491" t="s">
        <v>86</v>
      </c>
      <c r="N491">
        <v>10</v>
      </c>
      <c r="O491">
        <v>0</v>
      </c>
    </row>
    <row r="492" spans="1:15">
      <c r="A492">
        <v>491</v>
      </c>
      <c r="B492" t="s">
        <v>1386</v>
      </c>
      <c r="C492" t="s">
        <v>16</v>
      </c>
      <c r="D492" t="s">
        <v>61</v>
      </c>
      <c r="E492">
        <v>0</v>
      </c>
      <c r="F492" t="s">
        <v>26</v>
      </c>
      <c r="G492">
        <v>348</v>
      </c>
      <c r="H492" t="s">
        <v>19</v>
      </c>
      <c r="I492">
        <v>25997</v>
      </c>
      <c r="J492" t="s">
        <v>20</v>
      </c>
      <c r="K492" t="s">
        <v>1387</v>
      </c>
      <c r="L492" t="s">
        <v>893</v>
      </c>
      <c r="M492" t="s">
        <v>54</v>
      </c>
      <c r="N492">
        <v>8</v>
      </c>
      <c r="O492">
        <v>0</v>
      </c>
    </row>
    <row r="493" spans="1:15">
      <c r="A493">
        <v>492</v>
      </c>
      <c r="B493" t="s">
        <v>1388</v>
      </c>
      <c r="C493" t="s">
        <v>123</v>
      </c>
      <c r="D493" t="s">
        <v>33</v>
      </c>
      <c r="E493">
        <v>29</v>
      </c>
      <c r="F493" t="s">
        <v>41</v>
      </c>
      <c r="G493">
        <v>28</v>
      </c>
      <c r="H493" t="s">
        <v>27</v>
      </c>
      <c r="I493">
        <v>92745</v>
      </c>
      <c r="J493" t="s">
        <v>20</v>
      </c>
      <c r="K493" t="s">
        <v>1389</v>
      </c>
      <c r="L493" t="s">
        <v>1390</v>
      </c>
      <c r="M493" t="s">
        <v>86</v>
      </c>
      <c r="N493">
        <v>8</v>
      </c>
      <c r="O493">
        <v>67.900000000000006</v>
      </c>
    </row>
    <row r="494" spans="1:15">
      <c r="A494">
        <v>493</v>
      </c>
      <c r="B494" t="s">
        <v>1391</v>
      </c>
      <c r="C494" t="s">
        <v>123</v>
      </c>
      <c r="D494" t="s">
        <v>114</v>
      </c>
      <c r="E494">
        <v>79</v>
      </c>
      <c r="F494" t="s">
        <v>62</v>
      </c>
      <c r="G494">
        <v>202</v>
      </c>
      <c r="H494" t="s">
        <v>27</v>
      </c>
      <c r="I494">
        <v>78495</v>
      </c>
      <c r="J494" t="s">
        <v>20</v>
      </c>
      <c r="K494" t="s">
        <v>746</v>
      </c>
      <c r="L494" t="s">
        <v>1392</v>
      </c>
      <c r="N494">
        <v>4</v>
      </c>
      <c r="O494">
        <v>158.1</v>
      </c>
    </row>
    <row r="495" spans="1:15">
      <c r="A495">
        <v>494</v>
      </c>
      <c r="B495" t="s">
        <v>1393</v>
      </c>
      <c r="C495" t="s">
        <v>50</v>
      </c>
      <c r="D495" t="s">
        <v>17</v>
      </c>
      <c r="E495">
        <v>48.8</v>
      </c>
      <c r="F495" t="s">
        <v>62</v>
      </c>
      <c r="G495">
        <v>194</v>
      </c>
      <c r="H495" t="s">
        <v>27</v>
      </c>
      <c r="I495">
        <v>99464</v>
      </c>
      <c r="J495" t="s">
        <v>20</v>
      </c>
      <c r="K495" t="s">
        <v>1394</v>
      </c>
      <c r="L495" t="s">
        <v>1392</v>
      </c>
      <c r="M495" t="s">
        <v>117</v>
      </c>
      <c r="N495">
        <v>18</v>
      </c>
      <c r="O495">
        <v>135.9</v>
      </c>
    </row>
    <row r="496" spans="1:15">
      <c r="A496">
        <v>495</v>
      </c>
      <c r="B496" t="s">
        <v>1395</v>
      </c>
      <c r="C496" t="s">
        <v>123</v>
      </c>
      <c r="D496" t="s">
        <v>137</v>
      </c>
      <c r="E496">
        <v>61.7</v>
      </c>
      <c r="F496" t="s">
        <v>62</v>
      </c>
      <c r="G496">
        <v>327</v>
      </c>
      <c r="H496" t="s">
        <v>19</v>
      </c>
      <c r="I496">
        <v>77618</v>
      </c>
      <c r="J496" t="s">
        <v>20</v>
      </c>
      <c r="K496" t="s">
        <v>1396</v>
      </c>
      <c r="L496" t="s">
        <v>1178</v>
      </c>
      <c r="M496" t="s">
        <v>86</v>
      </c>
      <c r="N496">
        <v>18</v>
      </c>
      <c r="O496">
        <v>215.3</v>
      </c>
    </row>
    <row r="497" spans="1:15">
      <c r="A497">
        <v>496</v>
      </c>
      <c r="B497" t="s">
        <v>1397</v>
      </c>
      <c r="C497" t="s">
        <v>39</v>
      </c>
      <c r="D497" t="s">
        <v>114</v>
      </c>
      <c r="E497">
        <v>61.6</v>
      </c>
      <c r="F497" t="s">
        <v>62</v>
      </c>
      <c r="G497">
        <v>479</v>
      </c>
      <c r="H497" t="s">
        <v>19</v>
      </c>
      <c r="I497">
        <v>62352</v>
      </c>
      <c r="J497" t="s">
        <v>20</v>
      </c>
      <c r="K497" t="s">
        <v>1398</v>
      </c>
      <c r="L497" t="s">
        <v>1399</v>
      </c>
      <c r="M497" t="s">
        <v>121</v>
      </c>
      <c r="N497">
        <v>9</v>
      </c>
      <c r="O497">
        <v>172.2</v>
      </c>
    </row>
    <row r="498" spans="1:15">
      <c r="A498">
        <v>497</v>
      </c>
      <c r="B498" t="s">
        <v>926</v>
      </c>
      <c r="C498" t="s">
        <v>16</v>
      </c>
      <c r="D498" t="s">
        <v>17</v>
      </c>
      <c r="E498">
        <v>33.700000000000003</v>
      </c>
      <c r="F498" t="s">
        <v>41</v>
      </c>
      <c r="G498">
        <v>104</v>
      </c>
      <c r="H498" t="s">
        <v>27</v>
      </c>
      <c r="I498">
        <v>62338</v>
      </c>
      <c r="J498" t="s">
        <v>20</v>
      </c>
      <c r="K498" t="s">
        <v>1400</v>
      </c>
      <c r="L498" t="s">
        <v>1401</v>
      </c>
      <c r="M498" t="s">
        <v>86</v>
      </c>
      <c r="N498">
        <v>17</v>
      </c>
      <c r="O498">
        <v>91</v>
      </c>
    </row>
    <row r="499" spans="1:15">
      <c r="A499">
        <v>498</v>
      </c>
      <c r="B499" t="s">
        <v>1402</v>
      </c>
      <c r="C499" t="s">
        <v>16</v>
      </c>
      <c r="D499" t="s">
        <v>33</v>
      </c>
      <c r="E499">
        <v>61.7</v>
      </c>
      <c r="F499" t="s">
        <v>26</v>
      </c>
      <c r="G499">
        <v>239</v>
      </c>
      <c r="H499" t="s">
        <v>19</v>
      </c>
      <c r="I499">
        <v>87331</v>
      </c>
      <c r="J499" t="s">
        <v>20</v>
      </c>
      <c r="K499" t="s">
        <v>1403</v>
      </c>
      <c r="L499" t="s">
        <v>1404</v>
      </c>
      <c r="M499" t="s">
        <v>48</v>
      </c>
      <c r="N499">
        <v>9</v>
      </c>
      <c r="O499">
        <v>157.19999999999999</v>
      </c>
    </row>
    <row r="500" spans="1:15">
      <c r="A500">
        <v>499</v>
      </c>
      <c r="B500" t="s">
        <v>1405</v>
      </c>
      <c r="C500" t="s">
        <v>50</v>
      </c>
      <c r="D500" t="s">
        <v>137</v>
      </c>
      <c r="E500">
        <v>56.7</v>
      </c>
      <c r="F500" t="s">
        <v>18</v>
      </c>
      <c r="G500">
        <v>239</v>
      </c>
      <c r="H500" t="s">
        <v>19</v>
      </c>
      <c r="I500">
        <v>37761</v>
      </c>
      <c r="J500" t="s">
        <v>20</v>
      </c>
      <c r="K500" t="s">
        <v>898</v>
      </c>
      <c r="L500" t="s">
        <v>1406</v>
      </c>
      <c r="N500">
        <v>2</v>
      </c>
      <c r="O500">
        <v>146.69999999999999</v>
      </c>
    </row>
    <row r="501" spans="1:15">
      <c r="A501">
        <v>500</v>
      </c>
      <c r="B501" t="s">
        <v>1407</v>
      </c>
      <c r="C501" t="s">
        <v>39</v>
      </c>
      <c r="D501" t="s">
        <v>33</v>
      </c>
      <c r="E501">
        <v>84.2</v>
      </c>
      <c r="F501" t="s">
        <v>26</v>
      </c>
      <c r="G501">
        <v>299</v>
      </c>
      <c r="H501" t="s">
        <v>19</v>
      </c>
      <c r="I501">
        <v>97384</v>
      </c>
      <c r="J501" t="s">
        <v>20</v>
      </c>
      <c r="K501" t="s">
        <v>1021</v>
      </c>
      <c r="L501" t="s">
        <v>452</v>
      </c>
      <c r="M501" t="s">
        <v>54</v>
      </c>
      <c r="N501">
        <v>8</v>
      </c>
      <c r="O501">
        <v>226.4</v>
      </c>
    </row>
    <row r="502" spans="1:15">
      <c r="A502">
        <v>501</v>
      </c>
      <c r="B502" t="s">
        <v>1408</v>
      </c>
      <c r="C502" t="s">
        <v>25</v>
      </c>
      <c r="D502" t="s">
        <v>114</v>
      </c>
      <c r="E502">
        <v>18</v>
      </c>
      <c r="F502" t="s">
        <v>56</v>
      </c>
      <c r="G502">
        <v>400</v>
      </c>
      <c r="H502" t="s">
        <v>19</v>
      </c>
      <c r="I502">
        <v>82539</v>
      </c>
      <c r="J502" t="s">
        <v>20</v>
      </c>
      <c r="K502" t="s">
        <v>1409</v>
      </c>
      <c r="L502" t="s">
        <v>1348</v>
      </c>
      <c r="M502" t="s">
        <v>86</v>
      </c>
      <c r="N502">
        <v>9</v>
      </c>
      <c r="O502">
        <v>41.6</v>
      </c>
    </row>
    <row r="503" spans="1:15">
      <c r="A503">
        <v>502</v>
      </c>
      <c r="B503" t="s">
        <v>1410</v>
      </c>
      <c r="C503" t="s">
        <v>39</v>
      </c>
      <c r="D503" t="s">
        <v>33</v>
      </c>
      <c r="E503">
        <v>5.2</v>
      </c>
      <c r="F503" t="s">
        <v>56</v>
      </c>
      <c r="G503">
        <v>53</v>
      </c>
      <c r="H503" t="s">
        <v>19</v>
      </c>
      <c r="I503">
        <v>88433</v>
      </c>
      <c r="J503" t="s">
        <v>20</v>
      </c>
      <c r="K503" t="s">
        <v>1411</v>
      </c>
      <c r="L503" t="s">
        <v>1412</v>
      </c>
      <c r="M503" t="s">
        <v>117</v>
      </c>
      <c r="N503">
        <v>16</v>
      </c>
      <c r="O503">
        <v>15.8</v>
      </c>
    </row>
    <row r="504" spans="1:15">
      <c r="A504">
        <v>503</v>
      </c>
      <c r="B504" t="s">
        <v>1413</v>
      </c>
      <c r="C504" t="s">
        <v>25</v>
      </c>
      <c r="D504" t="s">
        <v>40</v>
      </c>
      <c r="E504">
        <v>77.400000000000006</v>
      </c>
      <c r="F504" t="s">
        <v>56</v>
      </c>
      <c r="G504">
        <v>242</v>
      </c>
      <c r="H504" t="s">
        <v>27</v>
      </c>
      <c r="I504">
        <v>39304</v>
      </c>
      <c r="J504" t="s">
        <v>20</v>
      </c>
      <c r="K504" t="s">
        <v>1414</v>
      </c>
      <c r="L504" t="s">
        <v>1415</v>
      </c>
      <c r="M504" t="s">
        <v>59</v>
      </c>
      <c r="N504">
        <v>4</v>
      </c>
      <c r="O504">
        <v>267.3</v>
      </c>
    </row>
    <row r="505" spans="1:15">
      <c r="A505">
        <v>504</v>
      </c>
      <c r="B505" t="s">
        <v>1416</v>
      </c>
      <c r="C505" t="s">
        <v>133</v>
      </c>
      <c r="D505" t="s">
        <v>61</v>
      </c>
      <c r="E505">
        <v>0</v>
      </c>
      <c r="F505" t="s">
        <v>26</v>
      </c>
      <c r="G505">
        <v>232</v>
      </c>
      <c r="H505" t="s">
        <v>27</v>
      </c>
      <c r="I505">
        <v>70330</v>
      </c>
      <c r="J505" t="s">
        <v>20</v>
      </c>
      <c r="K505" t="s">
        <v>1417</v>
      </c>
      <c r="L505" t="s">
        <v>850</v>
      </c>
      <c r="M505" t="s">
        <v>69</v>
      </c>
      <c r="N505">
        <v>13</v>
      </c>
      <c r="O505">
        <v>0</v>
      </c>
    </row>
    <row r="506" spans="1:15">
      <c r="A506">
        <v>505</v>
      </c>
      <c r="B506" t="s">
        <v>1418</v>
      </c>
      <c r="C506" t="s">
        <v>50</v>
      </c>
      <c r="D506" t="s">
        <v>17</v>
      </c>
      <c r="E506">
        <v>98.6</v>
      </c>
      <c r="F506" t="s">
        <v>62</v>
      </c>
      <c r="G506">
        <v>379</v>
      </c>
      <c r="H506" t="s">
        <v>19</v>
      </c>
      <c r="I506">
        <v>12476</v>
      </c>
      <c r="J506" t="s">
        <v>20</v>
      </c>
      <c r="K506" t="s">
        <v>1419</v>
      </c>
      <c r="L506" t="s">
        <v>1420</v>
      </c>
      <c r="M506" t="s">
        <v>48</v>
      </c>
      <c r="N506">
        <v>5</v>
      </c>
      <c r="O506">
        <v>245.2</v>
      </c>
    </row>
    <row r="507" spans="1:15">
      <c r="A507">
        <v>506</v>
      </c>
      <c r="B507" t="s">
        <v>388</v>
      </c>
      <c r="C507" t="s">
        <v>158</v>
      </c>
      <c r="D507" t="s">
        <v>17</v>
      </c>
      <c r="E507">
        <v>76.400000000000006</v>
      </c>
      <c r="F507" t="s">
        <v>26</v>
      </c>
      <c r="G507">
        <v>383</v>
      </c>
      <c r="H507" t="s">
        <v>27</v>
      </c>
      <c r="I507">
        <v>7375</v>
      </c>
      <c r="J507" t="s">
        <v>20</v>
      </c>
      <c r="K507" t="s">
        <v>1421</v>
      </c>
      <c r="L507" t="s">
        <v>1422</v>
      </c>
      <c r="M507" t="s">
        <v>69</v>
      </c>
      <c r="N507">
        <v>16</v>
      </c>
      <c r="O507">
        <v>236.7</v>
      </c>
    </row>
    <row r="508" spans="1:15">
      <c r="A508">
        <v>507</v>
      </c>
      <c r="B508" t="s">
        <v>1423</v>
      </c>
      <c r="C508" t="s">
        <v>133</v>
      </c>
      <c r="D508" t="s">
        <v>114</v>
      </c>
      <c r="E508">
        <v>42.1</v>
      </c>
      <c r="F508" t="s">
        <v>56</v>
      </c>
      <c r="G508">
        <v>74</v>
      </c>
      <c r="H508" t="s">
        <v>27</v>
      </c>
      <c r="I508">
        <v>15759</v>
      </c>
      <c r="J508" t="s">
        <v>20</v>
      </c>
      <c r="K508" t="s">
        <v>1424</v>
      </c>
      <c r="L508" t="s">
        <v>847</v>
      </c>
      <c r="M508" t="s">
        <v>59</v>
      </c>
      <c r="N508">
        <v>11</v>
      </c>
      <c r="O508">
        <v>106</v>
      </c>
    </row>
    <row r="509" spans="1:15">
      <c r="A509">
        <v>508</v>
      </c>
      <c r="B509" t="s">
        <v>217</v>
      </c>
      <c r="C509" t="s">
        <v>50</v>
      </c>
      <c r="D509" t="s">
        <v>137</v>
      </c>
      <c r="E509">
        <v>70.2</v>
      </c>
      <c r="F509" t="s">
        <v>26</v>
      </c>
      <c r="G509">
        <v>177</v>
      </c>
      <c r="H509" t="s">
        <v>27</v>
      </c>
      <c r="I509">
        <v>105798</v>
      </c>
      <c r="J509" t="s">
        <v>20</v>
      </c>
      <c r="K509" t="s">
        <v>1425</v>
      </c>
      <c r="L509" t="s">
        <v>827</v>
      </c>
      <c r="M509" t="s">
        <v>86</v>
      </c>
      <c r="N509">
        <v>3</v>
      </c>
      <c r="O509">
        <v>182.5</v>
      </c>
    </row>
    <row r="510" spans="1:15">
      <c r="A510">
        <v>509</v>
      </c>
      <c r="B510" t="s">
        <v>1426</v>
      </c>
      <c r="C510" t="s">
        <v>25</v>
      </c>
      <c r="D510" t="s">
        <v>33</v>
      </c>
      <c r="E510">
        <v>71.599999999999994</v>
      </c>
      <c r="F510" t="s">
        <v>18</v>
      </c>
      <c r="G510">
        <v>45</v>
      </c>
      <c r="H510" t="s">
        <v>19</v>
      </c>
      <c r="I510">
        <v>12288</v>
      </c>
      <c r="J510" t="s">
        <v>20</v>
      </c>
      <c r="K510" t="s">
        <v>1427</v>
      </c>
      <c r="L510" t="s">
        <v>1428</v>
      </c>
      <c r="M510" t="s">
        <v>121</v>
      </c>
      <c r="N510">
        <v>1</v>
      </c>
      <c r="O510">
        <v>247.9</v>
      </c>
    </row>
    <row r="511" spans="1:15">
      <c r="A511">
        <v>510</v>
      </c>
      <c r="B511" t="s">
        <v>1429</v>
      </c>
      <c r="C511" t="s">
        <v>25</v>
      </c>
      <c r="D511" t="s">
        <v>61</v>
      </c>
      <c r="E511">
        <v>0</v>
      </c>
      <c r="F511" t="s">
        <v>41</v>
      </c>
      <c r="G511">
        <v>637</v>
      </c>
      <c r="H511" t="s">
        <v>27</v>
      </c>
      <c r="I511">
        <v>54943</v>
      </c>
      <c r="J511" t="s">
        <v>20</v>
      </c>
      <c r="K511" t="s">
        <v>1430</v>
      </c>
      <c r="L511" t="s">
        <v>1002</v>
      </c>
      <c r="M511" t="s">
        <v>59</v>
      </c>
      <c r="N511">
        <v>9</v>
      </c>
      <c r="O511">
        <v>0</v>
      </c>
    </row>
    <row r="512" spans="1:15">
      <c r="A512">
        <v>511</v>
      </c>
      <c r="B512" t="s">
        <v>696</v>
      </c>
      <c r="C512" t="s">
        <v>123</v>
      </c>
      <c r="D512" t="s">
        <v>114</v>
      </c>
      <c r="E512">
        <v>98.9</v>
      </c>
      <c r="F512" t="s">
        <v>18</v>
      </c>
      <c r="G512">
        <v>243</v>
      </c>
      <c r="H512" t="s">
        <v>19</v>
      </c>
      <c r="I512">
        <v>40381</v>
      </c>
      <c r="J512" t="s">
        <v>20</v>
      </c>
      <c r="K512" t="s">
        <v>1431</v>
      </c>
      <c r="L512" t="s">
        <v>712</v>
      </c>
      <c r="M512" t="s">
        <v>69</v>
      </c>
      <c r="N512">
        <v>9</v>
      </c>
      <c r="O512">
        <v>343.2</v>
      </c>
    </row>
    <row r="513" spans="1:15">
      <c r="A513">
        <v>512</v>
      </c>
      <c r="B513" t="s">
        <v>1432</v>
      </c>
      <c r="C513" t="s">
        <v>123</v>
      </c>
      <c r="D513" t="s">
        <v>61</v>
      </c>
      <c r="E513">
        <v>0</v>
      </c>
      <c r="F513" t="s">
        <v>41</v>
      </c>
      <c r="G513">
        <v>211</v>
      </c>
      <c r="H513" t="s">
        <v>19</v>
      </c>
      <c r="I513">
        <v>96255</v>
      </c>
      <c r="J513" t="s">
        <v>20</v>
      </c>
      <c r="K513" t="s">
        <v>1433</v>
      </c>
      <c r="L513" t="s">
        <v>1434</v>
      </c>
      <c r="M513" t="s">
        <v>117</v>
      </c>
      <c r="N513">
        <v>12</v>
      </c>
      <c r="O513">
        <v>0</v>
      </c>
    </row>
    <row r="514" spans="1:15">
      <c r="A514">
        <v>513</v>
      </c>
      <c r="B514" t="s">
        <v>1435</v>
      </c>
      <c r="C514" t="s">
        <v>50</v>
      </c>
      <c r="D514" t="s">
        <v>40</v>
      </c>
      <c r="E514">
        <v>81.099999999999994</v>
      </c>
      <c r="F514" t="s">
        <v>62</v>
      </c>
      <c r="G514">
        <v>55</v>
      </c>
      <c r="H514" t="s">
        <v>27</v>
      </c>
      <c r="I514">
        <v>11598</v>
      </c>
      <c r="J514" t="s">
        <v>20</v>
      </c>
      <c r="K514" t="s">
        <v>1436</v>
      </c>
      <c r="L514" t="s">
        <v>872</v>
      </c>
      <c r="M514" t="s">
        <v>69</v>
      </c>
      <c r="N514">
        <v>13</v>
      </c>
      <c r="O514">
        <v>179.2</v>
      </c>
    </row>
    <row r="515" spans="1:15">
      <c r="A515">
        <v>514</v>
      </c>
      <c r="B515" t="s">
        <v>1437</v>
      </c>
      <c r="C515" t="s">
        <v>32</v>
      </c>
      <c r="D515" t="s">
        <v>61</v>
      </c>
      <c r="E515">
        <v>0</v>
      </c>
      <c r="F515" t="s">
        <v>56</v>
      </c>
      <c r="G515">
        <v>179</v>
      </c>
      <c r="H515" t="s">
        <v>27</v>
      </c>
      <c r="I515">
        <v>3229</v>
      </c>
      <c r="J515" t="s">
        <v>20</v>
      </c>
      <c r="K515" t="s">
        <v>705</v>
      </c>
      <c r="L515" t="s">
        <v>1438</v>
      </c>
      <c r="M515" t="s">
        <v>59</v>
      </c>
      <c r="N515">
        <v>17</v>
      </c>
      <c r="O515">
        <v>0</v>
      </c>
    </row>
    <row r="516" spans="1:15">
      <c r="A516">
        <v>515</v>
      </c>
      <c r="B516" t="s">
        <v>1439</v>
      </c>
      <c r="C516" t="s">
        <v>32</v>
      </c>
      <c r="D516" t="s">
        <v>114</v>
      </c>
      <c r="E516">
        <v>65.599999999999994</v>
      </c>
      <c r="F516" t="s">
        <v>56</v>
      </c>
      <c r="G516">
        <v>569</v>
      </c>
      <c r="H516" t="s">
        <v>19</v>
      </c>
      <c r="I516">
        <v>102609</v>
      </c>
      <c r="J516" t="s">
        <v>20</v>
      </c>
      <c r="K516" t="s">
        <v>1440</v>
      </c>
      <c r="L516" t="s">
        <v>428</v>
      </c>
      <c r="M516" t="s">
        <v>48</v>
      </c>
      <c r="N516">
        <v>17</v>
      </c>
      <c r="O516">
        <v>161.19999999999999</v>
      </c>
    </row>
    <row r="517" spans="1:15">
      <c r="A517">
        <v>516</v>
      </c>
      <c r="B517" t="s">
        <v>1441</v>
      </c>
      <c r="C517" t="s">
        <v>158</v>
      </c>
      <c r="D517" t="s">
        <v>33</v>
      </c>
      <c r="E517">
        <v>91.3</v>
      </c>
      <c r="F517" t="s">
        <v>41</v>
      </c>
      <c r="G517">
        <v>608</v>
      </c>
      <c r="H517" t="s">
        <v>19</v>
      </c>
      <c r="I517">
        <v>57847</v>
      </c>
      <c r="J517" t="s">
        <v>20</v>
      </c>
      <c r="K517" t="s">
        <v>1372</v>
      </c>
      <c r="L517" t="s">
        <v>47</v>
      </c>
      <c r="M517" t="s">
        <v>59</v>
      </c>
      <c r="N517">
        <v>10</v>
      </c>
      <c r="O517">
        <v>285.2</v>
      </c>
    </row>
    <row r="518" spans="1:15">
      <c r="A518">
        <v>517</v>
      </c>
      <c r="B518" t="s">
        <v>1442</v>
      </c>
      <c r="C518" t="s">
        <v>25</v>
      </c>
      <c r="D518" t="s">
        <v>61</v>
      </c>
      <c r="E518">
        <v>0</v>
      </c>
      <c r="F518" t="s">
        <v>26</v>
      </c>
      <c r="G518">
        <v>518</v>
      </c>
      <c r="H518" t="s">
        <v>19</v>
      </c>
      <c r="I518">
        <v>108863</v>
      </c>
      <c r="J518" t="s">
        <v>20</v>
      </c>
      <c r="K518" t="s">
        <v>1443</v>
      </c>
      <c r="L518" t="s">
        <v>1444</v>
      </c>
      <c r="M518" t="s">
        <v>48</v>
      </c>
      <c r="N518">
        <v>2</v>
      </c>
      <c r="O518">
        <v>0</v>
      </c>
    </row>
    <row r="519" spans="1:15">
      <c r="A519">
        <v>518</v>
      </c>
      <c r="B519" t="s">
        <v>1445</v>
      </c>
      <c r="C519" t="s">
        <v>158</v>
      </c>
      <c r="D519" t="s">
        <v>137</v>
      </c>
      <c r="E519">
        <v>41.9</v>
      </c>
      <c r="F519" t="s">
        <v>26</v>
      </c>
      <c r="G519">
        <v>529</v>
      </c>
      <c r="H519" t="s">
        <v>19</v>
      </c>
      <c r="I519">
        <v>26337</v>
      </c>
      <c r="J519" t="s">
        <v>20</v>
      </c>
      <c r="K519" t="s">
        <v>1446</v>
      </c>
      <c r="L519" t="s">
        <v>1447</v>
      </c>
      <c r="M519" t="s">
        <v>112</v>
      </c>
      <c r="N519">
        <v>19</v>
      </c>
      <c r="O519">
        <v>135.4</v>
      </c>
    </row>
    <row r="520" spans="1:15">
      <c r="A520">
        <v>519</v>
      </c>
      <c r="B520" t="s">
        <v>1448</v>
      </c>
      <c r="C520" t="s">
        <v>123</v>
      </c>
      <c r="D520" t="s">
        <v>137</v>
      </c>
      <c r="E520">
        <v>43.3</v>
      </c>
      <c r="F520" t="s">
        <v>26</v>
      </c>
      <c r="G520">
        <v>683</v>
      </c>
      <c r="H520" t="s">
        <v>27</v>
      </c>
      <c r="I520">
        <v>79458</v>
      </c>
      <c r="J520" t="s">
        <v>20</v>
      </c>
      <c r="K520" t="s">
        <v>1449</v>
      </c>
      <c r="L520" t="s">
        <v>736</v>
      </c>
      <c r="M520" t="s">
        <v>54</v>
      </c>
      <c r="N520">
        <v>9</v>
      </c>
      <c r="O520">
        <v>99.4</v>
      </c>
    </row>
    <row r="521" spans="1:15">
      <c r="A521">
        <v>520</v>
      </c>
      <c r="B521" t="s">
        <v>1450</v>
      </c>
      <c r="C521" t="s">
        <v>25</v>
      </c>
      <c r="D521" t="s">
        <v>114</v>
      </c>
      <c r="E521">
        <v>84.1</v>
      </c>
      <c r="F521" t="s">
        <v>41</v>
      </c>
      <c r="G521">
        <v>521</v>
      </c>
      <c r="H521" t="s">
        <v>27</v>
      </c>
      <c r="I521">
        <v>95483</v>
      </c>
      <c r="J521" t="s">
        <v>20</v>
      </c>
      <c r="K521" t="s">
        <v>1451</v>
      </c>
      <c r="L521" t="s">
        <v>1452</v>
      </c>
      <c r="M521" t="s">
        <v>121</v>
      </c>
      <c r="N521">
        <v>5</v>
      </c>
      <c r="O521">
        <v>190.9</v>
      </c>
    </row>
    <row r="522" spans="1:15">
      <c r="A522">
        <v>521</v>
      </c>
      <c r="B522" t="s">
        <v>1453</v>
      </c>
      <c r="C522" t="s">
        <v>32</v>
      </c>
      <c r="D522" t="s">
        <v>114</v>
      </c>
      <c r="E522">
        <v>12.5</v>
      </c>
      <c r="F522" t="s">
        <v>62</v>
      </c>
      <c r="G522">
        <v>658</v>
      </c>
      <c r="H522" t="s">
        <v>27</v>
      </c>
      <c r="I522">
        <v>59321</v>
      </c>
      <c r="J522" t="s">
        <v>20</v>
      </c>
      <c r="K522" t="s">
        <v>1454</v>
      </c>
      <c r="L522" t="s">
        <v>1455</v>
      </c>
      <c r="M522" t="s">
        <v>48</v>
      </c>
      <c r="N522">
        <v>1</v>
      </c>
      <c r="O522">
        <v>42.6</v>
      </c>
    </row>
    <row r="523" spans="1:15">
      <c r="A523">
        <v>522</v>
      </c>
      <c r="B523" t="s">
        <v>1456</v>
      </c>
      <c r="C523" t="s">
        <v>32</v>
      </c>
      <c r="D523" t="s">
        <v>137</v>
      </c>
      <c r="E523">
        <v>43.1</v>
      </c>
      <c r="F523" t="s">
        <v>26</v>
      </c>
      <c r="G523">
        <v>650</v>
      </c>
      <c r="H523" t="s">
        <v>27</v>
      </c>
      <c r="I523">
        <v>115589</v>
      </c>
      <c r="J523" t="s">
        <v>20</v>
      </c>
      <c r="K523" t="s">
        <v>1457</v>
      </c>
      <c r="L523" t="s">
        <v>1458</v>
      </c>
      <c r="M523" t="s">
        <v>69</v>
      </c>
      <c r="N523">
        <v>2</v>
      </c>
      <c r="O523">
        <v>109.3</v>
      </c>
    </row>
    <row r="524" spans="1:15">
      <c r="A524">
        <v>523</v>
      </c>
      <c r="B524" t="s">
        <v>1459</v>
      </c>
      <c r="C524" t="s">
        <v>158</v>
      </c>
      <c r="D524" t="s">
        <v>137</v>
      </c>
      <c r="E524">
        <v>33.9</v>
      </c>
      <c r="F524" t="s">
        <v>18</v>
      </c>
      <c r="G524">
        <v>683</v>
      </c>
      <c r="H524" t="s">
        <v>19</v>
      </c>
      <c r="I524">
        <v>7444</v>
      </c>
      <c r="J524" t="s">
        <v>20</v>
      </c>
      <c r="K524" t="s">
        <v>1460</v>
      </c>
      <c r="L524" t="s">
        <v>698</v>
      </c>
      <c r="M524" t="s">
        <v>59</v>
      </c>
      <c r="N524">
        <v>17</v>
      </c>
      <c r="O524">
        <v>75.3</v>
      </c>
    </row>
    <row r="525" spans="1:15">
      <c r="A525">
        <v>524</v>
      </c>
      <c r="B525" t="s">
        <v>1461</v>
      </c>
      <c r="C525" t="s">
        <v>50</v>
      </c>
      <c r="D525" t="s">
        <v>114</v>
      </c>
      <c r="E525">
        <v>42.4</v>
      </c>
      <c r="F525" t="s">
        <v>41</v>
      </c>
      <c r="G525">
        <v>137</v>
      </c>
      <c r="H525" t="s">
        <v>19</v>
      </c>
      <c r="I525">
        <v>7224</v>
      </c>
      <c r="J525" t="s">
        <v>20</v>
      </c>
      <c r="K525" t="s">
        <v>1462</v>
      </c>
      <c r="L525" t="s">
        <v>452</v>
      </c>
      <c r="M525" t="s">
        <v>441</v>
      </c>
      <c r="N525">
        <v>4</v>
      </c>
      <c r="O525">
        <v>129.80000000000001</v>
      </c>
    </row>
    <row r="526" spans="1:15">
      <c r="A526">
        <v>525</v>
      </c>
      <c r="B526" t="s">
        <v>1463</v>
      </c>
      <c r="C526" t="s">
        <v>16</v>
      </c>
      <c r="D526" t="s">
        <v>17</v>
      </c>
      <c r="E526">
        <v>50.2</v>
      </c>
      <c r="F526" t="s">
        <v>26</v>
      </c>
      <c r="G526">
        <v>641</v>
      </c>
      <c r="H526" t="s">
        <v>19</v>
      </c>
      <c r="I526">
        <v>40245</v>
      </c>
      <c r="J526" t="s">
        <v>20</v>
      </c>
      <c r="K526" t="s">
        <v>1464</v>
      </c>
      <c r="L526" t="s">
        <v>1465</v>
      </c>
      <c r="M526" t="s">
        <v>441</v>
      </c>
      <c r="N526">
        <v>20</v>
      </c>
      <c r="O526">
        <v>139.4</v>
      </c>
    </row>
    <row r="527" spans="1:15">
      <c r="A527">
        <v>526</v>
      </c>
      <c r="B527" t="s">
        <v>864</v>
      </c>
      <c r="C527" t="s">
        <v>39</v>
      </c>
      <c r="D527" t="s">
        <v>40</v>
      </c>
      <c r="E527">
        <v>40.700000000000003</v>
      </c>
      <c r="F527" t="s">
        <v>26</v>
      </c>
      <c r="G527">
        <v>388</v>
      </c>
      <c r="H527" t="s">
        <v>27</v>
      </c>
      <c r="I527">
        <v>49609</v>
      </c>
      <c r="J527" t="s">
        <v>20</v>
      </c>
      <c r="K527" t="s">
        <v>1466</v>
      </c>
      <c r="L527" t="s">
        <v>1467</v>
      </c>
      <c r="M527" t="s">
        <v>121</v>
      </c>
      <c r="N527">
        <v>13</v>
      </c>
      <c r="O527">
        <v>112.3</v>
      </c>
    </row>
    <row r="528" spans="1:15">
      <c r="A528">
        <v>527</v>
      </c>
      <c r="B528" t="s">
        <v>217</v>
      </c>
      <c r="C528" t="s">
        <v>50</v>
      </c>
      <c r="D528" t="s">
        <v>137</v>
      </c>
      <c r="E528">
        <v>55.1</v>
      </c>
      <c r="F528" t="s">
        <v>26</v>
      </c>
      <c r="G528">
        <v>347</v>
      </c>
      <c r="H528" t="s">
        <v>27</v>
      </c>
      <c r="I528">
        <v>48025</v>
      </c>
      <c r="J528" t="s">
        <v>20</v>
      </c>
      <c r="K528" t="s">
        <v>1468</v>
      </c>
      <c r="L528" t="s">
        <v>618</v>
      </c>
      <c r="N528">
        <v>1</v>
      </c>
      <c r="O528">
        <v>180</v>
      </c>
    </row>
    <row r="529" spans="1:15">
      <c r="A529">
        <v>528</v>
      </c>
      <c r="B529" t="s">
        <v>1469</v>
      </c>
      <c r="C529" t="s">
        <v>16</v>
      </c>
      <c r="D529" t="s">
        <v>137</v>
      </c>
      <c r="E529">
        <v>17.100000000000001</v>
      </c>
      <c r="F529" t="s">
        <v>41</v>
      </c>
      <c r="G529">
        <v>190</v>
      </c>
      <c r="H529" t="s">
        <v>27</v>
      </c>
      <c r="I529">
        <v>4446</v>
      </c>
      <c r="J529" t="s">
        <v>20</v>
      </c>
      <c r="K529" t="s">
        <v>1470</v>
      </c>
      <c r="L529" t="s">
        <v>1471</v>
      </c>
      <c r="M529" t="s">
        <v>117</v>
      </c>
      <c r="N529">
        <v>6</v>
      </c>
      <c r="O529">
        <v>45.8</v>
      </c>
    </row>
    <row r="530" spans="1:15">
      <c r="A530">
        <v>529</v>
      </c>
      <c r="B530" t="s">
        <v>1472</v>
      </c>
      <c r="C530" t="s">
        <v>133</v>
      </c>
      <c r="D530" t="s">
        <v>40</v>
      </c>
      <c r="E530">
        <v>65.5</v>
      </c>
      <c r="F530" t="s">
        <v>56</v>
      </c>
      <c r="G530">
        <v>550</v>
      </c>
      <c r="H530" t="s">
        <v>19</v>
      </c>
      <c r="I530">
        <v>59970</v>
      </c>
      <c r="J530" t="s">
        <v>20</v>
      </c>
      <c r="K530" t="s">
        <v>1354</v>
      </c>
      <c r="L530" t="s">
        <v>1473</v>
      </c>
      <c r="N530">
        <v>11</v>
      </c>
      <c r="O530">
        <v>185.8</v>
      </c>
    </row>
    <row r="531" spans="1:15">
      <c r="A531">
        <v>530</v>
      </c>
      <c r="B531" t="s">
        <v>1474</v>
      </c>
      <c r="C531" t="s">
        <v>133</v>
      </c>
      <c r="D531" t="s">
        <v>61</v>
      </c>
      <c r="E531">
        <v>0</v>
      </c>
      <c r="F531" t="s">
        <v>62</v>
      </c>
      <c r="G531">
        <v>148</v>
      </c>
      <c r="H531" t="s">
        <v>27</v>
      </c>
      <c r="I531">
        <v>68366</v>
      </c>
      <c r="J531" t="s">
        <v>20</v>
      </c>
      <c r="K531" t="s">
        <v>1403</v>
      </c>
      <c r="L531" t="s">
        <v>1475</v>
      </c>
      <c r="M531" t="s">
        <v>121</v>
      </c>
      <c r="N531">
        <v>7</v>
      </c>
      <c r="O531">
        <v>0</v>
      </c>
    </row>
    <row r="532" spans="1:15">
      <c r="A532">
        <v>531</v>
      </c>
      <c r="B532" t="s">
        <v>1476</v>
      </c>
      <c r="C532" t="s">
        <v>25</v>
      </c>
      <c r="D532" t="s">
        <v>33</v>
      </c>
      <c r="E532">
        <v>7.8</v>
      </c>
      <c r="F532" t="s">
        <v>26</v>
      </c>
      <c r="G532">
        <v>218</v>
      </c>
      <c r="H532" t="s">
        <v>27</v>
      </c>
      <c r="I532">
        <v>103938</v>
      </c>
      <c r="J532" t="s">
        <v>20</v>
      </c>
      <c r="K532" t="s">
        <v>1477</v>
      </c>
      <c r="L532" t="s">
        <v>956</v>
      </c>
      <c r="M532" t="s">
        <v>86</v>
      </c>
      <c r="N532">
        <v>16</v>
      </c>
      <c r="O532">
        <v>23.7</v>
      </c>
    </row>
    <row r="533" spans="1:15">
      <c r="A533">
        <v>532</v>
      </c>
      <c r="B533" t="s">
        <v>1478</v>
      </c>
      <c r="C533" t="s">
        <v>39</v>
      </c>
      <c r="D533" t="s">
        <v>61</v>
      </c>
      <c r="E533">
        <v>0</v>
      </c>
      <c r="F533" t="s">
        <v>56</v>
      </c>
      <c r="G533">
        <v>210</v>
      </c>
      <c r="H533" t="s">
        <v>19</v>
      </c>
      <c r="I533">
        <v>94146</v>
      </c>
      <c r="J533" t="s">
        <v>20</v>
      </c>
      <c r="K533" t="s">
        <v>1479</v>
      </c>
      <c r="L533" t="s">
        <v>639</v>
      </c>
      <c r="M533" t="s">
        <v>441</v>
      </c>
      <c r="N533">
        <v>6</v>
      </c>
      <c r="O533">
        <v>0</v>
      </c>
    </row>
    <row r="534" spans="1:15">
      <c r="A534">
        <v>533</v>
      </c>
      <c r="B534" t="s">
        <v>1480</v>
      </c>
      <c r="C534" t="s">
        <v>133</v>
      </c>
      <c r="D534" t="s">
        <v>17</v>
      </c>
      <c r="E534">
        <v>84.7</v>
      </c>
      <c r="F534" t="s">
        <v>26</v>
      </c>
      <c r="G534">
        <v>124</v>
      </c>
      <c r="H534" t="s">
        <v>27</v>
      </c>
      <c r="I534">
        <v>108337</v>
      </c>
      <c r="J534" t="s">
        <v>20</v>
      </c>
      <c r="K534" t="s">
        <v>1481</v>
      </c>
      <c r="L534" t="s">
        <v>1482</v>
      </c>
      <c r="M534" t="s">
        <v>441</v>
      </c>
      <c r="N534">
        <v>12</v>
      </c>
      <c r="O534">
        <v>264.60000000000002</v>
      </c>
    </row>
    <row r="535" spans="1:15">
      <c r="A535">
        <v>534</v>
      </c>
      <c r="B535" t="s">
        <v>1483</v>
      </c>
      <c r="C535" t="s">
        <v>25</v>
      </c>
      <c r="D535" t="s">
        <v>17</v>
      </c>
      <c r="E535">
        <v>31.2</v>
      </c>
      <c r="F535" t="s">
        <v>56</v>
      </c>
      <c r="G535">
        <v>162</v>
      </c>
      <c r="H535" t="s">
        <v>19</v>
      </c>
      <c r="I535">
        <v>95982</v>
      </c>
      <c r="J535" t="s">
        <v>20</v>
      </c>
      <c r="K535" t="s">
        <v>1484</v>
      </c>
      <c r="L535" t="s">
        <v>1485</v>
      </c>
      <c r="M535" t="s">
        <v>54</v>
      </c>
      <c r="N535">
        <v>20</v>
      </c>
      <c r="O535">
        <v>80.599999999999994</v>
      </c>
    </row>
    <row r="536" spans="1:15">
      <c r="A536">
        <v>535</v>
      </c>
      <c r="B536" t="s">
        <v>1486</v>
      </c>
      <c r="C536" t="s">
        <v>50</v>
      </c>
      <c r="D536" t="s">
        <v>61</v>
      </c>
      <c r="E536">
        <v>0</v>
      </c>
      <c r="F536" t="s">
        <v>18</v>
      </c>
      <c r="G536">
        <v>521</v>
      </c>
      <c r="H536" t="s">
        <v>27</v>
      </c>
      <c r="I536">
        <v>101722</v>
      </c>
      <c r="J536" t="s">
        <v>20</v>
      </c>
      <c r="K536" t="s">
        <v>1487</v>
      </c>
      <c r="L536" t="s">
        <v>1488</v>
      </c>
      <c r="M536" t="s">
        <v>69</v>
      </c>
      <c r="N536">
        <v>15</v>
      </c>
      <c r="O536">
        <v>0</v>
      </c>
    </row>
    <row r="537" spans="1:15">
      <c r="A537">
        <v>536</v>
      </c>
      <c r="B537" t="s">
        <v>1489</v>
      </c>
      <c r="C537" t="s">
        <v>25</v>
      </c>
      <c r="D537" t="s">
        <v>114</v>
      </c>
      <c r="E537">
        <v>68.7</v>
      </c>
      <c r="F537" t="s">
        <v>18</v>
      </c>
      <c r="G537">
        <v>116</v>
      </c>
      <c r="H537" t="s">
        <v>27</v>
      </c>
      <c r="I537">
        <v>36602</v>
      </c>
      <c r="J537" t="s">
        <v>20</v>
      </c>
      <c r="K537" t="s">
        <v>1457</v>
      </c>
      <c r="L537" t="s">
        <v>1490</v>
      </c>
      <c r="M537" t="s">
        <v>441</v>
      </c>
      <c r="N537">
        <v>3</v>
      </c>
      <c r="O537">
        <v>187.4</v>
      </c>
    </row>
    <row r="538" spans="1:15">
      <c r="A538">
        <v>537</v>
      </c>
      <c r="B538" t="s">
        <v>1491</v>
      </c>
      <c r="C538" t="s">
        <v>16</v>
      </c>
      <c r="D538" t="s">
        <v>40</v>
      </c>
      <c r="E538">
        <v>46.5</v>
      </c>
      <c r="F538" t="s">
        <v>26</v>
      </c>
      <c r="G538">
        <v>519</v>
      </c>
      <c r="H538" t="s">
        <v>19</v>
      </c>
      <c r="I538">
        <v>40500</v>
      </c>
      <c r="J538" t="s">
        <v>20</v>
      </c>
      <c r="K538" t="s">
        <v>1492</v>
      </c>
      <c r="L538" t="s">
        <v>1493</v>
      </c>
      <c r="M538" t="s">
        <v>59</v>
      </c>
      <c r="N538">
        <v>10</v>
      </c>
      <c r="O538">
        <v>121.4</v>
      </c>
    </row>
    <row r="539" spans="1:15">
      <c r="A539">
        <v>538</v>
      </c>
      <c r="B539" t="s">
        <v>1494</v>
      </c>
      <c r="C539" t="s">
        <v>39</v>
      </c>
      <c r="D539" t="s">
        <v>61</v>
      </c>
      <c r="E539">
        <v>0</v>
      </c>
      <c r="F539" t="s">
        <v>18</v>
      </c>
      <c r="G539">
        <v>472</v>
      </c>
      <c r="H539" t="s">
        <v>19</v>
      </c>
      <c r="I539">
        <v>23929</v>
      </c>
      <c r="J539" t="s">
        <v>20</v>
      </c>
      <c r="K539" t="s">
        <v>1495</v>
      </c>
      <c r="L539" t="s">
        <v>1134</v>
      </c>
      <c r="N539">
        <v>13</v>
      </c>
      <c r="O539">
        <v>0</v>
      </c>
    </row>
    <row r="540" spans="1:15">
      <c r="A540">
        <v>539</v>
      </c>
      <c r="B540" t="s">
        <v>1496</v>
      </c>
      <c r="C540" t="s">
        <v>158</v>
      </c>
      <c r="D540" t="s">
        <v>33</v>
      </c>
      <c r="E540">
        <v>17.2</v>
      </c>
      <c r="F540" t="s">
        <v>41</v>
      </c>
      <c r="G540">
        <v>42</v>
      </c>
      <c r="H540" t="s">
        <v>19</v>
      </c>
      <c r="I540">
        <v>4962</v>
      </c>
      <c r="J540" t="s">
        <v>20</v>
      </c>
      <c r="K540" t="s">
        <v>1451</v>
      </c>
      <c r="L540" t="s">
        <v>1497</v>
      </c>
      <c r="M540" t="s">
        <v>69</v>
      </c>
      <c r="N540">
        <v>16</v>
      </c>
      <c r="O540">
        <v>55.6</v>
      </c>
    </row>
    <row r="541" spans="1:15">
      <c r="A541">
        <v>540</v>
      </c>
      <c r="B541" t="s">
        <v>610</v>
      </c>
      <c r="C541" t="s">
        <v>39</v>
      </c>
      <c r="D541" t="s">
        <v>61</v>
      </c>
      <c r="E541">
        <v>0</v>
      </c>
      <c r="F541" t="s">
        <v>41</v>
      </c>
      <c r="G541">
        <v>587</v>
      </c>
      <c r="H541" t="s">
        <v>19</v>
      </c>
      <c r="I541">
        <v>83254</v>
      </c>
      <c r="J541" t="s">
        <v>20</v>
      </c>
      <c r="K541" t="s">
        <v>1498</v>
      </c>
      <c r="L541" t="s">
        <v>1499</v>
      </c>
      <c r="M541" t="s">
        <v>69</v>
      </c>
      <c r="N541">
        <v>3</v>
      </c>
      <c r="O541">
        <v>0</v>
      </c>
    </row>
    <row r="542" spans="1:15">
      <c r="A542">
        <v>541</v>
      </c>
      <c r="B542" t="s">
        <v>1500</v>
      </c>
      <c r="C542" t="s">
        <v>32</v>
      </c>
      <c r="D542" t="s">
        <v>17</v>
      </c>
      <c r="E542">
        <v>40.799999999999997</v>
      </c>
      <c r="F542" t="s">
        <v>56</v>
      </c>
      <c r="G542">
        <v>622</v>
      </c>
      <c r="H542" t="s">
        <v>19</v>
      </c>
      <c r="I542">
        <v>74788</v>
      </c>
      <c r="J542" t="s">
        <v>20</v>
      </c>
      <c r="K542" t="s">
        <v>1501</v>
      </c>
      <c r="L542" t="s">
        <v>1502</v>
      </c>
      <c r="M542" t="s">
        <v>54</v>
      </c>
      <c r="N542">
        <v>12</v>
      </c>
      <c r="O542">
        <v>127.1</v>
      </c>
    </row>
    <row r="543" spans="1:15">
      <c r="A543">
        <v>542</v>
      </c>
      <c r="B543" t="s">
        <v>1503</v>
      </c>
      <c r="C543" t="s">
        <v>133</v>
      </c>
      <c r="D543" t="s">
        <v>33</v>
      </c>
      <c r="E543">
        <v>75.8</v>
      </c>
      <c r="F543" t="s">
        <v>41</v>
      </c>
      <c r="G543">
        <v>203</v>
      </c>
      <c r="H543" t="s">
        <v>27</v>
      </c>
      <c r="I543">
        <v>93534</v>
      </c>
      <c r="J543" t="s">
        <v>20</v>
      </c>
      <c r="K543" t="s">
        <v>1504</v>
      </c>
      <c r="L543" t="s">
        <v>1505</v>
      </c>
      <c r="M543" t="s">
        <v>121</v>
      </c>
      <c r="N543">
        <v>20</v>
      </c>
      <c r="O543">
        <v>173</v>
      </c>
    </row>
    <row r="544" spans="1:15">
      <c r="A544">
        <v>543</v>
      </c>
      <c r="B544" t="s">
        <v>531</v>
      </c>
      <c r="C544" t="s">
        <v>158</v>
      </c>
      <c r="D544" t="s">
        <v>17</v>
      </c>
      <c r="E544">
        <v>82.7</v>
      </c>
      <c r="F544" t="s">
        <v>56</v>
      </c>
      <c r="G544">
        <v>164</v>
      </c>
      <c r="H544" t="s">
        <v>27</v>
      </c>
      <c r="I544">
        <v>12035</v>
      </c>
      <c r="J544" t="s">
        <v>20</v>
      </c>
      <c r="K544" t="s">
        <v>1506</v>
      </c>
      <c r="L544" t="s">
        <v>830</v>
      </c>
      <c r="M544" t="s">
        <v>59</v>
      </c>
      <c r="N544">
        <v>3</v>
      </c>
      <c r="O544">
        <v>174</v>
      </c>
    </row>
    <row r="545" spans="1:15">
      <c r="A545">
        <v>544</v>
      </c>
      <c r="B545" t="s">
        <v>1187</v>
      </c>
      <c r="C545" t="s">
        <v>50</v>
      </c>
      <c r="D545" t="s">
        <v>40</v>
      </c>
      <c r="E545">
        <v>6.6</v>
      </c>
      <c r="F545" t="s">
        <v>18</v>
      </c>
      <c r="G545">
        <v>32</v>
      </c>
      <c r="H545" t="s">
        <v>27</v>
      </c>
      <c r="I545">
        <v>65499</v>
      </c>
      <c r="J545" t="s">
        <v>20</v>
      </c>
      <c r="K545" t="s">
        <v>1118</v>
      </c>
      <c r="L545" t="s">
        <v>1507</v>
      </c>
      <c r="M545" t="s">
        <v>112</v>
      </c>
      <c r="N545">
        <v>14</v>
      </c>
      <c r="O545">
        <v>22.6</v>
      </c>
    </row>
    <row r="546" spans="1:15">
      <c r="A546">
        <v>545</v>
      </c>
      <c r="B546" t="s">
        <v>1508</v>
      </c>
      <c r="C546" t="s">
        <v>39</v>
      </c>
      <c r="D546" t="s">
        <v>17</v>
      </c>
      <c r="E546">
        <v>87.7</v>
      </c>
      <c r="F546" t="s">
        <v>62</v>
      </c>
      <c r="G546">
        <v>373</v>
      </c>
      <c r="H546" t="s">
        <v>19</v>
      </c>
      <c r="I546">
        <v>6559</v>
      </c>
      <c r="J546" t="s">
        <v>20</v>
      </c>
      <c r="K546" t="s">
        <v>1509</v>
      </c>
      <c r="L546" t="s">
        <v>1510</v>
      </c>
      <c r="M546" t="s">
        <v>117</v>
      </c>
      <c r="N546">
        <v>4</v>
      </c>
      <c r="O546">
        <v>290.2</v>
      </c>
    </row>
    <row r="547" spans="1:15">
      <c r="A547">
        <v>546</v>
      </c>
      <c r="B547" t="s">
        <v>1511</v>
      </c>
      <c r="C547" t="s">
        <v>158</v>
      </c>
      <c r="D547" t="s">
        <v>61</v>
      </c>
      <c r="E547">
        <v>0</v>
      </c>
      <c r="F547" t="s">
        <v>18</v>
      </c>
      <c r="G547">
        <v>273</v>
      </c>
      <c r="H547" t="s">
        <v>27</v>
      </c>
      <c r="I547">
        <v>118954</v>
      </c>
      <c r="J547" t="s">
        <v>20</v>
      </c>
      <c r="K547" t="s">
        <v>1512</v>
      </c>
      <c r="L547" t="s">
        <v>1513</v>
      </c>
      <c r="M547" t="s">
        <v>117</v>
      </c>
      <c r="N547">
        <v>6</v>
      </c>
      <c r="O547">
        <v>0</v>
      </c>
    </row>
    <row r="548" spans="1:15">
      <c r="A548">
        <v>547</v>
      </c>
      <c r="B548" t="s">
        <v>1514</v>
      </c>
      <c r="C548" t="s">
        <v>158</v>
      </c>
      <c r="D548" t="s">
        <v>40</v>
      </c>
      <c r="E548">
        <v>14.2</v>
      </c>
      <c r="F548" t="s">
        <v>62</v>
      </c>
      <c r="G548">
        <v>189</v>
      </c>
      <c r="H548" t="s">
        <v>19</v>
      </c>
      <c r="I548">
        <v>89186</v>
      </c>
      <c r="J548" t="s">
        <v>20</v>
      </c>
      <c r="K548" t="s">
        <v>1515</v>
      </c>
      <c r="L548" t="s">
        <v>1028</v>
      </c>
      <c r="M548" t="s">
        <v>86</v>
      </c>
      <c r="N548">
        <v>18</v>
      </c>
      <c r="O548">
        <v>31.2</v>
      </c>
    </row>
    <row r="549" spans="1:15">
      <c r="A549">
        <v>548</v>
      </c>
      <c r="B549" t="s">
        <v>1516</v>
      </c>
      <c r="C549" t="s">
        <v>39</v>
      </c>
      <c r="D549" t="s">
        <v>33</v>
      </c>
      <c r="E549">
        <v>18.8</v>
      </c>
      <c r="F549" t="s">
        <v>62</v>
      </c>
      <c r="G549">
        <v>233</v>
      </c>
      <c r="H549" t="s">
        <v>19</v>
      </c>
      <c r="I549">
        <v>43395</v>
      </c>
      <c r="J549" t="s">
        <v>20</v>
      </c>
      <c r="K549" t="s">
        <v>1517</v>
      </c>
      <c r="L549" t="s">
        <v>866</v>
      </c>
      <c r="N549">
        <v>9</v>
      </c>
      <c r="O549">
        <v>65</v>
      </c>
    </row>
    <row r="550" spans="1:15">
      <c r="A550">
        <v>549</v>
      </c>
      <c r="B550" t="s">
        <v>1518</v>
      </c>
      <c r="C550" t="s">
        <v>25</v>
      </c>
      <c r="D550" t="s">
        <v>33</v>
      </c>
      <c r="E550">
        <v>97.3</v>
      </c>
      <c r="F550" t="s">
        <v>62</v>
      </c>
      <c r="G550">
        <v>258</v>
      </c>
      <c r="H550" t="s">
        <v>19</v>
      </c>
      <c r="I550">
        <v>10015</v>
      </c>
      <c r="J550" t="s">
        <v>20</v>
      </c>
      <c r="K550" t="s">
        <v>1519</v>
      </c>
      <c r="L550" t="s">
        <v>390</v>
      </c>
      <c r="N550">
        <v>18</v>
      </c>
      <c r="O550">
        <v>306.10000000000002</v>
      </c>
    </row>
    <row r="551" spans="1:15">
      <c r="A551">
        <v>550</v>
      </c>
      <c r="B551" t="s">
        <v>1520</v>
      </c>
      <c r="C551" t="s">
        <v>133</v>
      </c>
      <c r="D551" t="s">
        <v>33</v>
      </c>
      <c r="E551">
        <v>33.700000000000003</v>
      </c>
      <c r="F551" t="s">
        <v>62</v>
      </c>
      <c r="G551">
        <v>403</v>
      </c>
      <c r="H551" t="s">
        <v>27</v>
      </c>
      <c r="I551">
        <v>89095</v>
      </c>
      <c r="J551" t="s">
        <v>20</v>
      </c>
      <c r="K551" t="s">
        <v>1521</v>
      </c>
      <c r="L551" t="s">
        <v>1373</v>
      </c>
      <c r="M551" t="s">
        <v>441</v>
      </c>
      <c r="N551">
        <v>3</v>
      </c>
      <c r="O551">
        <v>81.2</v>
      </c>
    </row>
    <row r="552" spans="1:15">
      <c r="A552">
        <v>551</v>
      </c>
      <c r="B552" t="s">
        <v>864</v>
      </c>
      <c r="C552" t="s">
        <v>50</v>
      </c>
      <c r="D552" t="s">
        <v>33</v>
      </c>
      <c r="E552">
        <v>80.7</v>
      </c>
      <c r="F552" t="s">
        <v>41</v>
      </c>
      <c r="G552">
        <v>338</v>
      </c>
      <c r="H552" t="s">
        <v>19</v>
      </c>
      <c r="I552">
        <v>30368</v>
      </c>
      <c r="J552" t="s">
        <v>20</v>
      </c>
      <c r="K552" t="s">
        <v>1522</v>
      </c>
      <c r="L552" t="s">
        <v>1523</v>
      </c>
      <c r="M552" t="s">
        <v>121</v>
      </c>
      <c r="N552">
        <v>19</v>
      </c>
      <c r="O552">
        <v>269.10000000000002</v>
      </c>
    </row>
    <row r="553" spans="1:15">
      <c r="A553">
        <v>552</v>
      </c>
      <c r="B553" t="s">
        <v>381</v>
      </c>
      <c r="C553" t="s">
        <v>39</v>
      </c>
      <c r="D553" t="s">
        <v>114</v>
      </c>
      <c r="E553">
        <v>82.5</v>
      </c>
      <c r="F553" t="s">
        <v>26</v>
      </c>
      <c r="G553">
        <v>87</v>
      </c>
      <c r="H553" t="s">
        <v>27</v>
      </c>
      <c r="I553">
        <v>40924</v>
      </c>
      <c r="J553" t="s">
        <v>20</v>
      </c>
      <c r="K553" t="s">
        <v>1524</v>
      </c>
      <c r="L553" t="s">
        <v>1143</v>
      </c>
      <c r="M553" t="s">
        <v>59</v>
      </c>
      <c r="N553">
        <v>14</v>
      </c>
      <c r="O553">
        <v>256.3</v>
      </c>
    </row>
    <row r="554" spans="1:15">
      <c r="A554">
        <v>553</v>
      </c>
      <c r="B554" t="s">
        <v>1525</v>
      </c>
      <c r="C554" t="s">
        <v>25</v>
      </c>
      <c r="D554" t="s">
        <v>33</v>
      </c>
      <c r="E554">
        <v>99.5</v>
      </c>
      <c r="F554" t="s">
        <v>62</v>
      </c>
      <c r="G554">
        <v>582</v>
      </c>
      <c r="H554" t="s">
        <v>19</v>
      </c>
      <c r="I554">
        <v>114528</v>
      </c>
      <c r="J554" t="s">
        <v>20</v>
      </c>
      <c r="K554" t="s">
        <v>1526</v>
      </c>
      <c r="L554" t="s">
        <v>1527</v>
      </c>
      <c r="M554" t="s">
        <v>112</v>
      </c>
      <c r="N554">
        <v>15</v>
      </c>
      <c r="O554">
        <v>306.2</v>
      </c>
    </row>
    <row r="555" spans="1:15">
      <c r="A555">
        <v>554</v>
      </c>
      <c r="B555" t="s">
        <v>1528</v>
      </c>
      <c r="C555" t="s">
        <v>16</v>
      </c>
      <c r="D555" t="s">
        <v>114</v>
      </c>
      <c r="E555">
        <v>70.8</v>
      </c>
      <c r="F555" t="s">
        <v>26</v>
      </c>
      <c r="G555">
        <v>112</v>
      </c>
      <c r="H555" t="s">
        <v>19</v>
      </c>
      <c r="I555">
        <v>16943</v>
      </c>
      <c r="J555" t="s">
        <v>20</v>
      </c>
      <c r="K555" t="s">
        <v>1529</v>
      </c>
      <c r="L555" t="s">
        <v>1173</v>
      </c>
      <c r="M555" t="s">
        <v>69</v>
      </c>
      <c r="N555">
        <v>12</v>
      </c>
      <c r="O555">
        <v>214.3</v>
      </c>
    </row>
    <row r="556" spans="1:15">
      <c r="A556">
        <v>555</v>
      </c>
      <c r="B556" t="s">
        <v>1530</v>
      </c>
      <c r="C556" t="s">
        <v>50</v>
      </c>
      <c r="D556" t="s">
        <v>17</v>
      </c>
      <c r="E556">
        <v>53.5</v>
      </c>
      <c r="F556" t="s">
        <v>18</v>
      </c>
      <c r="G556">
        <v>443</v>
      </c>
      <c r="H556" t="s">
        <v>27</v>
      </c>
      <c r="I556">
        <v>81563</v>
      </c>
      <c r="J556" t="s">
        <v>20</v>
      </c>
      <c r="K556" t="s">
        <v>1403</v>
      </c>
      <c r="L556" t="s">
        <v>1531</v>
      </c>
      <c r="M556" t="s">
        <v>54</v>
      </c>
      <c r="N556">
        <v>9</v>
      </c>
      <c r="O556">
        <v>138.5</v>
      </c>
    </row>
    <row r="557" spans="1:15">
      <c r="A557">
        <v>556</v>
      </c>
      <c r="B557" t="s">
        <v>1532</v>
      </c>
      <c r="C557" t="s">
        <v>158</v>
      </c>
      <c r="D557" t="s">
        <v>114</v>
      </c>
      <c r="E557">
        <v>3.4</v>
      </c>
      <c r="F557" t="s">
        <v>62</v>
      </c>
      <c r="G557">
        <v>90</v>
      </c>
      <c r="H557" t="s">
        <v>27</v>
      </c>
      <c r="I557">
        <v>56696</v>
      </c>
      <c r="J557" t="s">
        <v>20</v>
      </c>
      <c r="K557" t="s">
        <v>1533</v>
      </c>
      <c r="L557" t="s">
        <v>1534</v>
      </c>
      <c r="M557" t="s">
        <v>54</v>
      </c>
      <c r="N557">
        <v>20</v>
      </c>
      <c r="O557">
        <v>7.8</v>
      </c>
    </row>
    <row r="558" spans="1:15">
      <c r="A558">
        <v>557</v>
      </c>
      <c r="B558" t="s">
        <v>1048</v>
      </c>
      <c r="C558" t="s">
        <v>25</v>
      </c>
      <c r="D558" t="s">
        <v>17</v>
      </c>
      <c r="E558">
        <v>8</v>
      </c>
      <c r="F558" t="s">
        <v>56</v>
      </c>
      <c r="G558">
        <v>100</v>
      </c>
      <c r="H558" t="s">
        <v>19</v>
      </c>
      <c r="I558">
        <v>82405</v>
      </c>
      <c r="J558" t="s">
        <v>20</v>
      </c>
      <c r="K558" t="s">
        <v>1535</v>
      </c>
      <c r="L558" t="s">
        <v>788</v>
      </c>
      <c r="N558">
        <v>16</v>
      </c>
      <c r="O558">
        <v>20.100000000000001</v>
      </c>
    </row>
    <row r="559" spans="1:15">
      <c r="A559">
        <v>558</v>
      </c>
      <c r="B559" t="s">
        <v>1536</v>
      </c>
      <c r="C559" t="s">
        <v>25</v>
      </c>
      <c r="D559" t="s">
        <v>17</v>
      </c>
      <c r="E559">
        <v>5.8</v>
      </c>
      <c r="F559" t="s">
        <v>41</v>
      </c>
      <c r="G559">
        <v>194</v>
      </c>
      <c r="H559" t="s">
        <v>19</v>
      </c>
      <c r="I559">
        <v>111377</v>
      </c>
      <c r="J559" t="s">
        <v>20</v>
      </c>
      <c r="K559" t="s">
        <v>1537</v>
      </c>
      <c r="L559" t="s">
        <v>1538</v>
      </c>
      <c r="M559" t="s">
        <v>112</v>
      </c>
      <c r="N559">
        <v>16</v>
      </c>
      <c r="O559">
        <v>12.5</v>
      </c>
    </row>
    <row r="560" spans="1:15">
      <c r="A560">
        <v>559</v>
      </c>
      <c r="B560" t="s">
        <v>1539</v>
      </c>
      <c r="C560" t="s">
        <v>123</v>
      </c>
      <c r="D560" t="s">
        <v>40</v>
      </c>
      <c r="E560">
        <v>11.3</v>
      </c>
      <c r="F560" t="s">
        <v>41</v>
      </c>
      <c r="G560">
        <v>51</v>
      </c>
      <c r="H560" t="s">
        <v>27</v>
      </c>
      <c r="I560">
        <v>98343</v>
      </c>
      <c r="J560" t="s">
        <v>20</v>
      </c>
      <c r="K560" t="s">
        <v>1540</v>
      </c>
      <c r="L560" t="s">
        <v>1033</v>
      </c>
      <c r="M560" t="s">
        <v>48</v>
      </c>
      <c r="N560">
        <v>16</v>
      </c>
      <c r="O560">
        <v>29.2</v>
      </c>
    </row>
    <row r="561" spans="1:15">
      <c r="A561">
        <v>560</v>
      </c>
      <c r="B561" t="s">
        <v>1541</v>
      </c>
      <c r="C561" t="s">
        <v>16</v>
      </c>
      <c r="D561" t="s">
        <v>61</v>
      </c>
      <c r="E561">
        <v>0</v>
      </c>
      <c r="F561" t="s">
        <v>26</v>
      </c>
      <c r="G561">
        <v>494</v>
      </c>
      <c r="H561" t="s">
        <v>27</v>
      </c>
      <c r="I561">
        <v>33691</v>
      </c>
      <c r="J561" t="s">
        <v>20</v>
      </c>
      <c r="K561" t="s">
        <v>1542</v>
      </c>
      <c r="L561" t="s">
        <v>1390</v>
      </c>
      <c r="M561" t="s">
        <v>86</v>
      </c>
      <c r="N561">
        <v>2</v>
      </c>
      <c r="O561">
        <v>0</v>
      </c>
    </row>
    <row r="562" spans="1:15">
      <c r="A562">
        <v>561</v>
      </c>
      <c r="B562" t="s">
        <v>1543</v>
      </c>
      <c r="C562" t="s">
        <v>25</v>
      </c>
      <c r="D562" t="s">
        <v>17</v>
      </c>
      <c r="E562">
        <v>32.799999999999997</v>
      </c>
      <c r="F562" t="s">
        <v>26</v>
      </c>
      <c r="G562">
        <v>629</v>
      </c>
      <c r="H562" t="s">
        <v>27</v>
      </c>
      <c r="I562">
        <v>31859</v>
      </c>
      <c r="J562" t="s">
        <v>20</v>
      </c>
      <c r="K562" t="s">
        <v>1544</v>
      </c>
      <c r="L562" t="s">
        <v>1545</v>
      </c>
      <c r="M562" t="s">
        <v>69</v>
      </c>
      <c r="N562">
        <v>9</v>
      </c>
      <c r="O562">
        <v>69.7</v>
      </c>
    </row>
    <row r="563" spans="1:15">
      <c r="A563">
        <v>562</v>
      </c>
      <c r="B563" t="s">
        <v>1546</v>
      </c>
      <c r="C563" t="s">
        <v>25</v>
      </c>
      <c r="D563" t="s">
        <v>40</v>
      </c>
      <c r="E563">
        <v>45.6</v>
      </c>
      <c r="F563" t="s">
        <v>18</v>
      </c>
      <c r="G563">
        <v>204</v>
      </c>
      <c r="H563" t="s">
        <v>27</v>
      </c>
      <c r="I563">
        <v>23116</v>
      </c>
      <c r="J563" t="s">
        <v>20</v>
      </c>
      <c r="K563" t="s">
        <v>1547</v>
      </c>
      <c r="L563" t="s">
        <v>1548</v>
      </c>
      <c r="N563">
        <v>8</v>
      </c>
      <c r="O563">
        <v>124.5</v>
      </c>
    </row>
    <row r="564" spans="1:15">
      <c r="A564">
        <v>563</v>
      </c>
      <c r="B564" t="s">
        <v>809</v>
      </c>
      <c r="C564" t="s">
        <v>32</v>
      </c>
      <c r="D564" t="s">
        <v>114</v>
      </c>
      <c r="E564">
        <v>5.6</v>
      </c>
      <c r="F564" t="s">
        <v>18</v>
      </c>
      <c r="G564">
        <v>228</v>
      </c>
      <c r="H564" t="s">
        <v>19</v>
      </c>
      <c r="I564">
        <v>26322</v>
      </c>
      <c r="J564" t="s">
        <v>20</v>
      </c>
      <c r="K564" t="s">
        <v>1517</v>
      </c>
      <c r="L564" t="s">
        <v>986</v>
      </c>
      <c r="N564">
        <v>18</v>
      </c>
      <c r="O564">
        <v>17.100000000000001</v>
      </c>
    </row>
    <row r="565" spans="1:15">
      <c r="A565">
        <v>564</v>
      </c>
      <c r="B565" t="s">
        <v>1549</v>
      </c>
      <c r="C565" t="s">
        <v>25</v>
      </c>
      <c r="D565" t="s">
        <v>33</v>
      </c>
      <c r="E565">
        <v>32.4</v>
      </c>
      <c r="F565" t="s">
        <v>18</v>
      </c>
      <c r="G565">
        <v>421</v>
      </c>
      <c r="H565" t="s">
        <v>27</v>
      </c>
      <c r="I565">
        <v>46329</v>
      </c>
      <c r="J565" t="s">
        <v>20</v>
      </c>
      <c r="K565" t="s">
        <v>1550</v>
      </c>
      <c r="L565" t="s">
        <v>449</v>
      </c>
      <c r="M565" t="s">
        <v>86</v>
      </c>
      <c r="N565">
        <v>14</v>
      </c>
      <c r="O565">
        <v>95</v>
      </c>
    </row>
    <row r="566" spans="1:15">
      <c r="A566">
        <v>565</v>
      </c>
      <c r="B566" t="s">
        <v>1551</v>
      </c>
      <c r="C566" t="s">
        <v>16</v>
      </c>
      <c r="D566" t="s">
        <v>114</v>
      </c>
      <c r="E566">
        <v>59.9</v>
      </c>
      <c r="F566" t="s">
        <v>41</v>
      </c>
      <c r="G566">
        <v>153</v>
      </c>
      <c r="H566" t="s">
        <v>27</v>
      </c>
      <c r="I566">
        <v>108395</v>
      </c>
      <c r="J566" t="s">
        <v>20</v>
      </c>
      <c r="K566" t="s">
        <v>1552</v>
      </c>
      <c r="L566" t="s">
        <v>1553</v>
      </c>
      <c r="M566" t="s">
        <v>86</v>
      </c>
      <c r="N566">
        <v>11</v>
      </c>
      <c r="O566">
        <v>174.1</v>
      </c>
    </row>
    <row r="567" spans="1:15">
      <c r="A567">
        <v>566</v>
      </c>
      <c r="B567" t="s">
        <v>1554</v>
      </c>
      <c r="C567" t="s">
        <v>16</v>
      </c>
      <c r="D567" t="s">
        <v>40</v>
      </c>
      <c r="E567">
        <v>32.4</v>
      </c>
      <c r="F567" t="s">
        <v>56</v>
      </c>
      <c r="G567">
        <v>226</v>
      </c>
      <c r="H567" t="s">
        <v>27</v>
      </c>
      <c r="I567">
        <v>98689</v>
      </c>
      <c r="J567" t="s">
        <v>20</v>
      </c>
      <c r="K567" t="s">
        <v>602</v>
      </c>
      <c r="L567" t="s">
        <v>675</v>
      </c>
      <c r="M567" t="s">
        <v>121</v>
      </c>
      <c r="N567">
        <v>7</v>
      </c>
      <c r="O567">
        <v>104.8</v>
      </c>
    </row>
    <row r="568" spans="1:15">
      <c r="A568">
        <v>567</v>
      </c>
      <c r="B568" t="s">
        <v>1555</v>
      </c>
      <c r="C568" t="s">
        <v>123</v>
      </c>
      <c r="D568" t="s">
        <v>114</v>
      </c>
      <c r="E568">
        <v>17.7</v>
      </c>
      <c r="F568" t="s">
        <v>41</v>
      </c>
      <c r="G568">
        <v>123</v>
      </c>
      <c r="H568" t="s">
        <v>19</v>
      </c>
      <c r="I568">
        <v>111451</v>
      </c>
      <c r="J568" t="s">
        <v>20</v>
      </c>
      <c r="K568" t="s">
        <v>1556</v>
      </c>
      <c r="L568" t="s">
        <v>1557</v>
      </c>
      <c r="M568" t="s">
        <v>59</v>
      </c>
      <c r="N568">
        <v>4</v>
      </c>
      <c r="O568">
        <v>45.2</v>
      </c>
    </row>
    <row r="569" spans="1:15">
      <c r="A569">
        <v>568</v>
      </c>
      <c r="B569" t="s">
        <v>1558</v>
      </c>
      <c r="C569" t="s">
        <v>158</v>
      </c>
      <c r="D569" t="s">
        <v>61</v>
      </c>
      <c r="E569">
        <v>0</v>
      </c>
      <c r="F569" t="s">
        <v>56</v>
      </c>
      <c r="G569">
        <v>557</v>
      </c>
      <c r="H569" t="s">
        <v>19</v>
      </c>
      <c r="I569">
        <v>116162</v>
      </c>
      <c r="J569" t="s">
        <v>20</v>
      </c>
      <c r="K569" t="s">
        <v>1559</v>
      </c>
      <c r="L569" t="s">
        <v>1560</v>
      </c>
      <c r="M569" t="s">
        <v>59</v>
      </c>
      <c r="N569">
        <v>16</v>
      </c>
      <c r="O569">
        <v>0</v>
      </c>
    </row>
    <row r="570" spans="1:15">
      <c r="A570">
        <v>569</v>
      </c>
      <c r="B570" t="s">
        <v>1561</v>
      </c>
      <c r="C570" t="s">
        <v>25</v>
      </c>
      <c r="D570" t="s">
        <v>17</v>
      </c>
      <c r="E570">
        <v>32.6</v>
      </c>
      <c r="F570" t="s">
        <v>18</v>
      </c>
      <c r="G570">
        <v>593</v>
      </c>
      <c r="H570" t="s">
        <v>19</v>
      </c>
      <c r="I570">
        <v>45027</v>
      </c>
      <c r="J570" t="s">
        <v>20</v>
      </c>
      <c r="K570" t="s">
        <v>1562</v>
      </c>
      <c r="L570" t="s">
        <v>1126</v>
      </c>
      <c r="N570">
        <v>13</v>
      </c>
      <c r="O570">
        <v>106.1</v>
      </c>
    </row>
    <row r="571" spans="1:15">
      <c r="A571">
        <v>570</v>
      </c>
      <c r="B571" t="s">
        <v>1563</v>
      </c>
      <c r="C571" t="s">
        <v>50</v>
      </c>
      <c r="D571" t="s">
        <v>114</v>
      </c>
      <c r="E571">
        <v>15.9</v>
      </c>
      <c r="F571" t="s">
        <v>56</v>
      </c>
      <c r="G571">
        <v>540</v>
      </c>
      <c r="H571" t="s">
        <v>27</v>
      </c>
      <c r="I571">
        <v>91557</v>
      </c>
      <c r="J571" t="s">
        <v>20</v>
      </c>
      <c r="K571" t="s">
        <v>1564</v>
      </c>
      <c r="L571" t="s">
        <v>636</v>
      </c>
      <c r="M571" t="s">
        <v>48</v>
      </c>
      <c r="N571">
        <v>4</v>
      </c>
      <c r="O571">
        <v>42.1</v>
      </c>
    </row>
    <row r="572" spans="1:15">
      <c r="A572">
        <v>571</v>
      </c>
      <c r="B572" t="s">
        <v>1565</v>
      </c>
      <c r="C572" t="s">
        <v>123</v>
      </c>
      <c r="D572" t="s">
        <v>61</v>
      </c>
      <c r="E572">
        <v>0</v>
      </c>
      <c r="F572" t="s">
        <v>26</v>
      </c>
      <c r="G572">
        <v>358</v>
      </c>
      <c r="H572" t="s">
        <v>19</v>
      </c>
      <c r="I572">
        <v>94137</v>
      </c>
      <c r="J572" t="s">
        <v>20</v>
      </c>
      <c r="K572" t="s">
        <v>1139</v>
      </c>
      <c r="L572" t="s">
        <v>1277</v>
      </c>
      <c r="M572" t="s">
        <v>121</v>
      </c>
      <c r="N572">
        <v>5</v>
      </c>
      <c r="O572">
        <v>0</v>
      </c>
    </row>
    <row r="573" spans="1:15">
      <c r="A573">
        <v>572</v>
      </c>
      <c r="B573" t="s">
        <v>161</v>
      </c>
      <c r="C573" t="s">
        <v>133</v>
      </c>
      <c r="D573" t="s">
        <v>137</v>
      </c>
      <c r="E573">
        <v>85.3</v>
      </c>
      <c r="F573" t="s">
        <v>26</v>
      </c>
      <c r="G573">
        <v>183</v>
      </c>
      <c r="H573" t="s">
        <v>19</v>
      </c>
      <c r="I573">
        <v>50422</v>
      </c>
      <c r="J573" t="s">
        <v>20</v>
      </c>
      <c r="K573" t="s">
        <v>1566</v>
      </c>
      <c r="L573" t="s">
        <v>524</v>
      </c>
      <c r="M573" t="s">
        <v>441</v>
      </c>
      <c r="N573">
        <v>3</v>
      </c>
      <c r="O573">
        <v>286.5</v>
      </c>
    </row>
    <row r="574" spans="1:15">
      <c r="A574">
        <v>573</v>
      </c>
      <c r="B574" t="s">
        <v>1567</v>
      </c>
      <c r="C574" t="s">
        <v>133</v>
      </c>
      <c r="D574" t="s">
        <v>40</v>
      </c>
      <c r="E574">
        <v>83</v>
      </c>
      <c r="F574" t="s">
        <v>26</v>
      </c>
      <c r="G574">
        <v>240</v>
      </c>
      <c r="H574" t="s">
        <v>19</v>
      </c>
      <c r="I574">
        <v>37634</v>
      </c>
      <c r="J574" t="s">
        <v>20</v>
      </c>
      <c r="K574" t="s">
        <v>1568</v>
      </c>
      <c r="L574" t="s">
        <v>959</v>
      </c>
      <c r="M574" t="s">
        <v>117</v>
      </c>
      <c r="N574">
        <v>12</v>
      </c>
      <c r="O574">
        <v>280</v>
      </c>
    </row>
    <row r="575" spans="1:15">
      <c r="A575">
        <v>574</v>
      </c>
      <c r="B575" t="s">
        <v>1171</v>
      </c>
      <c r="C575" t="s">
        <v>39</v>
      </c>
      <c r="D575" t="s">
        <v>114</v>
      </c>
      <c r="E575">
        <v>54.2</v>
      </c>
      <c r="F575" t="s">
        <v>62</v>
      </c>
      <c r="G575">
        <v>274</v>
      </c>
      <c r="H575" t="s">
        <v>27</v>
      </c>
      <c r="I575">
        <v>68098</v>
      </c>
      <c r="J575" t="s">
        <v>20</v>
      </c>
      <c r="K575" t="s">
        <v>1569</v>
      </c>
      <c r="L575" t="s">
        <v>1447</v>
      </c>
      <c r="M575" t="s">
        <v>69</v>
      </c>
      <c r="N575">
        <v>13</v>
      </c>
      <c r="O575">
        <v>141</v>
      </c>
    </row>
    <row r="576" spans="1:15">
      <c r="A576">
        <v>575</v>
      </c>
      <c r="B576" t="s">
        <v>1570</v>
      </c>
      <c r="C576" t="s">
        <v>158</v>
      </c>
      <c r="D576" t="s">
        <v>137</v>
      </c>
      <c r="E576">
        <v>48.6</v>
      </c>
      <c r="F576" t="s">
        <v>41</v>
      </c>
      <c r="G576">
        <v>330</v>
      </c>
      <c r="H576" t="s">
        <v>19</v>
      </c>
      <c r="I576">
        <v>22709</v>
      </c>
      <c r="J576" t="s">
        <v>20</v>
      </c>
      <c r="K576" t="s">
        <v>1301</v>
      </c>
      <c r="L576" t="s">
        <v>695</v>
      </c>
      <c r="M576" t="s">
        <v>121</v>
      </c>
      <c r="N576">
        <v>7</v>
      </c>
      <c r="O576">
        <v>141.30000000000001</v>
      </c>
    </row>
    <row r="577" spans="1:15">
      <c r="A577">
        <v>576</v>
      </c>
      <c r="B577" t="s">
        <v>1571</v>
      </c>
      <c r="C577" t="s">
        <v>158</v>
      </c>
      <c r="D577" t="s">
        <v>61</v>
      </c>
      <c r="E577">
        <v>0</v>
      </c>
      <c r="F577" t="s">
        <v>56</v>
      </c>
      <c r="G577">
        <v>687</v>
      </c>
      <c r="H577" t="s">
        <v>27</v>
      </c>
      <c r="I577">
        <v>12766</v>
      </c>
      <c r="J577" t="s">
        <v>20</v>
      </c>
      <c r="K577" t="s">
        <v>1572</v>
      </c>
      <c r="L577" t="s">
        <v>1573</v>
      </c>
      <c r="M577" t="s">
        <v>86</v>
      </c>
      <c r="N577">
        <v>18</v>
      </c>
      <c r="O577">
        <v>0</v>
      </c>
    </row>
    <row r="578" spans="1:15">
      <c r="A578">
        <v>577</v>
      </c>
      <c r="B578" t="s">
        <v>1574</v>
      </c>
      <c r="C578" t="s">
        <v>25</v>
      </c>
      <c r="D578" t="s">
        <v>17</v>
      </c>
      <c r="E578">
        <v>99.4</v>
      </c>
      <c r="F578" t="s">
        <v>26</v>
      </c>
      <c r="G578">
        <v>516</v>
      </c>
      <c r="H578" t="s">
        <v>27</v>
      </c>
      <c r="I578">
        <v>34168</v>
      </c>
      <c r="J578" t="s">
        <v>20</v>
      </c>
      <c r="K578" t="s">
        <v>1575</v>
      </c>
      <c r="L578" t="s">
        <v>1576</v>
      </c>
      <c r="M578" t="s">
        <v>86</v>
      </c>
      <c r="N578">
        <v>14</v>
      </c>
      <c r="O578">
        <v>237.7</v>
      </c>
    </row>
    <row r="579" spans="1:15">
      <c r="A579">
        <v>578</v>
      </c>
      <c r="B579" t="s">
        <v>1577</v>
      </c>
      <c r="C579" t="s">
        <v>16</v>
      </c>
      <c r="D579" t="s">
        <v>137</v>
      </c>
      <c r="E579">
        <v>65.599999999999994</v>
      </c>
      <c r="F579" t="s">
        <v>62</v>
      </c>
      <c r="G579">
        <v>58</v>
      </c>
      <c r="H579" t="s">
        <v>19</v>
      </c>
      <c r="I579">
        <v>93363</v>
      </c>
      <c r="J579" t="s">
        <v>20</v>
      </c>
      <c r="K579" t="s">
        <v>1578</v>
      </c>
      <c r="L579" t="s">
        <v>1254</v>
      </c>
      <c r="M579" t="s">
        <v>117</v>
      </c>
      <c r="N579">
        <v>11</v>
      </c>
      <c r="O579">
        <v>193.5</v>
      </c>
    </row>
    <row r="580" spans="1:15">
      <c r="A580">
        <v>579</v>
      </c>
      <c r="B580" t="s">
        <v>1579</v>
      </c>
      <c r="C580" t="s">
        <v>158</v>
      </c>
      <c r="D580" t="s">
        <v>17</v>
      </c>
      <c r="E580">
        <v>61.8</v>
      </c>
      <c r="F580" t="s">
        <v>56</v>
      </c>
      <c r="G580">
        <v>324</v>
      </c>
      <c r="H580" t="s">
        <v>19</v>
      </c>
      <c r="I580">
        <v>59727</v>
      </c>
      <c r="J580" t="s">
        <v>20</v>
      </c>
      <c r="K580" t="s">
        <v>1580</v>
      </c>
      <c r="L580" t="s">
        <v>1581</v>
      </c>
      <c r="M580" t="s">
        <v>117</v>
      </c>
      <c r="N580">
        <v>11</v>
      </c>
      <c r="O580">
        <v>201.7</v>
      </c>
    </row>
    <row r="581" spans="1:15">
      <c r="A581">
        <v>580</v>
      </c>
      <c r="B581" t="s">
        <v>1582</v>
      </c>
      <c r="C581" t="s">
        <v>39</v>
      </c>
      <c r="D581" t="s">
        <v>137</v>
      </c>
      <c r="E581">
        <v>41.5</v>
      </c>
      <c r="F581" t="s">
        <v>62</v>
      </c>
      <c r="G581">
        <v>37</v>
      </c>
      <c r="H581" t="s">
        <v>27</v>
      </c>
      <c r="I581">
        <v>38742</v>
      </c>
      <c r="J581" t="s">
        <v>20</v>
      </c>
      <c r="K581" t="s">
        <v>1583</v>
      </c>
      <c r="L581" t="s">
        <v>1584</v>
      </c>
      <c r="N581">
        <v>7</v>
      </c>
      <c r="O581">
        <v>132.5</v>
      </c>
    </row>
    <row r="582" spans="1:15">
      <c r="A582">
        <v>581</v>
      </c>
      <c r="B582" t="s">
        <v>1585</v>
      </c>
      <c r="C582" t="s">
        <v>16</v>
      </c>
      <c r="D582" t="s">
        <v>61</v>
      </c>
      <c r="E582">
        <v>0</v>
      </c>
      <c r="F582" t="s">
        <v>62</v>
      </c>
      <c r="G582">
        <v>534</v>
      </c>
      <c r="H582" t="s">
        <v>27</v>
      </c>
      <c r="I582">
        <v>60121</v>
      </c>
      <c r="J582" t="s">
        <v>20</v>
      </c>
      <c r="K582" t="s">
        <v>1586</v>
      </c>
      <c r="L582" t="s">
        <v>1587</v>
      </c>
      <c r="M582" t="s">
        <v>117</v>
      </c>
      <c r="N582">
        <v>15</v>
      </c>
      <c r="O582">
        <v>0</v>
      </c>
    </row>
    <row r="583" spans="1:15">
      <c r="A583">
        <v>582</v>
      </c>
      <c r="B583" t="s">
        <v>1588</v>
      </c>
      <c r="C583" t="s">
        <v>32</v>
      </c>
      <c r="D583" t="s">
        <v>17</v>
      </c>
      <c r="E583">
        <v>84.5</v>
      </c>
      <c r="F583" t="s">
        <v>26</v>
      </c>
      <c r="G583">
        <v>451</v>
      </c>
      <c r="H583" t="s">
        <v>27</v>
      </c>
      <c r="I583">
        <v>44867</v>
      </c>
      <c r="J583" t="s">
        <v>20</v>
      </c>
      <c r="K583" t="s">
        <v>1589</v>
      </c>
      <c r="L583" t="s">
        <v>764</v>
      </c>
      <c r="M583" t="s">
        <v>112</v>
      </c>
      <c r="N583">
        <v>15</v>
      </c>
      <c r="O583">
        <v>233</v>
      </c>
    </row>
    <row r="584" spans="1:15">
      <c r="A584">
        <v>583</v>
      </c>
      <c r="B584" t="s">
        <v>1590</v>
      </c>
      <c r="C584" t="s">
        <v>16</v>
      </c>
      <c r="D584" t="s">
        <v>137</v>
      </c>
      <c r="E584">
        <v>4.8</v>
      </c>
      <c r="F584" t="s">
        <v>56</v>
      </c>
      <c r="G584">
        <v>425</v>
      </c>
      <c r="H584" t="s">
        <v>19</v>
      </c>
      <c r="I584">
        <v>14244</v>
      </c>
      <c r="J584" t="s">
        <v>20</v>
      </c>
      <c r="K584" t="s">
        <v>1591</v>
      </c>
      <c r="L584" t="s">
        <v>549</v>
      </c>
      <c r="M584" t="s">
        <v>59</v>
      </c>
      <c r="N584">
        <v>14</v>
      </c>
      <c r="O584">
        <v>16.5</v>
      </c>
    </row>
    <row r="585" spans="1:15">
      <c r="A585">
        <v>584</v>
      </c>
      <c r="B585" t="s">
        <v>1225</v>
      </c>
      <c r="C585" t="s">
        <v>32</v>
      </c>
      <c r="D585" t="s">
        <v>40</v>
      </c>
      <c r="E585">
        <v>48.2</v>
      </c>
      <c r="F585" t="s">
        <v>56</v>
      </c>
      <c r="G585">
        <v>322</v>
      </c>
      <c r="H585" t="s">
        <v>27</v>
      </c>
      <c r="I585">
        <v>78281</v>
      </c>
      <c r="J585" t="s">
        <v>20</v>
      </c>
      <c r="K585" t="s">
        <v>1592</v>
      </c>
      <c r="L585" t="s">
        <v>1593</v>
      </c>
      <c r="M585" t="s">
        <v>59</v>
      </c>
      <c r="N585">
        <v>7</v>
      </c>
      <c r="O585">
        <v>115</v>
      </c>
    </row>
    <row r="586" spans="1:15">
      <c r="A586">
        <v>585</v>
      </c>
      <c r="B586" t="s">
        <v>1594</v>
      </c>
      <c r="C586" t="s">
        <v>32</v>
      </c>
      <c r="D586" t="s">
        <v>137</v>
      </c>
      <c r="E586">
        <v>90.9</v>
      </c>
      <c r="F586" t="s">
        <v>18</v>
      </c>
      <c r="G586">
        <v>600</v>
      </c>
      <c r="H586" t="s">
        <v>19</v>
      </c>
      <c r="I586">
        <v>3323</v>
      </c>
      <c r="J586" t="s">
        <v>20</v>
      </c>
      <c r="K586" t="s">
        <v>1595</v>
      </c>
      <c r="L586" t="s">
        <v>1596</v>
      </c>
      <c r="M586" t="s">
        <v>48</v>
      </c>
      <c r="N586">
        <v>18</v>
      </c>
      <c r="O586">
        <v>264.39999999999998</v>
      </c>
    </row>
    <row r="587" spans="1:15">
      <c r="A587">
        <v>586</v>
      </c>
      <c r="B587" t="s">
        <v>1597</v>
      </c>
      <c r="C587" t="s">
        <v>39</v>
      </c>
      <c r="D587" t="s">
        <v>17</v>
      </c>
      <c r="E587">
        <v>81.599999999999994</v>
      </c>
      <c r="F587" t="s">
        <v>41</v>
      </c>
      <c r="G587">
        <v>159</v>
      </c>
      <c r="H587" t="s">
        <v>19</v>
      </c>
      <c r="I587">
        <v>22787</v>
      </c>
      <c r="J587" t="s">
        <v>20</v>
      </c>
      <c r="K587" t="s">
        <v>1598</v>
      </c>
      <c r="L587" t="s">
        <v>1599</v>
      </c>
      <c r="M587" t="s">
        <v>59</v>
      </c>
      <c r="N587">
        <v>6</v>
      </c>
      <c r="O587">
        <v>244.6</v>
      </c>
    </row>
    <row r="588" spans="1:15">
      <c r="A588">
        <v>587</v>
      </c>
      <c r="B588" t="s">
        <v>1600</v>
      </c>
      <c r="C588" t="s">
        <v>16</v>
      </c>
      <c r="D588" t="s">
        <v>61</v>
      </c>
      <c r="E588">
        <v>0</v>
      </c>
      <c r="F588" t="s">
        <v>26</v>
      </c>
      <c r="G588">
        <v>646</v>
      </c>
      <c r="H588" t="s">
        <v>27</v>
      </c>
      <c r="I588">
        <v>74268</v>
      </c>
      <c r="J588" t="s">
        <v>20</v>
      </c>
      <c r="K588" t="s">
        <v>1601</v>
      </c>
      <c r="L588" t="s">
        <v>1602</v>
      </c>
      <c r="M588" t="s">
        <v>441</v>
      </c>
      <c r="N588">
        <v>17</v>
      </c>
      <c r="O588">
        <v>0</v>
      </c>
    </row>
    <row r="589" spans="1:15">
      <c r="A589">
        <v>588</v>
      </c>
      <c r="B589" t="s">
        <v>1603</v>
      </c>
      <c r="C589" t="s">
        <v>158</v>
      </c>
      <c r="D589" t="s">
        <v>17</v>
      </c>
      <c r="E589">
        <v>57.8</v>
      </c>
      <c r="F589" t="s">
        <v>26</v>
      </c>
      <c r="G589">
        <v>372</v>
      </c>
      <c r="H589" t="s">
        <v>19</v>
      </c>
      <c r="I589">
        <v>119430</v>
      </c>
      <c r="J589" t="s">
        <v>20</v>
      </c>
      <c r="K589" t="s">
        <v>1604</v>
      </c>
      <c r="L589" t="s">
        <v>1605</v>
      </c>
      <c r="M589" t="s">
        <v>112</v>
      </c>
      <c r="N589">
        <v>17</v>
      </c>
      <c r="O589">
        <v>201.6</v>
      </c>
    </row>
    <row r="590" spans="1:15">
      <c r="A590">
        <v>589</v>
      </c>
      <c r="B590" t="s">
        <v>1606</v>
      </c>
      <c r="C590" t="s">
        <v>32</v>
      </c>
      <c r="D590" t="s">
        <v>61</v>
      </c>
      <c r="E590">
        <v>0</v>
      </c>
      <c r="F590" t="s">
        <v>56</v>
      </c>
      <c r="G590">
        <v>582</v>
      </c>
      <c r="H590" t="s">
        <v>19</v>
      </c>
      <c r="I590">
        <v>75993</v>
      </c>
      <c r="J590" t="s">
        <v>20</v>
      </c>
      <c r="K590" t="s">
        <v>1607</v>
      </c>
      <c r="L590" t="s">
        <v>413</v>
      </c>
      <c r="M590" t="s">
        <v>117</v>
      </c>
      <c r="N590">
        <v>7</v>
      </c>
      <c r="O590">
        <v>0</v>
      </c>
    </row>
    <row r="591" spans="1:15">
      <c r="A591">
        <v>590</v>
      </c>
      <c r="B591" t="s">
        <v>1365</v>
      </c>
      <c r="C591" t="s">
        <v>158</v>
      </c>
      <c r="D591" t="s">
        <v>137</v>
      </c>
      <c r="E591">
        <v>45</v>
      </c>
      <c r="F591" t="s">
        <v>62</v>
      </c>
      <c r="G591">
        <v>485</v>
      </c>
      <c r="H591" t="s">
        <v>19</v>
      </c>
      <c r="I591">
        <v>3385</v>
      </c>
      <c r="J591" t="s">
        <v>20</v>
      </c>
      <c r="K591" t="s">
        <v>1608</v>
      </c>
      <c r="L591" t="s">
        <v>1609</v>
      </c>
      <c r="M591" t="s">
        <v>69</v>
      </c>
      <c r="N591">
        <v>2</v>
      </c>
      <c r="O591">
        <v>152.1</v>
      </c>
    </row>
    <row r="592" spans="1:15">
      <c r="A592">
        <v>591</v>
      </c>
      <c r="B592" t="s">
        <v>1610</v>
      </c>
      <c r="C592" t="s">
        <v>133</v>
      </c>
      <c r="D592" t="s">
        <v>137</v>
      </c>
      <c r="E592">
        <v>46.1</v>
      </c>
      <c r="F592" t="s">
        <v>62</v>
      </c>
      <c r="G592">
        <v>70</v>
      </c>
      <c r="H592" t="s">
        <v>19</v>
      </c>
      <c r="I592">
        <v>92887</v>
      </c>
      <c r="J592" t="s">
        <v>20</v>
      </c>
      <c r="K592" t="s">
        <v>1611</v>
      </c>
      <c r="L592" t="s">
        <v>786</v>
      </c>
      <c r="M592" t="s">
        <v>121</v>
      </c>
      <c r="N592">
        <v>7</v>
      </c>
      <c r="O592">
        <v>132.69999999999999</v>
      </c>
    </row>
    <row r="593" spans="1:15">
      <c r="A593">
        <v>592</v>
      </c>
      <c r="B593" t="s">
        <v>581</v>
      </c>
      <c r="C593" t="s">
        <v>133</v>
      </c>
      <c r="D593" t="s">
        <v>137</v>
      </c>
      <c r="E593">
        <v>72</v>
      </c>
      <c r="F593" t="s">
        <v>26</v>
      </c>
      <c r="G593">
        <v>572</v>
      </c>
      <c r="H593" t="s">
        <v>27</v>
      </c>
      <c r="I593">
        <v>71804</v>
      </c>
      <c r="J593" t="s">
        <v>20</v>
      </c>
      <c r="K593" t="s">
        <v>1612</v>
      </c>
      <c r="L593" t="s">
        <v>1224</v>
      </c>
      <c r="M593" t="s">
        <v>59</v>
      </c>
      <c r="N593">
        <v>7</v>
      </c>
      <c r="O593">
        <v>233.4</v>
      </c>
    </row>
    <row r="594" spans="1:15">
      <c r="A594">
        <v>593</v>
      </c>
      <c r="B594" t="s">
        <v>1613</v>
      </c>
      <c r="C594" t="s">
        <v>39</v>
      </c>
      <c r="D594" t="s">
        <v>17</v>
      </c>
      <c r="E594">
        <v>5.3</v>
      </c>
      <c r="F594" t="s">
        <v>56</v>
      </c>
      <c r="G594">
        <v>201</v>
      </c>
      <c r="H594" t="s">
        <v>27</v>
      </c>
      <c r="I594">
        <v>94334</v>
      </c>
      <c r="J594" t="s">
        <v>20</v>
      </c>
      <c r="K594" t="s">
        <v>1614</v>
      </c>
      <c r="L594" t="s">
        <v>1615</v>
      </c>
      <c r="M594" t="s">
        <v>86</v>
      </c>
      <c r="N594">
        <v>15</v>
      </c>
      <c r="O594">
        <v>14.4</v>
      </c>
    </row>
    <row r="595" spans="1:15">
      <c r="A595">
        <v>594</v>
      </c>
      <c r="B595" t="s">
        <v>1616</v>
      </c>
      <c r="C595" t="s">
        <v>50</v>
      </c>
      <c r="D595" t="s">
        <v>33</v>
      </c>
      <c r="E595">
        <v>98.5</v>
      </c>
      <c r="F595" t="s">
        <v>62</v>
      </c>
      <c r="G595">
        <v>214</v>
      </c>
      <c r="H595" t="s">
        <v>27</v>
      </c>
      <c r="I595">
        <v>16698</v>
      </c>
      <c r="J595" t="s">
        <v>20</v>
      </c>
      <c r="K595" t="s">
        <v>1617</v>
      </c>
      <c r="L595" t="s">
        <v>1618</v>
      </c>
      <c r="M595" t="s">
        <v>59</v>
      </c>
      <c r="N595">
        <v>7</v>
      </c>
      <c r="O595">
        <v>301.60000000000002</v>
      </c>
    </row>
    <row r="596" spans="1:15">
      <c r="A596">
        <v>595</v>
      </c>
      <c r="B596" t="s">
        <v>1619</v>
      </c>
      <c r="C596" t="s">
        <v>123</v>
      </c>
      <c r="D596" t="s">
        <v>137</v>
      </c>
      <c r="E596">
        <v>58</v>
      </c>
      <c r="F596" t="s">
        <v>62</v>
      </c>
      <c r="G596">
        <v>686</v>
      </c>
      <c r="H596" t="s">
        <v>19</v>
      </c>
      <c r="I596">
        <v>87825</v>
      </c>
      <c r="J596" t="s">
        <v>20</v>
      </c>
      <c r="K596" t="s">
        <v>1620</v>
      </c>
      <c r="L596" t="s">
        <v>1621</v>
      </c>
      <c r="M596" t="s">
        <v>121</v>
      </c>
      <c r="N596">
        <v>20</v>
      </c>
      <c r="O596">
        <v>157</v>
      </c>
    </row>
    <row r="597" spans="1:15">
      <c r="A597">
        <v>596</v>
      </c>
      <c r="B597" t="s">
        <v>1622</v>
      </c>
      <c r="C597" t="s">
        <v>39</v>
      </c>
      <c r="D597" t="s">
        <v>33</v>
      </c>
      <c r="E597">
        <v>46.7</v>
      </c>
      <c r="F597" t="s">
        <v>62</v>
      </c>
      <c r="G597">
        <v>244</v>
      </c>
      <c r="H597" t="s">
        <v>27</v>
      </c>
      <c r="I597">
        <v>116131</v>
      </c>
      <c r="J597" t="s">
        <v>20</v>
      </c>
      <c r="K597" t="s">
        <v>1623</v>
      </c>
      <c r="L597" t="s">
        <v>1624</v>
      </c>
      <c r="M597" t="s">
        <v>69</v>
      </c>
      <c r="N597">
        <v>6</v>
      </c>
      <c r="O597">
        <v>116.5</v>
      </c>
    </row>
    <row r="598" spans="1:15">
      <c r="A598">
        <v>597</v>
      </c>
      <c r="B598" t="s">
        <v>598</v>
      </c>
      <c r="C598" t="s">
        <v>16</v>
      </c>
      <c r="D598" t="s">
        <v>61</v>
      </c>
      <c r="E598">
        <v>0</v>
      </c>
      <c r="F598" t="s">
        <v>62</v>
      </c>
      <c r="G598">
        <v>497</v>
      </c>
      <c r="H598" t="s">
        <v>19</v>
      </c>
      <c r="I598">
        <v>66983</v>
      </c>
      <c r="J598" t="s">
        <v>20</v>
      </c>
      <c r="K598" t="s">
        <v>1625</v>
      </c>
      <c r="L598" t="s">
        <v>630</v>
      </c>
      <c r="M598" t="s">
        <v>441</v>
      </c>
      <c r="N598">
        <v>7</v>
      </c>
      <c r="O598">
        <v>0</v>
      </c>
    </row>
    <row r="599" spans="1:15">
      <c r="A599">
        <v>598</v>
      </c>
      <c r="B599" t="s">
        <v>1626</v>
      </c>
      <c r="C599" t="s">
        <v>32</v>
      </c>
      <c r="D599" t="s">
        <v>137</v>
      </c>
      <c r="E599">
        <v>80.8</v>
      </c>
      <c r="F599" t="s">
        <v>62</v>
      </c>
      <c r="G599">
        <v>371</v>
      </c>
      <c r="H599" t="s">
        <v>19</v>
      </c>
      <c r="I599">
        <v>105726</v>
      </c>
      <c r="J599" t="s">
        <v>20</v>
      </c>
      <c r="K599" t="s">
        <v>1627</v>
      </c>
      <c r="L599" t="s">
        <v>1593</v>
      </c>
      <c r="M599" t="s">
        <v>54</v>
      </c>
      <c r="N599">
        <v>18</v>
      </c>
      <c r="O599">
        <v>247</v>
      </c>
    </row>
    <row r="600" spans="1:15">
      <c r="A600">
        <v>599</v>
      </c>
      <c r="B600" t="s">
        <v>1628</v>
      </c>
      <c r="C600" t="s">
        <v>32</v>
      </c>
      <c r="D600" t="s">
        <v>17</v>
      </c>
      <c r="E600">
        <v>51.8</v>
      </c>
      <c r="F600" t="s">
        <v>18</v>
      </c>
      <c r="G600">
        <v>122</v>
      </c>
      <c r="H600" t="s">
        <v>27</v>
      </c>
      <c r="I600">
        <v>77269</v>
      </c>
      <c r="J600" t="s">
        <v>20</v>
      </c>
      <c r="K600" t="s">
        <v>1629</v>
      </c>
      <c r="L600" t="s">
        <v>1630</v>
      </c>
      <c r="M600" t="s">
        <v>54</v>
      </c>
      <c r="N600">
        <v>8</v>
      </c>
      <c r="O600">
        <v>161.5</v>
      </c>
    </row>
    <row r="601" spans="1:15">
      <c r="A601">
        <v>600</v>
      </c>
      <c r="B601" t="s">
        <v>1631</v>
      </c>
      <c r="C601" t="s">
        <v>25</v>
      </c>
      <c r="D601" t="s">
        <v>114</v>
      </c>
      <c r="E601">
        <v>88.3</v>
      </c>
      <c r="F601" t="s">
        <v>62</v>
      </c>
      <c r="G601">
        <v>406</v>
      </c>
      <c r="H601" t="s">
        <v>27</v>
      </c>
      <c r="I601">
        <v>118000</v>
      </c>
      <c r="J601" t="s">
        <v>20</v>
      </c>
      <c r="K601" t="s">
        <v>1632</v>
      </c>
      <c r="L601" t="s">
        <v>592</v>
      </c>
      <c r="M601" t="s">
        <v>121</v>
      </c>
      <c r="N601">
        <v>15</v>
      </c>
      <c r="O601">
        <v>177.8</v>
      </c>
    </row>
    <row r="602" spans="1:15">
      <c r="A602">
        <v>601</v>
      </c>
      <c r="B602" t="s">
        <v>309</v>
      </c>
      <c r="C602" t="s">
        <v>50</v>
      </c>
      <c r="D602" t="s">
        <v>40</v>
      </c>
      <c r="E602">
        <v>64.7</v>
      </c>
      <c r="F602" t="s">
        <v>41</v>
      </c>
      <c r="G602">
        <v>236</v>
      </c>
      <c r="H602" t="s">
        <v>27</v>
      </c>
      <c r="I602">
        <v>94609</v>
      </c>
      <c r="J602" t="s">
        <v>20</v>
      </c>
      <c r="K602" t="s">
        <v>1633</v>
      </c>
      <c r="L602" t="s">
        <v>1634</v>
      </c>
      <c r="M602" t="s">
        <v>86</v>
      </c>
      <c r="N602">
        <v>8</v>
      </c>
      <c r="O602">
        <v>130.1</v>
      </c>
    </row>
    <row r="603" spans="1:15">
      <c r="A603">
        <v>602</v>
      </c>
      <c r="B603" t="s">
        <v>1635</v>
      </c>
      <c r="C603" t="s">
        <v>39</v>
      </c>
      <c r="D603" t="s">
        <v>17</v>
      </c>
      <c r="E603">
        <v>86.6</v>
      </c>
      <c r="F603" t="s">
        <v>41</v>
      </c>
      <c r="G603">
        <v>142</v>
      </c>
      <c r="H603" t="s">
        <v>27</v>
      </c>
      <c r="I603">
        <v>113578</v>
      </c>
      <c r="J603" t="s">
        <v>20</v>
      </c>
      <c r="K603" t="s">
        <v>1636</v>
      </c>
      <c r="L603" t="s">
        <v>1637</v>
      </c>
      <c r="M603" t="s">
        <v>441</v>
      </c>
      <c r="N603">
        <v>6</v>
      </c>
      <c r="O603">
        <v>187.7</v>
      </c>
    </row>
    <row r="604" spans="1:15">
      <c r="A604">
        <v>603</v>
      </c>
      <c r="B604" t="s">
        <v>1638</v>
      </c>
      <c r="C604" t="s">
        <v>158</v>
      </c>
      <c r="D604" t="s">
        <v>137</v>
      </c>
      <c r="E604">
        <v>6.1</v>
      </c>
      <c r="F604" t="s">
        <v>56</v>
      </c>
      <c r="G604">
        <v>336</v>
      </c>
      <c r="H604" t="s">
        <v>27</v>
      </c>
      <c r="I604">
        <v>5483</v>
      </c>
      <c r="J604" t="s">
        <v>20</v>
      </c>
      <c r="K604" t="s">
        <v>1639</v>
      </c>
      <c r="L604" t="s">
        <v>786</v>
      </c>
      <c r="M604" t="s">
        <v>441</v>
      </c>
      <c r="N604">
        <v>18</v>
      </c>
      <c r="O604">
        <v>12.3</v>
      </c>
    </row>
    <row r="605" spans="1:15">
      <c r="A605">
        <v>604</v>
      </c>
      <c r="B605" t="s">
        <v>1640</v>
      </c>
      <c r="C605" t="s">
        <v>39</v>
      </c>
      <c r="D605" t="s">
        <v>40</v>
      </c>
      <c r="E605">
        <v>78.900000000000006</v>
      </c>
      <c r="F605" t="s">
        <v>62</v>
      </c>
      <c r="G605">
        <v>155</v>
      </c>
      <c r="H605" t="s">
        <v>19</v>
      </c>
      <c r="I605">
        <v>84200</v>
      </c>
      <c r="J605" t="s">
        <v>20</v>
      </c>
      <c r="K605" t="s">
        <v>1641</v>
      </c>
      <c r="L605" t="s">
        <v>476</v>
      </c>
      <c r="N605">
        <v>1</v>
      </c>
      <c r="O605">
        <v>192</v>
      </c>
    </row>
    <row r="606" spans="1:15">
      <c r="A606">
        <v>605</v>
      </c>
      <c r="B606" t="s">
        <v>1642</v>
      </c>
      <c r="C606" t="s">
        <v>50</v>
      </c>
      <c r="D606" t="s">
        <v>61</v>
      </c>
      <c r="E606">
        <v>0</v>
      </c>
      <c r="F606" t="s">
        <v>41</v>
      </c>
      <c r="G606">
        <v>476</v>
      </c>
      <c r="H606" t="s">
        <v>27</v>
      </c>
      <c r="I606">
        <v>100137</v>
      </c>
      <c r="J606" t="s">
        <v>20</v>
      </c>
      <c r="K606" t="s">
        <v>1643</v>
      </c>
      <c r="L606" t="s">
        <v>816</v>
      </c>
      <c r="M606" t="s">
        <v>69</v>
      </c>
      <c r="N606">
        <v>4</v>
      </c>
      <c r="O606">
        <v>0</v>
      </c>
    </row>
    <row r="607" spans="1:15">
      <c r="A607">
        <v>606</v>
      </c>
      <c r="B607" t="s">
        <v>1644</v>
      </c>
      <c r="C607" t="s">
        <v>16</v>
      </c>
      <c r="D607" t="s">
        <v>17</v>
      </c>
      <c r="E607">
        <v>26.2</v>
      </c>
      <c r="F607" t="s">
        <v>18</v>
      </c>
      <c r="G607">
        <v>549</v>
      </c>
      <c r="H607" t="s">
        <v>27</v>
      </c>
      <c r="I607">
        <v>117728</v>
      </c>
      <c r="J607" t="s">
        <v>20</v>
      </c>
      <c r="K607" t="s">
        <v>1645</v>
      </c>
      <c r="L607" t="s">
        <v>1164</v>
      </c>
      <c r="M607" t="s">
        <v>117</v>
      </c>
      <c r="N607">
        <v>10</v>
      </c>
      <c r="O607">
        <v>81.7</v>
      </c>
    </row>
    <row r="608" spans="1:15">
      <c r="A608">
        <v>607</v>
      </c>
      <c r="B608" t="s">
        <v>1646</v>
      </c>
      <c r="C608" t="s">
        <v>16</v>
      </c>
      <c r="D608" t="s">
        <v>137</v>
      </c>
      <c r="E608">
        <v>79.3</v>
      </c>
      <c r="F608" t="s">
        <v>62</v>
      </c>
      <c r="G608">
        <v>356</v>
      </c>
      <c r="H608" t="s">
        <v>19</v>
      </c>
      <c r="I608">
        <v>36905</v>
      </c>
      <c r="J608" t="s">
        <v>20</v>
      </c>
      <c r="K608" t="s">
        <v>1647</v>
      </c>
      <c r="L608" t="s">
        <v>542</v>
      </c>
      <c r="M608" t="s">
        <v>59</v>
      </c>
      <c r="N608">
        <v>2</v>
      </c>
      <c r="O608">
        <v>205.7</v>
      </c>
    </row>
    <row r="609" spans="1:15">
      <c r="A609">
        <v>608</v>
      </c>
      <c r="B609" t="s">
        <v>742</v>
      </c>
      <c r="C609" t="s">
        <v>25</v>
      </c>
      <c r="D609" t="s">
        <v>137</v>
      </c>
      <c r="E609">
        <v>66.3</v>
      </c>
      <c r="F609" t="s">
        <v>56</v>
      </c>
      <c r="G609">
        <v>342</v>
      </c>
      <c r="H609" t="s">
        <v>27</v>
      </c>
      <c r="I609">
        <v>61207</v>
      </c>
      <c r="J609" t="s">
        <v>20</v>
      </c>
      <c r="K609" t="s">
        <v>1015</v>
      </c>
      <c r="L609" t="s">
        <v>530</v>
      </c>
      <c r="M609" t="s">
        <v>112</v>
      </c>
      <c r="N609">
        <v>8</v>
      </c>
      <c r="O609">
        <v>137.9</v>
      </c>
    </row>
    <row r="610" spans="1:15">
      <c r="A610">
        <v>609</v>
      </c>
      <c r="B610" t="s">
        <v>1648</v>
      </c>
      <c r="C610" t="s">
        <v>16</v>
      </c>
      <c r="D610" t="s">
        <v>61</v>
      </c>
      <c r="E610">
        <v>0</v>
      </c>
      <c r="F610" t="s">
        <v>26</v>
      </c>
      <c r="G610">
        <v>598</v>
      </c>
      <c r="H610" t="s">
        <v>27</v>
      </c>
      <c r="I610">
        <v>118127</v>
      </c>
      <c r="J610" t="s">
        <v>20</v>
      </c>
      <c r="K610" t="s">
        <v>1649</v>
      </c>
      <c r="L610" t="s">
        <v>1650</v>
      </c>
      <c r="M610" t="s">
        <v>112</v>
      </c>
      <c r="N610">
        <v>18</v>
      </c>
      <c r="O610">
        <v>0</v>
      </c>
    </row>
    <row r="611" spans="1:15">
      <c r="A611">
        <v>610</v>
      </c>
      <c r="B611" t="s">
        <v>1651</v>
      </c>
      <c r="C611" t="s">
        <v>32</v>
      </c>
      <c r="D611" t="s">
        <v>137</v>
      </c>
      <c r="E611">
        <v>71.7</v>
      </c>
      <c r="F611" t="s">
        <v>26</v>
      </c>
      <c r="G611">
        <v>611</v>
      </c>
      <c r="H611" t="s">
        <v>19</v>
      </c>
      <c r="I611">
        <v>35339</v>
      </c>
      <c r="J611" t="s">
        <v>20</v>
      </c>
      <c r="K611" t="s">
        <v>1652</v>
      </c>
      <c r="L611" t="s">
        <v>875</v>
      </c>
      <c r="M611" t="s">
        <v>69</v>
      </c>
      <c r="N611">
        <v>17</v>
      </c>
      <c r="O611">
        <v>231.5</v>
      </c>
    </row>
    <row r="612" spans="1:15">
      <c r="A612">
        <v>611</v>
      </c>
      <c r="B612" t="s">
        <v>1653</v>
      </c>
      <c r="C612" t="s">
        <v>25</v>
      </c>
      <c r="D612" t="s">
        <v>40</v>
      </c>
      <c r="E612">
        <v>68.099999999999994</v>
      </c>
      <c r="F612" t="s">
        <v>62</v>
      </c>
      <c r="G612">
        <v>223</v>
      </c>
      <c r="H612" t="s">
        <v>27</v>
      </c>
      <c r="I612">
        <v>39215</v>
      </c>
      <c r="J612" t="s">
        <v>20</v>
      </c>
      <c r="K612" t="s">
        <v>1654</v>
      </c>
      <c r="L612" t="s">
        <v>1655</v>
      </c>
      <c r="M612" t="s">
        <v>54</v>
      </c>
      <c r="N612">
        <v>11</v>
      </c>
      <c r="O612">
        <v>231.6</v>
      </c>
    </row>
    <row r="613" spans="1:15">
      <c r="A613">
        <v>612</v>
      </c>
      <c r="B613" t="s">
        <v>1656</v>
      </c>
      <c r="C613" t="s">
        <v>158</v>
      </c>
      <c r="D613" t="s">
        <v>61</v>
      </c>
      <c r="E613">
        <v>0</v>
      </c>
      <c r="F613" t="s">
        <v>62</v>
      </c>
      <c r="G613">
        <v>588</v>
      </c>
      <c r="H613" t="s">
        <v>27</v>
      </c>
      <c r="I613">
        <v>3544</v>
      </c>
      <c r="J613" t="s">
        <v>20</v>
      </c>
      <c r="K613" t="s">
        <v>1657</v>
      </c>
      <c r="L613" t="s">
        <v>949</v>
      </c>
      <c r="M613" t="s">
        <v>54</v>
      </c>
      <c r="N613">
        <v>11</v>
      </c>
      <c r="O613">
        <v>0</v>
      </c>
    </row>
    <row r="614" spans="1:15">
      <c r="A614">
        <v>613</v>
      </c>
      <c r="B614" t="s">
        <v>1658</v>
      </c>
      <c r="C614" t="s">
        <v>25</v>
      </c>
      <c r="D614" t="s">
        <v>40</v>
      </c>
      <c r="E614">
        <v>95.5</v>
      </c>
      <c r="F614" t="s">
        <v>26</v>
      </c>
      <c r="G614">
        <v>24</v>
      </c>
      <c r="H614" t="s">
        <v>19</v>
      </c>
      <c r="I614">
        <v>70926</v>
      </c>
      <c r="J614" t="s">
        <v>20</v>
      </c>
      <c r="K614" t="s">
        <v>1659</v>
      </c>
      <c r="L614" t="s">
        <v>1660</v>
      </c>
      <c r="N614">
        <v>9</v>
      </c>
      <c r="O614">
        <v>276.10000000000002</v>
      </c>
    </row>
    <row r="615" spans="1:15">
      <c r="A615">
        <v>614</v>
      </c>
      <c r="B615" t="s">
        <v>1661</v>
      </c>
      <c r="C615" t="s">
        <v>39</v>
      </c>
      <c r="D615" t="s">
        <v>137</v>
      </c>
      <c r="E615">
        <v>23.8</v>
      </c>
      <c r="F615" t="s">
        <v>26</v>
      </c>
      <c r="G615">
        <v>138</v>
      </c>
      <c r="H615" t="s">
        <v>19</v>
      </c>
      <c r="I615">
        <v>77467</v>
      </c>
      <c r="J615" t="s">
        <v>20</v>
      </c>
      <c r="K615" t="s">
        <v>1662</v>
      </c>
      <c r="L615" t="s">
        <v>404</v>
      </c>
      <c r="M615" t="s">
        <v>117</v>
      </c>
      <c r="N615">
        <v>3</v>
      </c>
      <c r="O615">
        <v>78.8</v>
      </c>
    </row>
    <row r="616" spans="1:15">
      <c r="A616">
        <v>615</v>
      </c>
      <c r="B616" t="s">
        <v>1663</v>
      </c>
      <c r="C616" t="s">
        <v>123</v>
      </c>
      <c r="D616" t="s">
        <v>114</v>
      </c>
      <c r="E616">
        <v>61.6</v>
      </c>
      <c r="F616" t="s">
        <v>18</v>
      </c>
      <c r="G616">
        <v>569</v>
      </c>
      <c r="H616" t="s">
        <v>27</v>
      </c>
      <c r="I616">
        <v>102214</v>
      </c>
      <c r="J616" t="s">
        <v>20</v>
      </c>
      <c r="K616" t="s">
        <v>1664</v>
      </c>
      <c r="L616" t="s">
        <v>1665</v>
      </c>
      <c r="M616" t="s">
        <v>441</v>
      </c>
      <c r="N616">
        <v>8</v>
      </c>
      <c r="O616">
        <v>192.4</v>
      </c>
    </row>
    <row r="617" spans="1:15">
      <c r="A617">
        <v>616</v>
      </c>
      <c r="B617" t="s">
        <v>1666</v>
      </c>
      <c r="C617" t="s">
        <v>16</v>
      </c>
      <c r="D617" t="s">
        <v>114</v>
      </c>
      <c r="E617">
        <v>43.7</v>
      </c>
      <c r="F617" t="s">
        <v>56</v>
      </c>
      <c r="G617">
        <v>293</v>
      </c>
      <c r="H617" t="s">
        <v>19</v>
      </c>
      <c r="I617">
        <v>87624</v>
      </c>
      <c r="J617" t="s">
        <v>20</v>
      </c>
      <c r="K617" t="s">
        <v>1667</v>
      </c>
      <c r="L617" t="s">
        <v>1355</v>
      </c>
      <c r="M617" t="s">
        <v>117</v>
      </c>
      <c r="N617">
        <v>17</v>
      </c>
      <c r="O617">
        <v>98.9</v>
      </c>
    </row>
    <row r="618" spans="1:15">
      <c r="A618">
        <v>617</v>
      </c>
      <c r="B618" t="s">
        <v>699</v>
      </c>
      <c r="C618" t="s">
        <v>123</v>
      </c>
      <c r="D618" t="s">
        <v>61</v>
      </c>
      <c r="E618">
        <v>0</v>
      </c>
      <c r="F618" t="s">
        <v>56</v>
      </c>
      <c r="G618">
        <v>232</v>
      </c>
      <c r="H618" t="s">
        <v>27</v>
      </c>
      <c r="I618">
        <v>24741</v>
      </c>
      <c r="J618" t="s">
        <v>20</v>
      </c>
      <c r="K618" t="s">
        <v>1668</v>
      </c>
      <c r="L618" t="s">
        <v>1669</v>
      </c>
      <c r="M618" t="s">
        <v>441</v>
      </c>
      <c r="N618">
        <v>6</v>
      </c>
      <c r="O618">
        <v>0</v>
      </c>
    </row>
    <row r="619" spans="1:15">
      <c r="A619">
        <v>618</v>
      </c>
      <c r="B619" t="s">
        <v>1670</v>
      </c>
      <c r="C619" t="s">
        <v>123</v>
      </c>
      <c r="D619" t="s">
        <v>61</v>
      </c>
      <c r="E619">
        <v>0</v>
      </c>
      <c r="F619" t="s">
        <v>41</v>
      </c>
      <c r="G619">
        <v>313</v>
      </c>
      <c r="H619" t="s">
        <v>19</v>
      </c>
      <c r="I619">
        <v>101594</v>
      </c>
      <c r="J619" t="s">
        <v>20</v>
      </c>
      <c r="K619" t="s">
        <v>1671</v>
      </c>
      <c r="L619" t="s">
        <v>1121</v>
      </c>
      <c r="M619" t="s">
        <v>48</v>
      </c>
      <c r="N619">
        <v>16</v>
      </c>
      <c r="O619">
        <v>0</v>
      </c>
    </row>
    <row r="620" spans="1:15">
      <c r="A620">
        <v>619</v>
      </c>
      <c r="B620" t="s">
        <v>1672</v>
      </c>
      <c r="C620" t="s">
        <v>123</v>
      </c>
      <c r="D620" t="s">
        <v>114</v>
      </c>
      <c r="E620">
        <v>46.7</v>
      </c>
      <c r="F620" t="s">
        <v>62</v>
      </c>
      <c r="G620">
        <v>425</v>
      </c>
      <c r="H620" t="s">
        <v>27</v>
      </c>
      <c r="I620">
        <v>92251</v>
      </c>
      <c r="J620" t="s">
        <v>20</v>
      </c>
      <c r="K620" t="s">
        <v>1673</v>
      </c>
      <c r="L620" t="s">
        <v>1674</v>
      </c>
      <c r="M620" t="s">
        <v>121</v>
      </c>
      <c r="N620">
        <v>12</v>
      </c>
      <c r="O620">
        <v>117.1</v>
      </c>
    </row>
    <row r="621" spans="1:15">
      <c r="A621">
        <v>620</v>
      </c>
      <c r="B621" t="s">
        <v>1675</v>
      </c>
      <c r="C621" t="s">
        <v>16</v>
      </c>
      <c r="D621" t="s">
        <v>137</v>
      </c>
      <c r="E621">
        <v>30.6</v>
      </c>
      <c r="F621" t="s">
        <v>18</v>
      </c>
      <c r="G621">
        <v>548</v>
      </c>
      <c r="H621" t="s">
        <v>27</v>
      </c>
      <c r="I621">
        <v>35308</v>
      </c>
      <c r="J621" t="s">
        <v>20</v>
      </c>
      <c r="K621" t="s">
        <v>1676</v>
      </c>
      <c r="L621" t="s">
        <v>1422</v>
      </c>
      <c r="M621" t="s">
        <v>117</v>
      </c>
      <c r="N621">
        <v>16</v>
      </c>
      <c r="O621">
        <v>79.900000000000006</v>
      </c>
    </row>
    <row r="622" spans="1:15">
      <c r="A622">
        <v>621</v>
      </c>
      <c r="B622" t="s">
        <v>1677</v>
      </c>
      <c r="C622" t="s">
        <v>123</v>
      </c>
      <c r="D622" t="s">
        <v>17</v>
      </c>
      <c r="E622">
        <v>42.6</v>
      </c>
      <c r="F622" t="s">
        <v>62</v>
      </c>
      <c r="G622">
        <v>302</v>
      </c>
      <c r="H622" t="s">
        <v>27</v>
      </c>
      <c r="I622">
        <v>35190</v>
      </c>
      <c r="J622" t="s">
        <v>20</v>
      </c>
      <c r="K622" t="s">
        <v>1678</v>
      </c>
      <c r="L622" t="s">
        <v>1379</v>
      </c>
      <c r="M622" t="s">
        <v>86</v>
      </c>
      <c r="N622">
        <v>6</v>
      </c>
      <c r="O622">
        <v>102.6</v>
      </c>
    </row>
    <row r="623" spans="1:15">
      <c r="A623">
        <v>622</v>
      </c>
      <c r="B623" t="s">
        <v>537</v>
      </c>
      <c r="C623" t="s">
        <v>25</v>
      </c>
      <c r="D623" t="s">
        <v>33</v>
      </c>
      <c r="E623">
        <v>66.900000000000006</v>
      </c>
      <c r="F623" t="s">
        <v>56</v>
      </c>
      <c r="G623">
        <v>166</v>
      </c>
      <c r="H623" t="s">
        <v>27</v>
      </c>
      <c r="I623">
        <v>2089</v>
      </c>
      <c r="J623" t="s">
        <v>20</v>
      </c>
      <c r="K623" t="s">
        <v>1679</v>
      </c>
      <c r="L623" t="s">
        <v>738</v>
      </c>
      <c r="M623" t="s">
        <v>117</v>
      </c>
      <c r="N623">
        <v>4</v>
      </c>
      <c r="O623">
        <v>178.5</v>
      </c>
    </row>
    <row r="624" spans="1:15">
      <c r="A624">
        <v>623</v>
      </c>
      <c r="B624" t="s">
        <v>1680</v>
      </c>
      <c r="C624" t="s">
        <v>25</v>
      </c>
      <c r="D624" t="s">
        <v>61</v>
      </c>
      <c r="E624">
        <v>0</v>
      </c>
      <c r="F624" t="s">
        <v>18</v>
      </c>
      <c r="G624">
        <v>46</v>
      </c>
      <c r="H624" t="s">
        <v>19</v>
      </c>
      <c r="I624">
        <v>16634</v>
      </c>
      <c r="J624" t="s">
        <v>20</v>
      </c>
      <c r="K624" t="s">
        <v>35</v>
      </c>
      <c r="L624" t="s">
        <v>1055</v>
      </c>
      <c r="M624" t="s">
        <v>441</v>
      </c>
      <c r="N624">
        <v>12</v>
      </c>
      <c r="O624">
        <v>0</v>
      </c>
    </row>
    <row r="625" spans="1:15">
      <c r="A625">
        <v>624</v>
      </c>
      <c r="B625" t="s">
        <v>1681</v>
      </c>
      <c r="C625" t="s">
        <v>158</v>
      </c>
      <c r="D625" t="s">
        <v>61</v>
      </c>
      <c r="E625">
        <v>0</v>
      </c>
      <c r="F625" t="s">
        <v>41</v>
      </c>
      <c r="G625">
        <v>371</v>
      </c>
      <c r="H625" t="s">
        <v>27</v>
      </c>
      <c r="I625">
        <v>54780</v>
      </c>
      <c r="J625" t="s">
        <v>20</v>
      </c>
      <c r="K625" t="s">
        <v>1682</v>
      </c>
      <c r="L625" t="s">
        <v>1545</v>
      </c>
      <c r="M625" t="s">
        <v>48</v>
      </c>
      <c r="N625">
        <v>11</v>
      </c>
      <c r="O625">
        <v>0</v>
      </c>
    </row>
    <row r="626" spans="1:15">
      <c r="A626">
        <v>625</v>
      </c>
      <c r="B626" t="s">
        <v>619</v>
      </c>
      <c r="C626" t="s">
        <v>123</v>
      </c>
      <c r="D626" t="s">
        <v>137</v>
      </c>
      <c r="E626">
        <v>71.3</v>
      </c>
      <c r="F626" t="s">
        <v>26</v>
      </c>
      <c r="G626">
        <v>401</v>
      </c>
      <c r="H626" t="s">
        <v>19</v>
      </c>
      <c r="I626">
        <v>113184</v>
      </c>
      <c r="J626" t="s">
        <v>20</v>
      </c>
      <c r="K626" t="s">
        <v>846</v>
      </c>
      <c r="L626" t="s">
        <v>1312</v>
      </c>
      <c r="M626" t="s">
        <v>48</v>
      </c>
      <c r="N626">
        <v>13</v>
      </c>
      <c r="O626">
        <v>210.9</v>
      </c>
    </row>
    <row r="627" spans="1:15">
      <c r="A627">
        <v>626</v>
      </c>
      <c r="B627" t="s">
        <v>1683</v>
      </c>
      <c r="C627" t="s">
        <v>39</v>
      </c>
      <c r="D627" t="s">
        <v>17</v>
      </c>
      <c r="E627">
        <v>81.900000000000006</v>
      </c>
      <c r="F627" t="s">
        <v>56</v>
      </c>
      <c r="G627">
        <v>159</v>
      </c>
      <c r="H627" t="s">
        <v>27</v>
      </c>
      <c r="I627">
        <v>112251</v>
      </c>
      <c r="J627" t="s">
        <v>20</v>
      </c>
      <c r="K627" t="s">
        <v>1684</v>
      </c>
      <c r="L627" t="s">
        <v>1685</v>
      </c>
      <c r="M627" t="s">
        <v>112</v>
      </c>
      <c r="N627">
        <v>17</v>
      </c>
      <c r="O627">
        <v>194.4</v>
      </c>
    </row>
    <row r="628" spans="1:15">
      <c r="A628">
        <v>627</v>
      </c>
      <c r="B628" t="s">
        <v>1686</v>
      </c>
      <c r="C628" t="s">
        <v>16</v>
      </c>
      <c r="D628" t="s">
        <v>17</v>
      </c>
      <c r="E628">
        <v>67.099999999999994</v>
      </c>
      <c r="F628" t="s">
        <v>26</v>
      </c>
      <c r="G628">
        <v>559</v>
      </c>
      <c r="H628" t="s">
        <v>19</v>
      </c>
      <c r="I628">
        <v>88639</v>
      </c>
      <c r="J628" t="s">
        <v>20</v>
      </c>
      <c r="K628" t="s">
        <v>1687</v>
      </c>
      <c r="L628" t="s">
        <v>1688</v>
      </c>
      <c r="M628" t="s">
        <v>441</v>
      </c>
      <c r="N628">
        <v>16</v>
      </c>
      <c r="O628">
        <v>155.30000000000001</v>
      </c>
    </row>
    <row r="629" spans="1:15">
      <c r="A629">
        <v>628</v>
      </c>
      <c r="B629" t="s">
        <v>1689</v>
      </c>
      <c r="C629" t="s">
        <v>123</v>
      </c>
      <c r="D629" t="s">
        <v>40</v>
      </c>
      <c r="E629">
        <v>57</v>
      </c>
      <c r="F629" t="s">
        <v>56</v>
      </c>
      <c r="G629">
        <v>31</v>
      </c>
      <c r="H629" t="s">
        <v>27</v>
      </c>
      <c r="I629">
        <v>62853</v>
      </c>
      <c r="J629" t="s">
        <v>20</v>
      </c>
      <c r="K629" t="s">
        <v>1690</v>
      </c>
      <c r="L629" t="s">
        <v>609</v>
      </c>
      <c r="N629">
        <v>3</v>
      </c>
      <c r="O629">
        <v>171.6</v>
      </c>
    </row>
    <row r="630" spans="1:15">
      <c r="A630">
        <v>629</v>
      </c>
      <c r="B630" t="s">
        <v>1691</v>
      </c>
      <c r="C630" t="s">
        <v>158</v>
      </c>
      <c r="D630" t="s">
        <v>33</v>
      </c>
      <c r="E630">
        <v>81.900000000000006</v>
      </c>
      <c r="F630" t="s">
        <v>56</v>
      </c>
      <c r="G630">
        <v>694</v>
      </c>
      <c r="H630" t="s">
        <v>19</v>
      </c>
      <c r="I630">
        <v>90133</v>
      </c>
      <c r="J630" t="s">
        <v>20</v>
      </c>
      <c r="K630" t="s">
        <v>620</v>
      </c>
      <c r="L630" t="s">
        <v>1340</v>
      </c>
      <c r="M630" t="s">
        <v>54</v>
      </c>
      <c r="N630">
        <v>15</v>
      </c>
      <c r="O630">
        <v>274.7</v>
      </c>
    </row>
    <row r="631" spans="1:15">
      <c r="A631">
        <v>630</v>
      </c>
      <c r="B631" t="s">
        <v>1692</v>
      </c>
      <c r="C631" t="s">
        <v>32</v>
      </c>
      <c r="D631" t="s">
        <v>40</v>
      </c>
      <c r="E631">
        <v>67.900000000000006</v>
      </c>
      <c r="F631" t="s">
        <v>18</v>
      </c>
      <c r="G631">
        <v>676</v>
      </c>
      <c r="H631" t="s">
        <v>19</v>
      </c>
      <c r="I631">
        <v>78541</v>
      </c>
      <c r="J631" t="s">
        <v>20</v>
      </c>
      <c r="K631" t="s">
        <v>454</v>
      </c>
      <c r="L631" t="s">
        <v>580</v>
      </c>
      <c r="M631" t="s">
        <v>121</v>
      </c>
      <c r="N631">
        <v>11</v>
      </c>
      <c r="O631">
        <v>205.7</v>
      </c>
    </row>
    <row r="632" spans="1:15">
      <c r="A632">
        <v>631</v>
      </c>
      <c r="B632" t="s">
        <v>1693</v>
      </c>
      <c r="C632" t="s">
        <v>25</v>
      </c>
      <c r="D632" t="s">
        <v>137</v>
      </c>
      <c r="E632">
        <v>46.8</v>
      </c>
      <c r="F632" t="s">
        <v>41</v>
      </c>
      <c r="G632">
        <v>535</v>
      </c>
      <c r="H632" t="s">
        <v>19</v>
      </c>
      <c r="I632">
        <v>28514</v>
      </c>
      <c r="J632" t="s">
        <v>20</v>
      </c>
      <c r="K632" t="s">
        <v>923</v>
      </c>
      <c r="L632" t="s">
        <v>1315</v>
      </c>
      <c r="M632" t="s">
        <v>441</v>
      </c>
      <c r="N632">
        <v>10</v>
      </c>
      <c r="O632">
        <v>143.6</v>
      </c>
    </row>
    <row r="633" spans="1:15">
      <c r="A633">
        <v>632</v>
      </c>
      <c r="B633" t="s">
        <v>879</v>
      </c>
      <c r="C633" t="s">
        <v>133</v>
      </c>
      <c r="D633" t="s">
        <v>33</v>
      </c>
      <c r="E633">
        <v>23.9</v>
      </c>
      <c r="F633" t="s">
        <v>18</v>
      </c>
      <c r="G633">
        <v>311</v>
      </c>
      <c r="H633" t="s">
        <v>27</v>
      </c>
      <c r="I633">
        <v>4941</v>
      </c>
      <c r="J633" t="s">
        <v>20</v>
      </c>
      <c r="K633" t="s">
        <v>1694</v>
      </c>
      <c r="L633" t="s">
        <v>764</v>
      </c>
      <c r="M633" t="s">
        <v>54</v>
      </c>
      <c r="N633">
        <v>2</v>
      </c>
      <c r="O633">
        <v>56.1</v>
      </c>
    </row>
    <row r="634" spans="1:15">
      <c r="A634">
        <v>633</v>
      </c>
      <c r="B634" t="s">
        <v>1695</v>
      </c>
      <c r="C634" t="s">
        <v>133</v>
      </c>
      <c r="D634" t="s">
        <v>17</v>
      </c>
      <c r="E634">
        <v>71.099999999999994</v>
      </c>
      <c r="F634" t="s">
        <v>56</v>
      </c>
      <c r="G634">
        <v>165</v>
      </c>
      <c r="H634" t="s">
        <v>27</v>
      </c>
      <c r="I634">
        <v>96078</v>
      </c>
      <c r="J634" t="s">
        <v>20</v>
      </c>
      <c r="K634" t="s">
        <v>1696</v>
      </c>
      <c r="L634" t="s">
        <v>1697</v>
      </c>
      <c r="M634" t="s">
        <v>48</v>
      </c>
      <c r="N634">
        <v>2</v>
      </c>
      <c r="O634">
        <v>244.4</v>
      </c>
    </row>
    <row r="635" spans="1:15">
      <c r="A635">
        <v>634</v>
      </c>
      <c r="B635" t="s">
        <v>1698</v>
      </c>
      <c r="C635" t="s">
        <v>16</v>
      </c>
      <c r="D635" t="s">
        <v>61</v>
      </c>
      <c r="E635">
        <v>0</v>
      </c>
      <c r="F635" t="s">
        <v>18</v>
      </c>
      <c r="G635">
        <v>235</v>
      </c>
      <c r="H635" t="s">
        <v>27</v>
      </c>
      <c r="I635">
        <v>99461</v>
      </c>
      <c r="J635" t="s">
        <v>20</v>
      </c>
      <c r="K635" t="s">
        <v>1699</v>
      </c>
      <c r="L635" t="s">
        <v>1438</v>
      </c>
      <c r="M635" t="s">
        <v>86</v>
      </c>
      <c r="N635">
        <v>16</v>
      </c>
      <c r="O635">
        <v>0</v>
      </c>
    </row>
    <row r="636" spans="1:15">
      <c r="A636">
        <v>635</v>
      </c>
      <c r="B636" t="s">
        <v>1700</v>
      </c>
      <c r="C636" t="s">
        <v>39</v>
      </c>
      <c r="D636" t="s">
        <v>137</v>
      </c>
      <c r="E636">
        <v>79.400000000000006</v>
      </c>
      <c r="F636" t="s">
        <v>41</v>
      </c>
      <c r="G636">
        <v>377</v>
      </c>
      <c r="H636" t="s">
        <v>27</v>
      </c>
      <c r="I636">
        <v>16102</v>
      </c>
      <c r="J636" t="s">
        <v>20</v>
      </c>
      <c r="K636" t="s">
        <v>1701</v>
      </c>
      <c r="L636" t="s">
        <v>1702</v>
      </c>
      <c r="N636">
        <v>13</v>
      </c>
      <c r="O636">
        <v>262.5</v>
      </c>
    </row>
    <row r="637" spans="1:15">
      <c r="A637">
        <v>636</v>
      </c>
      <c r="B637" t="s">
        <v>1703</v>
      </c>
      <c r="C637" t="s">
        <v>158</v>
      </c>
      <c r="D637" t="s">
        <v>33</v>
      </c>
      <c r="E637">
        <v>53.2</v>
      </c>
      <c r="F637" t="s">
        <v>56</v>
      </c>
      <c r="G637">
        <v>671</v>
      </c>
      <c r="H637" t="s">
        <v>19</v>
      </c>
      <c r="I637">
        <v>50519</v>
      </c>
      <c r="J637" t="s">
        <v>20</v>
      </c>
      <c r="K637" t="s">
        <v>1704</v>
      </c>
      <c r="L637" t="s">
        <v>1218</v>
      </c>
      <c r="M637" t="s">
        <v>59</v>
      </c>
      <c r="N637">
        <v>5</v>
      </c>
      <c r="O637">
        <v>133.9</v>
      </c>
    </row>
    <row r="638" spans="1:15">
      <c r="A638">
        <v>637</v>
      </c>
      <c r="B638" t="s">
        <v>1705</v>
      </c>
      <c r="C638" t="s">
        <v>16</v>
      </c>
      <c r="D638" t="s">
        <v>40</v>
      </c>
      <c r="E638">
        <v>33.6</v>
      </c>
      <c r="F638" t="s">
        <v>62</v>
      </c>
      <c r="G638">
        <v>116</v>
      </c>
      <c r="H638" t="s">
        <v>27</v>
      </c>
      <c r="I638">
        <v>58393</v>
      </c>
      <c r="J638" t="s">
        <v>20</v>
      </c>
      <c r="K638" t="s">
        <v>1706</v>
      </c>
      <c r="L638" t="s">
        <v>1159</v>
      </c>
      <c r="M638" t="s">
        <v>69</v>
      </c>
      <c r="N638">
        <v>1</v>
      </c>
      <c r="O638">
        <v>97.5</v>
      </c>
    </row>
    <row r="639" spans="1:15">
      <c r="A639">
        <v>638</v>
      </c>
      <c r="B639" t="s">
        <v>1707</v>
      </c>
      <c r="C639" t="s">
        <v>158</v>
      </c>
      <c r="D639" t="s">
        <v>33</v>
      </c>
      <c r="E639">
        <v>16.5</v>
      </c>
      <c r="F639" t="s">
        <v>56</v>
      </c>
      <c r="G639">
        <v>368</v>
      </c>
      <c r="H639" t="s">
        <v>27</v>
      </c>
      <c r="I639">
        <v>35357</v>
      </c>
      <c r="J639" t="s">
        <v>20</v>
      </c>
      <c r="K639" t="s">
        <v>1708</v>
      </c>
      <c r="L639" t="s">
        <v>924</v>
      </c>
      <c r="M639" t="s">
        <v>86</v>
      </c>
      <c r="N639">
        <v>19</v>
      </c>
      <c r="O639">
        <v>45.1</v>
      </c>
    </row>
    <row r="640" spans="1:15">
      <c r="A640">
        <v>639</v>
      </c>
      <c r="B640" t="s">
        <v>1709</v>
      </c>
      <c r="C640" t="s">
        <v>25</v>
      </c>
      <c r="D640" t="s">
        <v>61</v>
      </c>
      <c r="E640">
        <v>0</v>
      </c>
      <c r="F640" t="s">
        <v>62</v>
      </c>
      <c r="G640">
        <v>160</v>
      </c>
      <c r="H640" t="s">
        <v>19</v>
      </c>
      <c r="I640">
        <v>85488</v>
      </c>
      <c r="J640" t="s">
        <v>20</v>
      </c>
      <c r="K640" t="s">
        <v>1710</v>
      </c>
      <c r="L640" t="s">
        <v>657</v>
      </c>
      <c r="M640" t="s">
        <v>48</v>
      </c>
      <c r="N640">
        <v>6</v>
      </c>
      <c r="O640">
        <v>0</v>
      </c>
    </row>
    <row r="641" spans="1:15">
      <c r="A641">
        <v>640</v>
      </c>
      <c r="B641" t="s">
        <v>1711</v>
      </c>
      <c r="C641" t="s">
        <v>50</v>
      </c>
      <c r="D641" t="s">
        <v>61</v>
      </c>
      <c r="E641">
        <v>0</v>
      </c>
      <c r="F641" t="s">
        <v>56</v>
      </c>
      <c r="G641">
        <v>397</v>
      </c>
      <c r="H641" t="s">
        <v>27</v>
      </c>
      <c r="I641">
        <v>33391</v>
      </c>
      <c r="J641" t="s">
        <v>20</v>
      </c>
      <c r="K641" t="s">
        <v>1712</v>
      </c>
      <c r="L641" t="s">
        <v>959</v>
      </c>
      <c r="M641" t="s">
        <v>112</v>
      </c>
      <c r="N641">
        <v>20</v>
      </c>
      <c r="O641">
        <v>0</v>
      </c>
    </row>
    <row r="642" spans="1:15">
      <c r="A642">
        <v>641</v>
      </c>
      <c r="B642" t="s">
        <v>1713</v>
      </c>
      <c r="C642" t="s">
        <v>39</v>
      </c>
      <c r="D642" t="s">
        <v>40</v>
      </c>
      <c r="E642">
        <v>16.7</v>
      </c>
      <c r="F642" t="s">
        <v>41</v>
      </c>
      <c r="G642">
        <v>174</v>
      </c>
      <c r="H642" t="s">
        <v>19</v>
      </c>
      <c r="I642">
        <v>48232</v>
      </c>
      <c r="J642" t="s">
        <v>20</v>
      </c>
      <c r="K642" t="s">
        <v>1714</v>
      </c>
      <c r="L642" t="s">
        <v>1047</v>
      </c>
      <c r="M642" t="s">
        <v>112</v>
      </c>
      <c r="N642">
        <v>4</v>
      </c>
      <c r="O642">
        <v>34.5</v>
      </c>
    </row>
    <row r="643" spans="1:15">
      <c r="A643">
        <v>642</v>
      </c>
      <c r="B643" t="s">
        <v>1715</v>
      </c>
      <c r="C643" t="s">
        <v>133</v>
      </c>
      <c r="D643" t="s">
        <v>33</v>
      </c>
      <c r="E643">
        <v>97.9</v>
      </c>
      <c r="F643" t="s">
        <v>26</v>
      </c>
      <c r="G643">
        <v>221</v>
      </c>
      <c r="H643" t="s">
        <v>27</v>
      </c>
      <c r="I643">
        <v>12941</v>
      </c>
      <c r="J643" t="s">
        <v>20</v>
      </c>
      <c r="K643" t="s">
        <v>1716</v>
      </c>
      <c r="L643" t="s">
        <v>1717</v>
      </c>
      <c r="M643" t="s">
        <v>112</v>
      </c>
      <c r="N643">
        <v>12</v>
      </c>
      <c r="O643">
        <v>335.4</v>
      </c>
    </row>
    <row r="644" spans="1:15">
      <c r="A644">
        <v>643</v>
      </c>
      <c r="B644" t="s">
        <v>1718</v>
      </c>
      <c r="C644" t="s">
        <v>25</v>
      </c>
      <c r="D644" t="s">
        <v>61</v>
      </c>
      <c r="E644">
        <v>0</v>
      </c>
      <c r="F644" t="s">
        <v>62</v>
      </c>
      <c r="G644">
        <v>48</v>
      </c>
      <c r="H644" t="s">
        <v>19</v>
      </c>
      <c r="I644">
        <v>90644</v>
      </c>
      <c r="J644" t="s">
        <v>20</v>
      </c>
      <c r="K644" t="s">
        <v>1719</v>
      </c>
      <c r="L644" t="s">
        <v>1720</v>
      </c>
      <c r="M644" t="s">
        <v>59</v>
      </c>
      <c r="N644">
        <v>6</v>
      </c>
      <c r="O644">
        <v>0</v>
      </c>
    </row>
    <row r="645" spans="1:15">
      <c r="A645">
        <v>644</v>
      </c>
      <c r="B645" t="s">
        <v>1721</v>
      </c>
      <c r="C645" t="s">
        <v>39</v>
      </c>
      <c r="D645" t="s">
        <v>33</v>
      </c>
      <c r="E645">
        <v>10.5</v>
      </c>
      <c r="F645" t="s">
        <v>62</v>
      </c>
      <c r="G645">
        <v>277</v>
      </c>
      <c r="H645" t="s">
        <v>27</v>
      </c>
      <c r="I645">
        <v>9231</v>
      </c>
      <c r="J645" t="s">
        <v>20</v>
      </c>
      <c r="K645" t="s">
        <v>1722</v>
      </c>
      <c r="L645" t="s">
        <v>1143</v>
      </c>
      <c r="M645" t="s">
        <v>48</v>
      </c>
      <c r="N645">
        <v>4</v>
      </c>
      <c r="O645">
        <v>25.7</v>
      </c>
    </row>
    <row r="646" spans="1:15">
      <c r="A646">
        <v>645</v>
      </c>
      <c r="B646" t="s">
        <v>1212</v>
      </c>
      <c r="C646" t="s">
        <v>50</v>
      </c>
      <c r="D646" t="s">
        <v>61</v>
      </c>
      <c r="E646">
        <v>0</v>
      </c>
      <c r="F646" t="s">
        <v>26</v>
      </c>
      <c r="G646">
        <v>651</v>
      </c>
      <c r="H646" t="s">
        <v>27</v>
      </c>
      <c r="I646">
        <v>77490</v>
      </c>
      <c r="J646" t="s">
        <v>20</v>
      </c>
      <c r="K646" t="s">
        <v>1723</v>
      </c>
      <c r="L646" t="s">
        <v>533</v>
      </c>
      <c r="M646" t="s">
        <v>69</v>
      </c>
      <c r="N646">
        <v>14</v>
      </c>
      <c r="O646">
        <v>0</v>
      </c>
    </row>
    <row r="647" spans="1:15">
      <c r="A647">
        <v>646</v>
      </c>
      <c r="B647" t="s">
        <v>1724</v>
      </c>
      <c r="C647" t="s">
        <v>32</v>
      </c>
      <c r="D647" t="s">
        <v>40</v>
      </c>
      <c r="E647">
        <v>6.2</v>
      </c>
      <c r="F647" t="s">
        <v>62</v>
      </c>
      <c r="G647">
        <v>196</v>
      </c>
      <c r="H647" t="s">
        <v>19</v>
      </c>
      <c r="I647">
        <v>99303</v>
      </c>
      <c r="J647" t="s">
        <v>20</v>
      </c>
      <c r="K647" t="s">
        <v>1725</v>
      </c>
      <c r="L647" t="s">
        <v>1726</v>
      </c>
      <c r="M647" t="s">
        <v>69</v>
      </c>
      <c r="N647">
        <v>14</v>
      </c>
      <c r="O647">
        <v>19.8</v>
      </c>
    </row>
    <row r="648" spans="1:15">
      <c r="A648">
        <v>647</v>
      </c>
      <c r="B648" t="s">
        <v>1727</v>
      </c>
      <c r="C648" t="s">
        <v>133</v>
      </c>
      <c r="D648" t="s">
        <v>114</v>
      </c>
      <c r="E648">
        <v>82</v>
      </c>
      <c r="F648" t="s">
        <v>41</v>
      </c>
      <c r="G648">
        <v>105</v>
      </c>
      <c r="H648" t="s">
        <v>19</v>
      </c>
      <c r="I648">
        <v>62550</v>
      </c>
      <c r="J648" t="s">
        <v>20</v>
      </c>
      <c r="K648" t="s">
        <v>1728</v>
      </c>
      <c r="L648" t="s">
        <v>1729</v>
      </c>
      <c r="M648" t="s">
        <v>117</v>
      </c>
      <c r="N648">
        <v>9</v>
      </c>
      <c r="O648">
        <v>268.89999999999998</v>
      </c>
    </row>
    <row r="649" spans="1:15">
      <c r="A649">
        <v>648</v>
      </c>
      <c r="B649" t="s">
        <v>1730</v>
      </c>
      <c r="C649" t="s">
        <v>123</v>
      </c>
      <c r="D649" t="s">
        <v>61</v>
      </c>
      <c r="E649">
        <v>0</v>
      </c>
      <c r="F649" t="s">
        <v>56</v>
      </c>
      <c r="G649">
        <v>140</v>
      </c>
      <c r="H649" t="s">
        <v>27</v>
      </c>
      <c r="I649">
        <v>30275</v>
      </c>
      <c r="J649" t="s">
        <v>20</v>
      </c>
      <c r="K649" t="s">
        <v>1731</v>
      </c>
      <c r="L649" t="s">
        <v>805</v>
      </c>
      <c r="M649" t="s">
        <v>441</v>
      </c>
      <c r="N649">
        <v>5</v>
      </c>
      <c r="O649">
        <v>0</v>
      </c>
    </row>
    <row r="650" spans="1:15">
      <c r="A650">
        <v>649</v>
      </c>
      <c r="B650" t="s">
        <v>1732</v>
      </c>
      <c r="C650" t="s">
        <v>32</v>
      </c>
      <c r="D650" t="s">
        <v>61</v>
      </c>
      <c r="E650">
        <v>0</v>
      </c>
      <c r="F650" t="s">
        <v>18</v>
      </c>
      <c r="G650">
        <v>31</v>
      </c>
      <c r="H650" t="s">
        <v>19</v>
      </c>
      <c r="I650">
        <v>112781</v>
      </c>
      <c r="J650" t="s">
        <v>20</v>
      </c>
      <c r="K650" t="s">
        <v>1733</v>
      </c>
      <c r="L650" t="s">
        <v>1734</v>
      </c>
      <c r="M650" t="s">
        <v>441</v>
      </c>
      <c r="N650">
        <v>8</v>
      </c>
      <c r="O650">
        <v>0</v>
      </c>
    </row>
    <row r="651" spans="1:15">
      <c r="A651">
        <v>650</v>
      </c>
      <c r="B651" t="s">
        <v>1735</v>
      </c>
      <c r="C651" t="s">
        <v>32</v>
      </c>
      <c r="D651" t="s">
        <v>137</v>
      </c>
      <c r="E651">
        <v>53.4</v>
      </c>
      <c r="F651" t="s">
        <v>56</v>
      </c>
      <c r="G651">
        <v>693</v>
      </c>
      <c r="H651" t="s">
        <v>27</v>
      </c>
      <c r="I651">
        <v>12834</v>
      </c>
      <c r="J651" t="s">
        <v>20</v>
      </c>
      <c r="K651" t="s">
        <v>1736</v>
      </c>
      <c r="L651" t="s">
        <v>1497</v>
      </c>
      <c r="M651" t="s">
        <v>112</v>
      </c>
      <c r="N651">
        <v>3</v>
      </c>
      <c r="O651">
        <v>186</v>
      </c>
    </row>
    <row r="652" spans="1:15">
      <c r="A652">
        <v>651</v>
      </c>
      <c r="B652" t="s">
        <v>1737</v>
      </c>
      <c r="C652" t="s">
        <v>32</v>
      </c>
      <c r="D652" t="s">
        <v>33</v>
      </c>
      <c r="E652">
        <v>34.6</v>
      </c>
      <c r="F652" t="s">
        <v>62</v>
      </c>
      <c r="G652">
        <v>266</v>
      </c>
      <c r="H652" t="s">
        <v>19</v>
      </c>
      <c r="I652">
        <v>78100</v>
      </c>
      <c r="J652" t="s">
        <v>20</v>
      </c>
      <c r="K652" t="s">
        <v>1738</v>
      </c>
      <c r="L652" t="s">
        <v>1739</v>
      </c>
      <c r="M652" t="s">
        <v>441</v>
      </c>
      <c r="N652">
        <v>12</v>
      </c>
      <c r="O652">
        <v>73.7</v>
      </c>
    </row>
    <row r="653" spans="1:15">
      <c r="A653">
        <v>652</v>
      </c>
      <c r="B653" t="s">
        <v>1740</v>
      </c>
      <c r="C653" t="s">
        <v>25</v>
      </c>
      <c r="D653" t="s">
        <v>33</v>
      </c>
      <c r="E653">
        <v>82.8</v>
      </c>
      <c r="F653" t="s">
        <v>41</v>
      </c>
      <c r="G653">
        <v>285</v>
      </c>
      <c r="H653" t="s">
        <v>19</v>
      </c>
      <c r="I653">
        <v>87030</v>
      </c>
      <c r="J653" t="s">
        <v>20</v>
      </c>
      <c r="K653" t="s">
        <v>912</v>
      </c>
      <c r="L653" t="s">
        <v>496</v>
      </c>
      <c r="M653" t="s">
        <v>86</v>
      </c>
      <c r="N653">
        <v>3</v>
      </c>
      <c r="O653">
        <v>207.7</v>
      </c>
    </row>
    <row r="654" spans="1:15">
      <c r="A654">
        <v>653</v>
      </c>
      <c r="B654" t="s">
        <v>1741</v>
      </c>
      <c r="C654" t="s">
        <v>133</v>
      </c>
      <c r="D654" t="s">
        <v>114</v>
      </c>
      <c r="E654">
        <v>95.1</v>
      </c>
      <c r="F654" t="s">
        <v>62</v>
      </c>
      <c r="G654">
        <v>628</v>
      </c>
      <c r="H654" t="s">
        <v>19</v>
      </c>
      <c r="I654">
        <v>26921</v>
      </c>
      <c r="J654" t="s">
        <v>20</v>
      </c>
      <c r="K654" t="s">
        <v>1742</v>
      </c>
      <c r="L654" t="s">
        <v>1010</v>
      </c>
      <c r="M654" t="s">
        <v>441</v>
      </c>
      <c r="N654">
        <v>4</v>
      </c>
      <c r="O654">
        <v>252</v>
      </c>
    </row>
    <row r="655" spans="1:15">
      <c r="A655">
        <v>654</v>
      </c>
      <c r="B655" t="s">
        <v>1551</v>
      </c>
      <c r="C655" t="s">
        <v>25</v>
      </c>
      <c r="D655" t="s">
        <v>40</v>
      </c>
      <c r="E655">
        <v>24.5</v>
      </c>
      <c r="F655" t="s">
        <v>26</v>
      </c>
      <c r="G655">
        <v>671</v>
      </c>
      <c r="H655" t="s">
        <v>27</v>
      </c>
      <c r="I655">
        <v>106894</v>
      </c>
      <c r="J655" t="s">
        <v>20</v>
      </c>
      <c r="K655" t="s">
        <v>1743</v>
      </c>
      <c r="L655" t="s">
        <v>1618</v>
      </c>
      <c r="M655" t="s">
        <v>48</v>
      </c>
      <c r="N655">
        <v>4</v>
      </c>
      <c r="O655">
        <v>83.8</v>
      </c>
    </row>
    <row r="656" spans="1:15">
      <c r="A656">
        <v>655</v>
      </c>
      <c r="B656" t="s">
        <v>1744</v>
      </c>
      <c r="C656" t="s">
        <v>16</v>
      </c>
      <c r="D656" t="s">
        <v>114</v>
      </c>
      <c r="E656">
        <v>11.4</v>
      </c>
      <c r="F656" t="s">
        <v>26</v>
      </c>
      <c r="G656">
        <v>183</v>
      </c>
      <c r="H656" t="s">
        <v>19</v>
      </c>
      <c r="I656">
        <v>80330</v>
      </c>
      <c r="J656" t="s">
        <v>20</v>
      </c>
      <c r="K656" t="s">
        <v>1745</v>
      </c>
      <c r="L656" t="s">
        <v>1320</v>
      </c>
      <c r="M656" t="s">
        <v>69</v>
      </c>
      <c r="N656">
        <v>7</v>
      </c>
      <c r="O656">
        <v>29.9</v>
      </c>
    </row>
    <row r="657" spans="1:15">
      <c r="A657">
        <v>656</v>
      </c>
      <c r="B657" t="s">
        <v>1746</v>
      </c>
      <c r="C657" t="s">
        <v>158</v>
      </c>
      <c r="D657" t="s">
        <v>61</v>
      </c>
      <c r="E657">
        <v>0</v>
      </c>
      <c r="F657" t="s">
        <v>26</v>
      </c>
      <c r="G657">
        <v>677</v>
      </c>
      <c r="H657" t="s">
        <v>27</v>
      </c>
      <c r="I657">
        <v>47098</v>
      </c>
      <c r="J657" t="s">
        <v>20</v>
      </c>
      <c r="K657" t="s">
        <v>1747</v>
      </c>
      <c r="L657" t="s">
        <v>890</v>
      </c>
      <c r="M657" t="s">
        <v>441</v>
      </c>
      <c r="N657">
        <v>16</v>
      </c>
      <c r="O657">
        <v>0</v>
      </c>
    </row>
    <row r="658" spans="1:15">
      <c r="A658">
        <v>657</v>
      </c>
      <c r="B658" t="s">
        <v>1261</v>
      </c>
      <c r="C658" t="s">
        <v>32</v>
      </c>
      <c r="D658" t="s">
        <v>17</v>
      </c>
      <c r="E658">
        <v>87.8</v>
      </c>
      <c r="F658" t="s">
        <v>26</v>
      </c>
      <c r="G658">
        <v>499</v>
      </c>
      <c r="H658" t="s">
        <v>19</v>
      </c>
      <c r="I658">
        <v>106580</v>
      </c>
      <c r="J658" t="s">
        <v>20</v>
      </c>
      <c r="K658" t="s">
        <v>1748</v>
      </c>
      <c r="L658" t="s">
        <v>918</v>
      </c>
      <c r="M658" t="s">
        <v>441</v>
      </c>
      <c r="N658">
        <v>9</v>
      </c>
      <c r="O658">
        <v>230.8</v>
      </c>
    </row>
    <row r="659" spans="1:15">
      <c r="A659">
        <v>658</v>
      </c>
      <c r="B659" t="s">
        <v>1749</v>
      </c>
      <c r="C659" t="s">
        <v>123</v>
      </c>
      <c r="D659" t="s">
        <v>114</v>
      </c>
      <c r="E659">
        <v>9.1</v>
      </c>
      <c r="F659" t="s">
        <v>26</v>
      </c>
      <c r="G659">
        <v>116</v>
      </c>
      <c r="H659" t="s">
        <v>19</v>
      </c>
      <c r="I659">
        <v>100986</v>
      </c>
      <c r="J659" t="s">
        <v>20</v>
      </c>
      <c r="K659" t="s">
        <v>1750</v>
      </c>
      <c r="L659" t="s">
        <v>904</v>
      </c>
      <c r="N659">
        <v>4</v>
      </c>
      <c r="O659">
        <v>30</v>
      </c>
    </row>
    <row r="660" spans="1:15">
      <c r="A660">
        <v>659</v>
      </c>
      <c r="B660" t="s">
        <v>1751</v>
      </c>
      <c r="C660" t="s">
        <v>133</v>
      </c>
      <c r="D660" t="s">
        <v>17</v>
      </c>
      <c r="E660">
        <v>82.3</v>
      </c>
      <c r="F660" t="s">
        <v>18</v>
      </c>
      <c r="G660">
        <v>451</v>
      </c>
      <c r="H660" t="s">
        <v>19</v>
      </c>
      <c r="I660">
        <v>32057</v>
      </c>
      <c r="J660" t="s">
        <v>20</v>
      </c>
      <c r="K660" t="s">
        <v>1673</v>
      </c>
      <c r="L660" t="s">
        <v>1734</v>
      </c>
      <c r="N660">
        <v>5</v>
      </c>
      <c r="O660">
        <v>280.8</v>
      </c>
    </row>
    <row r="661" spans="1:15">
      <c r="A661">
        <v>660</v>
      </c>
      <c r="B661" t="s">
        <v>1752</v>
      </c>
      <c r="C661" t="s">
        <v>133</v>
      </c>
      <c r="D661" t="s">
        <v>137</v>
      </c>
      <c r="E661">
        <v>9.1</v>
      </c>
      <c r="F661" t="s">
        <v>62</v>
      </c>
      <c r="G661">
        <v>33</v>
      </c>
      <c r="H661" t="s">
        <v>19</v>
      </c>
      <c r="I661">
        <v>106221</v>
      </c>
      <c r="J661" t="s">
        <v>20</v>
      </c>
      <c r="K661" t="s">
        <v>1436</v>
      </c>
      <c r="L661" t="s">
        <v>1404</v>
      </c>
      <c r="M661" t="s">
        <v>54</v>
      </c>
      <c r="N661">
        <v>2</v>
      </c>
      <c r="O661">
        <v>25</v>
      </c>
    </row>
    <row r="662" spans="1:15">
      <c r="A662">
        <v>661</v>
      </c>
      <c r="B662" t="s">
        <v>1753</v>
      </c>
      <c r="C662" t="s">
        <v>25</v>
      </c>
      <c r="D662" t="s">
        <v>137</v>
      </c>
      <c r="E662">
        <v>42.2</v>
      </c>
      <c r="F662" t="s">
        <v>41</v>
      </c>
      <c r="G662">
        <v>607</v>
      </c>
      <c r="H662" t="s">
        <v>27</v>
      </c>
      <c r="I662">
        <v>63035</v>
      </c>
      <c r="J662" t="s">
        <v>20</v>
      </c>
      <c r="K662" t="s">
        <v>1633</v>
      </c>
      <c r="L662" t="s">
        <v>1420</v>
      </c>
      <c r="M662" t="s">
        <v>48</v>
      </c>
      <c r="N662">
        <v>8</v>
      </c>
      <c r="O662">
        <v>93.3</v>
      </c>
    </row>
    <row r="663" spans="1:15">
      <c r="A663">
        <v>662</v>
      </c>
      <c r="B663" t="s">
        <v>546</v>
      </c>
      <c r="C663" t="s">
        <v>39</v>
      </c>
      <c r="D663" t="s">
        <v>40</v>
      </c>
      <c r="E663">
        <v>94.5</v>
      </c>
      <c r="F663" t="s">
        <v>26</v>
      </c>
      <c r="G663">
        <v>27</v>
      </c>
      <c r="H663" t="s">
        <v>27</v>
      </c>
      <c r="I663">
        <v>101448</v>
      </c>
      <c r="J663" t="s">
        <v>20</v>
      </c>
      <c r="K663" t="s">
        <v>1754</v>
      </c>
      <c r="L663" t="s">
        <v>1755</v>
      </c>
      <c r="N663">
        <v>16</v>
      </c>
      <c r="O663">
        <v>254.9</v>
      </c>
    </row>
    <row r="664" spans="1:15">
      <c r="A664">
        <v>663</v>
      </c>
      <c r="B664" t="s">
        <v>1756</v>
      </c>
      <c r="C664" t="s">
        <v>16</v>
      </c>
      <c r="D664" t="s">
        <v>61</v>
      </c>
      <c r="E664">
        <v>0</v>
      </c>
      <c r="F664" t="s">
        <v>41</v>
      </c>
      <c r="G664">
        <v>23</v>
      </c>
      <c r="H664" t="s">
        <v>19</v>
      </c>
      <c r="I664">
        <v>50540</v>
      </c>
      <c r="J664" t="s">
        <v>20</v>
      </c>
      <c r="K664" t="s">
        <v>1757</v>
      </c>
      <c r="L664" t="s">
        <v>880</v>
      </c>
      <c r="N664">
        <v>19</v>
      </c>
      <c r="O664">
        <v>0</v>
      </c>
    </row>
    <row r="665" spans="1:15">
      <c r="A665">
        <v>664</v>
      </c>
      <c r="B665" t="s">
        <v>1758</v>
      </c>
      <c r="C665" t="s">
        <v>158</v>
      </c>
      <c r="D665" t="s">
        <v>61</v>
      </c>
      <c r="E665">
        <v>0</v>
      </c>
      <c r="F665" t="s">
        <v>56</v>
      </c>
      <c r="G665">
        <v>584</v>
      </c>
      <c r="H665" t="s">
        <v>19</v>
      </c>
      <c r="I665">
        <v>54954</v>
      </c>
      <c r="J665" t="s">
        <v>20</v>
      </c>
      <c r="K665" t="s">
        <v>1759</v>
      </c>
      <c r="L665" t="s">
        <v>1760</v>
      </c>
      <c r="M665" t="s">
        <v>117</v>
      </c>
      <c r="N665">
        <v>15</v>
      </c>
      <c r="O665">
        <v>0</v>
      </c>
    </row>
    <row r="666" spans="1:15">
      <c r="A666">
        <v>665</v>
      </c>
      <c r="B666" t="s">
        <v>1761</v>
      </c>
      <c r="C666" t="s">
        <v>39</v>
      </c>
      <c r="D666" t="s">
        <v>114</v>
      </c>
      <c r="E666">
        <v>9.1</v>
      </c>
      <c r="F666" t="s">
        <v>56</v>
      </c>
      <c r="G666">
        <v>588</v>
      </c>
      <c r="H666" t="s">
        <v>19</v>
      </c>
      <c r="I666">
        <v>60851</v>
      </c>
      <c r="J666" t="s">
        <v>20</v>
      </c>
      <c r="K666" t="s">
        <v>1762</v>
      </c>
      <c r="L666" t="s">
        <v>1763</v>
      </c>
      <c r="M666" t="s">
        <v>59</v>
      </c>
      <c r="N666">
        <v>20</v>
      </c>
      <c r="O666">
        <v>20</v>
      </c>
    </row>
    <row r="667" spans="1:15">
      <c r="A667">
        <v>666</v>
      </c>
      <c r="B667" t="s">
        <v>1764</v>
      </c>
      <c r="C667" t="s">
        <v>158</v>
      </c>
      <c r="D667" t="s">
        <v>33</v>
      </c>
      <c r="E667">
        <v>65.5</v>
      </c>
      <c r="F667" t="s">
        <v>41</v>
      </c>
      <c r="G667">
        <v>63</v>
      </c>
      <c r="H667" t="s">
        <v>19</v>
      </c>
      <c r="I667">
        <v>18068</v>
      </c>
      <c r="J667" t="s">
        <v>20</v>
      </c>
      <c r="K667" t="s">
        <v>982</v>
      </c>
      <c r="L667" t="s">
        <v>678</v>
      </c>
      <c r="M667" t="s">
        <v>86</v>
      </c>
      <c r="N667">
        <v>14</v>
      </c>
      <c r="O667">
        <v>226.4</v>
      </c>
    </row>
    <row r="668" spans="1:15">
      <c r="A668">
        <v>667</v>
      </c>
      <c r="B668" t="s">
        <v>1765</v>
      </c>
      <c r="C668" t="s">
        <v>123</v>
      </c>
      <c r="D668" t="s">
        <v>61</v>
      </c>
      <c r="E668">
        <v>0</v>
      </c>
      <c r="F668" t="s">
        <v>18</v>
      </c>
      <c r="G668">
        <v>364</v>
      </c>
      <c r="H668" t="s">
        <v>27</v>
      </c>
      <c r="I668">
        <v>8926</v>
      </c>
      <c r="J668" t="s">
        <v>20</v>
      </c>
      <c r="K668" t="s">
        <v>1766</v>
      </c>
      <c r="L668" t="s">
        <v>1767</v>
      </c>
      <c r="M668" t="s">
        <v>86</v>
      </c>
      <c r="N668">
        <v>16</v>
      </c>
      <c r="O668">
        <v>0</v>
      </c>
    </row>
    <row r="669" spans="1:15">
      <c r="A669">
        <v>668</v>
      </c>
      <c r="B669" t="s">
        <v>1768</v>
      </c>
      <c r="C669" t="s">
        <v>32</v>
      </c>
      <c r="D669" t="s">
        <v>137</v>
      </c>
      <c r="E669">
        <v>6.4</v>
      </c>
      <c r="F669" t="s">
        <v>56</v>
      </c>
      <c r="G669">
        <v>500</v>
      </c>
      <c r="H669" t="s">
        <v>19</v>
      </c>
      <c r="I669">
        <v>35610</v>
      </c>
      <c r="J669" t="s">
        <v>20</v>
      </c>
      <c r="K669" t="s">
        <v>1769</v>
      </c>
      <c r="L669" t="s">
        <v>1770</v>
      </c>
      <c r="M669" t="s">
        <v>59</v>
      </c>
      <c r="N669">
        <v>3</v>
      </c>
      <c r="O669">
        <v>20.100000000000001</v>
      </c>
    </row>
    <row r="670" spans="1:15">
      <c r="A670">
        <v>669</v>
      </c>
      <c r="B670" t="s">
        <v>411</v>
      </c>
      <c r="C670" t="s">
        <v>50</v>
      </c>
      <c r="D670" t="s">
        <v>17</v>
      </c>
      <c r="E670">
        <v>55.1</v>
      </c>
      <c r="F670" t="s">
        <v>18</v>
      </c>
      <c r="G670">
        <v>244</v>
      </c>
      <c r="H670" t="s">
        <v>19</v>
      </c>
      <c r="I670">
        <v>57942</v>
      </c>
      <c r="J670" t="s">
        <v>20</v>
      </c>
      <c r="K670" t="s">
        <v>1771</v>
      </c>
      <c r="L670" t="s">
        <v>410</v>
      </c>
      <c r="M670" t="s">
        <v>121</v>
      </c>
      <c r="N670">
        <v>4</v>
      </c>
      <c r="O670">
        <v>138</v>
      </c>
    </row>
    <row r="671" spans="1:15">
      <c r="A671">
        <v>670</v>
      </c>
      <c r="B671" t="s">
        <v>1772</v>
      </c>
      <c r="C671" t="s">
        <v>158</v>
      </c>
      <c r="D671" t="s">
        <v>40</v>
      </c>
      <c r="E671">
        <v>56.1</v>
      </c>
      <c r="F671" t="s">
        <v>26</v>
      </c>
      <c r="G671">
        <v>662</v>
      </c>
      <c r="H671" t="s">
        <v>19</v>
      </c>
      <c r="I671">
        <v>14465</v>
      </c>
      <c r="J671" t="s">
        <v>20</v>
      </c>
      <c r="K671" t="s">
        <v>1773</v>
      </c>
      <c r="L671" t="s">
        <v>1774</v>
      </c>
      <c r="M671" t="s">
        <v>69</v>
      </c>
      <c r="N671">
        <v>19</v>
      </c>
      <c r="O671">
        <v>153</v>
      </c>
    </row>
    <row r="672" spans="1:15">
      <c r="A672">
        <v>671</v>
      </c>
      <c r="B672" t="s">
        <v>1775</v>
      </c>
      <c r="C672" t="s">
        <v>158</v>
      </c>
      <c r="D672" t="s">
        <v>61</v>
      </c>
      <c r="E672">
        <v>0</v>
      </c>
      <c r="F672" t="s">
        <v>26</v>
      </c>
      <c r="G672">
        <v>27</v>
      </c>
      <c r="H672" t="s">
        <v>19</v>
      </c>
      <c r="I672">
        <v>37269</v>
      </c>
      <c r="J672" t="s">
        <v>20</v>
      </c>
      <c r="K672" t="s">
        <v>1776</v>
      </c>
      <c r="L672" t="s">
        <v>1777</v>
      </c>
      <c r="M672" t="s">
        <v>441</v>
      </c>
      <c r="N672">
        <v>7</v>
      </c>
      <c r="O672">
        <v>0</v>
      </c>
    </row>
    <row r="673" spans="1:15">
      <c r="A673">
        <v>672</v>
      </c>
      <c r="B673" t="s">
        <v>1778</v>
      </c>
      <c r="C673" t="s">
        <v>39</v>
      </c>
      <c r="D673" t="s">
        <v>40</v>
      </c>
      <c r="E673">
        <v>85.3</v>
      </c>
      <c r="F673" t="s">
        <v>62</v>
      </c>
      <c r="G673">
        <v>621</v>
      </c>
      <c r="H673" t="s">
        <v>19</v>
      </c>
      <c r="I673">
        <v>17017</v>
      </c>
      <c r="J673" t="s">
        <v>20</v>
      </c>
      <c r="K673" t="s">
        <v>597</v>
      </c>
      <c r="L673" t="s">
        <v>1779</v>
      </c>
      <c r="M673" t="s">
        <v>117</v>
      </c>
      <c r="N673">
        <v>6</v>
      </c>
      <c r="O673">
        <v>254.7</v>
      </c>
    </row>
    <row r="674" spans="1:15">
      <c r="A674">
        <v>673</v>
      </c>
      <c r="B674" t="s">
        <v>1780</v>
      </c>
      <c r="C674" t="s">
        <v>16</v>
      </c>
      <c r="D674" t="s">
        <v>40</v>
      </c>
      <c r="E674">
        <v>72.3</v>
      </c>
      <c r="F674" t="s">
        <v>56</v>
      </c>
      <c r="G674">
        <v>473</v>
      </c>
      <c r="H674" t="s">
        <v>27</v>
      </c>
      <c r="I674">
        <v>29403</v>
      </c>
      <c r="J674" t="s">
        <v>20</v>
      </c>
      <c r="K674" t="s">
        <v>804</v>
      </c>
      <c r="L674" t="s">
        <v>642</v>
      </c>
      <c r="M674" t="s">
        <v>54</v>
      </c>
      <c r="N674">
        <v>2</v>
      </c>
      <c r="O674">
        <v>233.3</v>
      </c>
    </row>
    <row r="675" spans="1:15">
      <c r="A675">
        <v>674</v>
      </c>
      <c r="B675" t="s">
        <v>1781</v>
      </c>
      <c r="C675" t="s">
        <v>16</v>
      </c>
      <c r="D675" t="s">
        <v>40</v>
      </c>
      <c r="E675">
        <v>70.2</v>
      </c>
      <c r="F675" t="s">
        <v>62</v>
      </c>
      <c r="G675">
        <v>374</v>
      </c>
      <c r="H675" t="s">
        <v>19</v>
      </c>
      <c r="I675">
        <v>25407</v>
      </c>
      <c r="J675" t="s">
        <v>20</v>
      </c>
      <c r="K675" t="s">
        <v>1782</v>
      </c>
      <c r="L675" t="s">
        <v>455</v>
      </c>
      <c r="M675" t="s">
        <v>112</v>
      </c>
      <c r="N675">
        <v>16</v>
      </c>
      <c r="O675">
        <v>219.6</v>
      </c>
    </row>
    <row r="676" spans="1:15">
      <c r="A676">
        <v>675</v>
      </c>
      <c r="B676" t="s">
        <v>1783</v>
      </c>
      <c r="C676" t="s">
        <v>50</v>
      </c>
      <c r="D676" t="s">
        <v>40</v>
      </c>
      <c r="E676">
        <v>38.700000000000003</v>
      </c>
      <c r="F676" t="s">
        <v>41</v>
      </c>
      <c r="G676">
        <v>486</v>
      </c>
      <c r="H676" t="s">
        <v>19</v>
      </c>
      <c r="I676">
        <v>73667</v>
      </c>
      <c r="J676" t="s">
        <v>20</v>
      </c>
      <c r="K676" t="s">
        <v>1784</v>
      </c>
      <c r="L676" t="s">
        <v>1098</v>
      </c>
      <c r="M676" t="s">
        <v>48</v>
      </c>
      <c r="N676">
        <v>4</v>
      </c>
      <c r="O676">
        <v>128.1</v>
      </c>
    </row>
    <row r="677" spans="1:15">
      <c r="A677">
        <v>676</v>
      </c>
      <c r="B677" t="s">
        <v>1785</v>
      </c>
      <c r="C677" t="s">
        <v>16</v>
      </c>
      <c r="D677" t="s">
        <v>17</v>
      </c>
      <c r="E677">
        <v>24.1</v>
      </c>
      <c r="F677" t="s">
        <v>62</v>
      </c>
      <c r="G677">
        <v>283</v>
      </c>
      <c r="H677" t="s">
        <v>19</v>
      </c>
      <c r="I677">
        <v>61146</v>
      </c>
      <c r="J677" t="s">
        <v>20</v>
      </c>
      <c r="K677" t="s">
        <v>1025</v>
      </c>
      <c r="L677" t="s">
        <v>1116</v>
      </c>
      <c r="M677" t="s">
        <v>121</v>
      </c>
      <c r="N677">
        <v>3</v>
      </c>
      <c r="O677">
        <v>52</v>
      </c>
    </row>
    <row r="678" spans="1:15">
      <c r="A678">
        <v>677</v>
      </c>
      <c r="B678" t="s">
        <v>1786</v>
      </c>
      <c r="C678" t="s">
        <v>133</v>
      </c>
      <c r="D678" t="s">
        <v>40</v>
      </c>
      <c r="E678">
        <v>79.3</v>
      </c>
      <c r="F678" t="s">
        <v>62</v>
      </c>
      <c r="G678">
        <v>24</v>
      </c>
      <c r="H678" t="s">
        <v>27</v>
      </c>
      <c r="I678">
        <v>28956</v>
      </c>
      <c r="J678" t="s">
        <v>20</v>
      </c>
      <c r="K678" t="s">
        <v>1787</v>
      </c>
      <c r="L678" t="s">
        <v>1788</v>
      </c>
      <c r="N678">
        <v>11</v>
      </c>
      <c r="O678">
        <v>184</v>
      </c>
    </row>
    <row r="679" spans="1:15">
      <c r="A679">
        <v>678</v>
      </c>
      <c r="B679" t="s">
        <v>1789</v>
      </c>
      <c r="C679" t="s">
        <v>133</v>
      </c>
      <c r="D679" t="s">
        <v>61</v>
      </c>
      <c r="E679">
        <v>0</v>
      </c>
      <c r="F679" t="s">
        <v>41</v>
      </c>
      <c r="G679">
        <v>633</v>
      </c>
      <c r="H679" t="s">
        <v>19</v>
      </c>
      <c r="I679">
        <v>62718</v>
      </c>
      <c r="J679" t="s">
        <v>20</v>
      </c>
      <c r="K679" t="s">
        <v>582</v>
      </c>
      <c r="L679" t="s">
        <v>1790</v>
      </c>
      <c r="M679" t="s">
        <v>69</v>
      </c>
      <c r="N679">
        <v>5</v>
      </c>
      <c r="O679">
        <v>0</v>
      </c>
    </row>
    <row r="680" spans="1:15">
      <c r="A680">
        <v>679</v>
      </c>
      <c r="B680" t="s">
        <v>1791</v>
      </c>
      <c r="C680" t="s">
        <v>32</v>
      </c>
      <c r="D680" t="s">
        <v>17</v>
      </c>
      <c r="E680">
        <v>83.6</v>
      </c>
      <c r="F680" t="s">
        <v>41</v>
      </c>
      <c r="G680">
        <v>332</v>
      </c>
      <c r="H680" t="s">
        <v>19</v>
      </c>
      <c r="I680">
        <v>55638</v>
      </c>
      <c r="J680" t="s">
        <v>20</v>
      </c>
      <c r="K680" t="s">
        <v>1792</v>
      </c>
      <c r="L680" t="s">
        <v>1793</v>
      </c>
      <c r="M680" t="s">
        <v>54</v>
      </c>
      <c r="N680">
        <v>16</v>
      </c>
      <c r="O680">
        <v>215.1</v>
      </c>
    </row>
    <row r="681" spans="1:15">
      <c r="A681">
        <v>680</v>
      </c>
      <c r="B681" t="s">
        <v>1794</v>
      </c>
      <c r="C681" t="s">
        <v>32</v>
      </c>
      <c r="D681" t="s">
        <v>40</v>
      </c>
      <c r="E681">
        <v>60</v>
      </c>
      <c r="F681" t="s">
        <v>62</v>
      </c>
      <c r="G681">
        <v>249</v>
      </c>
      <c r="H681" t="s">
        <v>27</v>
      </c>
      <c r="I681">
        <v>93808</v>
      </c>
      <c r="J681" t="s">
        <v>20</v>
      </c>
      <c r="K681" t="s">
        <v>1795</v>
      </c>
      <c r="L681" t="s">
        <v>569</v>
      </c>
      <c r="M681" t="s">
        <v>54</v>
      </c>
      <c r="N681">
        <v>20</v>
      </c>
      <c r="O681">
        <v>182.8</v>
      </c>
    </row>
    <row r="682" spans="1:15">
      <c r="A682">
        <v>681</v>
      </c>
      <c r="B682" t="s">
        <v>1796</v>
      </c>
      <c r="C682" t="s">
        <v>25</v>
      </c>
      <c r="D682" t="s">
        <v>137</v>
      </c>
      <c r="E682">
        <v>63</v>
      </c>
      <c r="F682" t="s">
        <v>56</v>
      </c>
      <c r="G682">
        <v>307</v>
      </c>
      <c r="H682" t="s">
        <v>19</v>
      </c>
      <c r="I682">
        <v>99679</v>
      </c>
      <c r="J682" t="s">
        <v>20</v>
      </c>
      <c r="K682" t="s">
        <v>1797</v>
      </c>
      <c r="L682" t="s">
        <v>1798</v>
      </c>
      <c r="M682" t="s">
        <v>48</v>
      </c>
      <c r="N682">
        <v>5</v>
      </c>
      <c r="O682">
        <v>182.2</v>
      </c>
    </row>
    <row r="683" spans="1:15">
      <c r="A683">
        <v>682</v>
      </c>
      <c r="B683" t="s">
        <v>1799</v>
      </c>
      <c r="C683" t="s">
        <v>39</v>
      </c>
      <c r="D683" t="s">
        <v>61</v>
      </c>
      <c r="E683">
        <v>0</v>
      </c>
      <c r="F683" t="s">
        <v>41</v>
      </c>
      <c r="G683">
        <v>373</v>
      </c>
      <c r="H683" t="s">
        <v>19</v>
      </c>
      <c r="I683">
        <v>101095</v>
      </c>
      <c r="J683" t="s">
        <v>20</v>
      </c>
      <c r="K683" t="s">
        <v>466</v>
      </c>
      <c r="L683" t="s">
        <v>980</v>
      </c>
      <c r="M683" t="s">
        <v>54</v>
      </c>
      <c r="N683">
        <v>17</v>
      </c>
      <c r="O683">
        <v>0</v>
      </c>
    </row>
    <row r="684" spans="1:15">
      <c r="A684">
        <v>683</v>
      </c>
      <c r="B684" t="s">
        <v>1800</v>
      </c>
      <c r="C684" t="s">
        <v>39</v>
      </c>
      <c r="D684" t="s">
        <v>40</v>
      </c>
      <c r="E684">
        <v>23.3</v>
      </c>
      <c r="F684" t="s">
        <v>18</v>
      </c>
      <c r="G684">
        <v>127</v>
      </c>
      <c r="H684" t="s">
        <v>27</v>
      </c>
      <c r="I684">
        <v>117944</v>
      </c>
      <c r="J684" t="s">
        <v>20</v>
      </c>
      <c r="K684" t="s">
        <v>1801</v>
      </c>
      <c r="L684" t="s">
        <v>1802</v>
      </c>
      <c r="M684" t="s">
        <v>69</v>
      </c>
      <c r="N684">
        <v>15</v>
      </c>
      <c r="O684">
        <v>71.2</v>
      </c>
    </row>
    <row r="685" spans="1:15">
      <c r="A685">
        <v>684</v>
      </c>
      <c r="B685" t="s">
        <v>1803</v>
      </c>
      <c r="C685" t="s">
        <v>25</v>
      </c>
      <c r="D685" t="s">
        <v>114</v>
      </c>
      <c r="E685">
        <v>59.4</v>
      </c>
      <c r="F685" t="s">
        <v>62</v>
      </c>
      <c r="G685">
        <v>551</v>
      </c>
      <c r="H685" t="s">
        <v>27</v>
      </c>
      <c r="I685">
        <v>21517</v>
      </c>
      <c r="J685" t="s">
        <v>20</v>
      </c>
      <c r="K685" t="s">
        <v>1804</v>
      </c>
      <c r="L685" t="s">
        <v>1805</v>
      </c>
      <c r="M685" t="s">
        <v>59</v>
      </c>
      <c r="N685">
        <v>1</v>
      </c>
      <c r="O685">
        <v>122.9</v>
      </c>
    </row>
    <row r="686" spans="1:15">
      <c r="A686">
        <v>685</v>
      </c>
      <c r="B686" t="s">
        <v>1806</v>
      </c>
      <c r="C686" t="s">
        <v>39</v>
      </c>
      <c r="D686" t="s">
        <v>137</v>
      </c>
      <c r="E686">
        <v>34.200000000000003</v>
      </c>
      <c r="F686" t="s">
        <v>18</v>
      </c>
      <c r="G686">
        <v>165</v>
      </c>
      <c r="H686" t="s">
        <v>27</v>
      </c>
      <c r="I686">
        <v>100219</v>
      </c>
      <c r="J686" t="s">
        <v>20</v>
      </c>
      <c r="K686" t="s">
        <v>1807</v>
      </c>
      <c r="L686" t="s">
        <v>678</v>
      </c>
      <c r="N686">
        <v>18</v>
      </c>
      <c r="O686">
        <v>106.1</v>
      </c>
    </row>
    <row r="687" spans="1:15">
      <c r="A687">
        <v>686</v>
      </c>
      <c r="B687" t="s">
        <v>1808</v>
      </c>
      <c r="C687" t="s">
        <v>39</v>
      </c>
      <c r="D687" t="s">
        <v>33</v>
      </c>
      <c r="E687">
        <v>16.399999999999999</v>
      </c>
      <c r="F687" t="s">
        <v>56</v>
      </c>
      <c r="G687">
        <v>116</v>
      </c>
      <c r="H687" t="s">
        <v>27</v>
      </c>
      <c r="I687">
        <v>18365</v>
      </c>
      <c r="J687" t="s">
        <v>20</v>
      </c>
      <c r="K687" t="s">
        <v>1809</v>
      </c>
      <c r="L687" t="s">
        <v>1810</v>
      </c>
      <c r="M687" t="s">
        <v>441</v>
      </c>
      <c r="N687">
        <v>19</v>
      </c>
      <c r="O687">
        <v>44.3</v>
      </c>
    </row>
    <row r="688" spans="1:15">
      <c r="A688">
        <v>687</v>
      </c>
      <c r="B688" t="s">
        <v>1811</v>
      </c>
      <c r="C688" t="s">
        <v>32</v>
      </c>
      <c r="D688" t="s">
        <v>40</v>
      </c>
      <c r="E688">
        <v>94.3</v>
      </c>
      <c r="F688" t="s">
        <v>56</v>
      </c>
      <c r="G688">
        <v>298</v>
      </c>
      <c r="H688" t="s">
        <v>19</v>
      </c>
      <c r="I688">
        <v>52553</v>
      </c>
      <c r="J688" t="s">
        <v>20</v>
      </c>
      <c r="K688" t="s">
        <v>1812</v>
      </c>
      <c r="L688" t="s">
        <v>1026</v>
      </c>
      <c r="M688" t="s">
        <v>441</v>
      </c>
      <c r="N688">
        <v>2</v>
      </c>
      <c r="O688">
        <v>273.8</v>
      </c>
    </row>
    <row r="689" spans="1:15">
      <c r="A689">
        <v>688</v>
      </c>
      <c r="B689" t="s">
        <v>1813</v>
      </c>
      <c r="C689" t="s">
        <v>25</v>
      </c>
      <c r="D689" t="s">
        <v>61</v>
      </c>
      <c r="E689">
        <v>0</v>
      </c>
      <c r="F689" t="s">
        <v>41</v>
      </c>
      <c r="G689">
        <v>258</v>
      </c>
      <c r="H689" t="s">
        <v>19</v>
      </c>
      <c r="I689">
        <v>110600</v>
      </c>
      <c r="J689" t="s">
        <v>20</v>
      </c>
      <c r="K689" t="s">
        <v>1814</v>
      </c>
      <c r="L689" t="s">
        <v>1422</v>
      </c>
      <c r="M689" t="s">
        <v>59</v>
      </c>
      <c r="N689">
        <v>1</v>
      </c>
      <c r="O689">
        <v>0</v>
      </c>
    </row>
    <row r="690" spans="1:15">
      <c r="A690">
        <v>689</v>
      </c>
      <c r="B690" t="s">
        <v>1815</v>
      </c>
      <c r="C690" t="s">
        <v>133</v>
      </c>
      <c r="D690" t="s">
        <v>114</v>
      </c>
      <c r="E690">
        <v>56</v>
      </c>
      <c r="F690" t="s">
        <v>26</v>
      </c>
      <c r="G690">
        <v>513</v>
      </c>
      <c r="H690" t="s">
        <v>19</v>
      </c>
      <c r="I690">
        <v>31113</v>
      </c>
      <c r="J690" t="s">
        <v>20</v>
      </c>
      <c r="K690" t="s">
        <v>1816</v>
      </c>
      <c r="L690" t="s">
        <v>1817</v>
      </c>
      <c r="M690" t="s">
        <v>441</v>
      </c>
      <c r="N690">
        <v>4</v>
      </c>
      <c r="O690">
        <v>195.5</v>
      </c>
    </row>
    <row r="691" spans="1:15">
      <c r="A691">
        <v>690</v>
      </c>
      <c r="B691" t="s">
        <v>1818</v>
      </c>
      <c r="C691" t="s">
        <v>158</v>
      </c>
      <c r="D691" t="s">
        <v>40</v>
      </c>
      <c r="E691">
        <v>30.5</v>
      </c>
      <c r="F691" t="s">
        <v>18</v>
      </c>
      <c r="G691">
        <v>94</v>
      </c>
      <c r="H691" t="s">
        <v>19</v>
      </c>
      <c r="I691">
        <v>92203</v>
      </c>
      <c r="J691" t="s">
        <v>20</v>
      </c>
      <c r="K691" t="s">
        <v>1819</v>
      </c>
      <c r="L691" t="s">
        <v>434</v>
      </c>
      <c r="M691" t="s">
        <v>117</v>
      </c>
      <c r="N691">
        <v>5</v>
      </c>
      <c r="O691">
        <v>82.7</v>
      </c>
    </row>
    <row r="692" spans="1:15">
      <c r="A692">
        <v>691</v>
      </c>
      <c r="B692" t="s">
        <v>1820</v>
      </c>
      <c r="C692" t="s">
        <v>25</v>
      </c>
      <c r="D692" t="s">
        <v>40</v>
      </c>
      <c r="E692">
        <v>52.4</v>
      </c>
      <c r="F692" t="s">
        <v>41</v>
      </c>
      <c r="G692">
        <v>326</v>
      </c>
      <c r="H692" t="s">
        <v>27</v>
      </c>
      <c r="I692">
        <v>100532</v>
      </c>
      <c r="J692" t="s">
        <v>20</v>
      </c>
      <c r="K692" t="s">
        <v>1821</v>
      </c>
      <c r="L692" t="s">
        <v>827</v>
      </c>
      <c r="M692" t="s">
        <v>48</v>
      </c>
      <c r="N692">
        <v>16</v>
      </c>
      <c r="O692">
        <v>129.9</v>
      </c>
    </row>
    <row r="693" spans="1:15">
      <c r="A693">
        <v>692</v>
      </c>
      <c r="B693" t="s">
        <v>1822</v>
      </c>
      <c r="C693" t="s">
        <v>39</v>
      </c>
      <c r="D693" t="s">
        <v>40</v>
      </c>
      <c r="E693">
        <v>85</v>
      </c>
      <c r="F693" t="s">
        <v>62</v>
      </c>
      <c r="G693">
        <v>97</v>
      </c>
      <c r="H693" t="s">
        <v>27</v>
      </c>
      <c r="I693">
        <v>60015</v>
      </c>
      <c r="J693" t="s">
        <v>20</v>
      </c>
      <c r="K693" t="s">
        <v>1823</v>
      </c>
      <c r="L693" t="s">
        <v>1146</v>
      </c>
      <c r="M693" t="s">
        <v>86</v>
      </c>
      <c r="N693">
        <v>1</v>
      </c>
      <c r="O693">
        <v>191.1</v>
      </c>
    </row>
    <row r="694" spans="1:15">
      <c r="A694">
        <v>693</v>
      </c>
      <c r="B694" t="s">
        <v>1824</v>
      </c>
      <c r="C694" t="s">
        <v>39</v>
      </c>
      <c r="D694" t="s">
        <v>137</v>
      </c>
      <c r="E694">
        <v>7</v>
      </c>
      <c r="F694" t="s">
        <v>56</v>
      </c>
      <c r="G694">
        <v>520</v>
      </c>
      <c r="H694" t="s">
        <v>27</v>
      </c>
      <c r="I694">
        <v>16086</v>
      </c>
      <c r="J694" t="s">
        <v>20</v>
      </c>
      <c r="K694" t="s">
        <v>836</v>
      </c>
      <c r="L694" t="s">
        <v>639</v>
      </c>
      <c r="M694" t="s">
        <v>441</v>
      </c>
      <c r="N694">
        <v>20</v>
      </c>
      <c r="O694">
        <v>21.2</v>
      </c>
    </row>
    <row r="695" spans="1:15">
      <c r="A695">
        <v>694</v>
      </c>
      <c r="B695" t="s">
        <v>1825</v>
      </c>
      <c r="C695" t="s">
        <v>133</v>
      </c>
      <c r="D695" t="s">
        <v>17</v>
      </c>
      <c r="E695">
        <v>76.900000000000006</v>
      </c>
      <c r="F695" t="s">
        <v>26</v>
      </c>
      <c r="G695">
        <v>313</v>
      </c>
      <c r="H695" t="s">
        <v>27</v>
      </c>
      <c r="I695">
        <v>115267</v>
      </c>
      <c r="J695" t="s">
        <v>20</v>
      </c>
      <c r="K695" t="s">
        <v>1826</v>
      </c>
      <c r="L695" t="s">
        <v>1827</v>
      </c>
      <c r="M695" t="s">
        <v>441</v>
      </c>
      <c r="N695">
        <v>1</v>
      </c>
      <c r="O695">
        <v>212.7</v>
      </c>
    </row>
    <row r="696" spans="1:15">
      <c r="A696">
        <v>695</v>
      </c>
      <c r="B696" t="s">
        <v>1828</v>
      </c>
      <c r="C696" t="s">
        <v>39</v>
      </c>
      <c r="D696" t="s">
        <v>114</v>
      </c>
      <c r="E696">
        <v>59.4</v>
      </c>
      <c r="F696" t="s">
        <v>62</v>
      </c>
      <c r="G696">
        <v>423</v>
      </c>
      <c r="H696" t="s">
        <v>27</v>
      </c>
      <c r="I696">
        <v>27886</v>
      </c>
      <c r="J696" t="s">
        <v>20</v>
      </c>
      <c r="K696" t="s">
        <v>115</v>
      </c>
      <c r="L696" t="s">
        <v>1482</v>
      </c>
      <c r="M696" t="s">
        <v>112</v>
      </c>
      <c r="N696">
        <v>19</v>
      </c>
      <c r="O696">
        <v>196.2</v>
      </c>
    </row>
    <row r="697" spans="1:15">
      <c r="A697">
        <v>696</v>
      </c>
      <c r="B697" t="s">
        <v>1829</v>
      </c>
      <c r="C697" t="s">
        <v>16</v>
      </c>
      <c r="D697" t="s">
        <v>114</v>
      </c>
      <c r="E697">
        <v>37.6</v>
      </c>
      <c r="F697" t="s">
        <v>56</v>
      </c>
      <c r="G697">
        <v>458</v>
      </c>
      <c r="H697" t="s">
        <v>19</v>
      </c>
      <c r="I697">
        <v>106714</v>
      </c>
      <c r="J697" t="s">
        <v>20</v>
      </c>
      <c r="K697" t="s">
        <v>1830</v>
      </c>
      <c r="L697" t="s">
        <v>1140</v>
      </c>
      <c r="M697" t="s">
        <v>86</v>
      </c>
      <c r="N697">
        <v>18</v>
      </c>
      <c r="O697">
        <v>81.2</v>
      </c>
    </row>
    <row r="698" spans="1:15">
      <c r="A698">
        <v>697</v>
      </c>
      <c r="B698" t="s">
        <v>1831</v>
      </c>
      <c r="C698" t="s">
        <v>123</v>
      </c>
      <c r="D698" t="s">
        <v>40</v>
      </c>
      <c r="E698">
        <v>67.2</v>
      </c>
      <c r="F698" t="s">
        <v>62</v>
      </c>
      <c r="G698">
        <v>636</v>
      </c>
      <c r="H698" t="s">
        <v>27</v>
      </c>
      <c r="I698">
        <v>80030</v>
      </c>
      <c r="J698" t="s">
        <v>20</v>
      </c>
      <c r="K698" t="s">
        <v>1832</v>
      </c>
      <c r="L698" t="s">
        <v>1379</v>
      </c>
      <c r="M698" t="s">
        <v>54</v>
      </c>
      <c r="N698">
        <v>5</v>
      </c>
      <c r="O698">
        <v>175.8</v>
      </c>
    </row>
    <row r="699" spans="1:15">
      <c r="A699">
        <v>698</v>
      </c>
      <c r="B699" t="s">
        <v>704</v>
      </c>
      <c r="C699" t="s">
        <v>32</v>
      </c>
      <c r="D699" t="s">
        <v>137</v>
      </c>
      <c r="E699">
        <v>76.900000000000006</v>
      </c>
      <c r="F699" t="s">
        <v>18</v>
      </c>
      <c r="G699">
        <v>549</v>
      </c>
      <c r="H699" t="s">
        <v>19</v>
      </c>
      <c r="I699">
        <v>34235</v>
      </c>
      <c r="J699" t="s">
        <v>20</v>
      </c>
      <c r="K699" t="s">
        <v>1833</v>
      </c>
      <c r="L699" t="s">
        <v>552</v>
      </c>
      <c r="M699" t="s">
        <v>69</v>
      </c>
      <c r="N699">
        <v>17</v>
      </c>
      <c r="O699">
        <v>224.4</v>
      </c>
    </row>
    <row r="700" spans="1:15">
      <c r="A700">
        <v>699</v>
      </c>
      <c r="B700" t="s">
        <v>1834</v>
      </c>
      <c r="C700" t="s">
        <v>32</v>
      </c>
      <c r="D700" t="s">
        <v>137</v>
      </c>
      <c r="E700">
        <v>33.9</v>
      </c>
      <c r="F700" t="s">
        <v>18</v>
      </c>
      <c r="G700">
        <v>451</v>
      </c>
      <c r="H700" t="s">
        <v>19</v>
      </c>
      <c r="I700">
        <v>97996</v>
      </c>
      <c r="J700" t="s">
        <v>20</v>
      </c>
      <c r="K700" t="s">
        <v>1835</v>
      </c>
      <c r="L700" t="s">
        <v>1137</v>
      </c>
      <c r="N700">
        <v>14</v>
      </c>
      <c r="O700">
        <v>83.8</v>
      </c>
    </row>
    <row r="701" spans="1:15">
      <c r="A701">
        <v>700</v>
      </c>
      <c r="B701" t="s">
        <v>1836</v>
      </c>
      <c r="C701" t="s">
        <v>158</v>
      </c>
      <c r="D701" t="s">
        <v>33</v>
      </c>
      <c r="E701">
        <v>93.6</v>
      </c>
      <c r="F701" t="s">
        <v>18</v>
      </c>
      <c r="G701">
        <v>493</v>
      </c>
      <c r="H701" t="s">
        <v>27</v>
      </c>
      <c r="I701">
        <v>49712</v>
      </c>
      <c r="J701" t="s">
        <v>20</v>
      </c>
      <c r="K701" t="s">
        <v>582</v>
      </c>
      <c r="L701" t="s">
        <v>949</v>
      </c>
      <c r="M701" t="s">
        <v>54</v>
      </c>
      <c r="N701">
        <v>19</v>
      </c>
      <c r="O701">
        <v>284.39999999999998</v>
      </c>
    </row>
    <row r="702" spans="1:15">
      <c r="A702">
        <v>701</v>
      </c>
      <c r="B702" t="s">
        <v>1837</v>
      </c>
      <c r="C702" t="s">
        <v>123</v>
      </c>
      <c r="D702" t="s">
        <v>33</v>
      </c>
      <c r="E702">
        <v>84.2</v>
      </c>
      <c r="F702" t="s">
        <v>26</v>
      </c>
      <c r="G702">
        <v>64</v>
      </c>
      <c r="H702" t="s">
        <v>19</v>
      </c>
      <c r="I702">
        <v>88704</v>
      </c>
      <c r="J702" t="s">
        <v>20</v>
      </c>
      <c r="K702" t="s">
        <v>1838</v>
      </c>
      <c r="L702" t="s">
        <v>1323</v>
      </c>
      <c r="M702" t="s">
        <v>117</v>
      </c>
      <c r="N702">
        <v>3</v>
      </c>
      <c r="O702">
        <v>229.7</v>
      </c>
    </row>
    <row r="703" spans="1:15">
      <c r="A703">
        <v>702</v>
      </c>
      <c r="B703" t="s">
        <v>1839</v>
      </c>
      <c r="C703" t="s">
        <v>50</v>
      </c>
      <c r="D703" t="s">
        <v>61</v>
      </c>
      <c r="E703">
        <v>0</v>
      </c>
      <c r="F703" t="s">
        <v>18</v>
      </c>
      <c r="G703">
        <v>643</v>
      </c>
      <c r="H703" t="s">
        <v>27</v>
      </c>
      <c r="I703">
        <v>115243</v>
      </c>
      <c r="J703" t="s">
        <v>20</v>
      </c>
      <c r="K703" t="s">
        <v>1840</v>
      </c>
      <c r="L703" t="s">
        <v>738</v>
      </c>
      <c r="M703" t="s">
        <v>121</v>
      </c>
      <c r="N703">
        <v>2</v>
      </c>
      <c r="O703">
        <v>0</v>
      </c>
    </row>
    <row r="704" spans="1:15">
      <c r="A704">
        <v>703</v>
      </c>
      <c r="B704" t="s">
        <v>1558</v>
      </c>
      <c r="C704" t="s">
        <v>32</v>
      </c>
      <c r="D704" t="s">
        <v>33</v>
      </c>
      <c r="E704">
        <v>95.2</v>
      </c>
      <c r="F704" t="s">
        <v>56</v>
      </c>
      <c r="G704">
        <v>586</v>
      </c>
      <c r="H704" t="s">
        <v>27</v>
      </c>
      <c r="I704">
        <v>17700</v>
      </c>
      <c r="J704" t="s">
        <v>20</v>
      </c>
      <c r="K704" t="s">
        <v>1841</v>
      </c>
      <c r="L704" t="s">
        <v>1842</v>
      </c>
      <c r="M704" t="s">
        <v>69</v>
      </c>
      <c r="N704">
        <v>20</v>
      </c>
      <c r="O704">
        <v>226.9</v>
      </c>
    </row>
    <row r="705" spans="1:15">
      <c r="A705">
        <v>704</v>
      </c>
      <c r="B705" t="s">
        <v>1843</v>
      </c>
      <c r="C705" t="s">
        <v>25</v>
      </c>
      <c r="D705" t="s">
        <v>114</v>
      </c>
      <c r="E705">
        <v>20.9</v>
      </c>
      <c r="F705" t="s">
        <v>18</v>
      </c>
      <c r="G705">
        <v>435</v>
      </c>
      <c r="H705" t="s">
        <v>27</v>
      </c>
      <c r="I705">
        <v>85117</v>
      </c>
      <c r="J705" t="s">
        <v>20</v>
      </c>
      <c r="K705" t="s">
        <v>1844</v>
      </c>
      <c r="L705" t="s">
        <v>1845</v>
      </c>
      <c r="M705" t="s">
        <v>441</v>
      </c>
      <c r="N705">
        <v>8</v>
      </c>
      <c r="O705">
        <v>47.6</v>
      </c>
    </row>
    <row r="706" spans="1:15">
      <c r="A706">
        <v>705</v>
      </c>
      <c r="B706" t="s">
        <v>1846</v>
      </c>
      <c r="C706" t="s">
        <v>133</v>
      </c>
      <c r="D706" t="s">
        <v>33</v>
      </c>
      <c r="E706">
        <v>73.3</v>
      </c>
      <c r="F706" t="s">
        <v>18</v>
      </c>
      <c r="G706">
        <v>515</v>
      </c>
      <c r="H706" t="s">
        <v>27</v>
      </c>
      <c r="I706">
        <v>37891</v>
      </c>
      <c r="J706" t="s">
        <v>20</v>
      </c>
      <c r="K706" t="s">
        <v>1847</v>
      </c>
      <c r="L706" t="s">
        <v>1848</v>
      </c>
      <c r="M706" t="s">
        <v>48</v>
      </c>
      <c r="N706">
        <v>5</v>
      </c>
      <c r="O706">
        <v>182.1</v>
      </c>
    </row>
    <row r="707" spans="1:15">
      <c r="A707">
        <v>706</v>
      </c>
      <c r="B707" t="s">
        <v>1072</v>
      </c>
      <c r="C707" t="s">
        <v>16</v>
      </c>
      <c r="D707" t="s">
        <v>17</v>
      </c>
      <c r="E707">
        <v>88.5</v>
      </c>
      <c r="F707" t="s">
        <v>26</v>
      </c>
      <c r="G707">
        <v>688</v>
      </c>
      <c r="H707" t="s">
        <v>27</v>
      </c>
      <c r="I707">
        <v>83820</v>
      </c>
      <c r="J707" t="s">
        <v>20</v>
      </c>
      <c r="K707" t="s">
        <v>1849</v>
      </c>
      <c r="L707" t="s">
        <v>1850</v>
      </c>
      <c r="M707" t="s">
        <v>121</v>
      </c>
      <c r="N707">
        <v>4</v>
      </c>
      <c r="O707">
        <v>267.7</v>
      </c>
    </row>
    <row r="708" spans="1:15">
      <c r="A708">
        <v>707</v>
      </c>
      <c r="B708" t="s">
        <v>990</v>
      </c>
      <c r="C708" t="s">
        <v>133</v>
      </c>
      <c r="D708" t="s">
        <v>137</v>
      </c>
      <c r="E708">
        <v>43.2</v>
      </c>
      <c r="F708" t="s">
        <v>41</v>
      </c>
      <c r="G708">
        <v>658</v>
      </c>
      <c r="H708" t="s">
        <v>27</v>
      </c>
      <c r="I708">
        <v>60719</v>
      </c>
      <c r="J708" t="s">
        <v>20</v>
      </c>
      <c r="K708" t="s">
        <v>1851</v>
      </c>
      <c r="L708" t="s">
        <v>1790</v>
      </c>
      <c r="M708" t="s">
        <v>48</v>
      </c>
      <c r="N708">
        <v>13</v>
      </c>
      <c r="O708">
        <v>87.4</v>
      </c>
    </row>
    <row r="709" spans="1:15">
      <c r="A709">
        <v>708</v>
      </c>
      <c r="B709" t="s">
        <v>1852</v>
      </c>
      <c r="C709" t="s">
        <v>32</v>
      </c>
      <c r="D709" t="s">
        <v>137</v>
      </c>
      <c r="E709">
        <v>18.399999999999999</v>
      </c>
      <c r="F709" t="s">
        <v>26</v>
      </c>
      <c r="G709">
        <v>63</v>
      </c>
      <c r="H709" t="s">
        <v>19</v>
      </c>
      <c r="I709">
        <v>54772</v>
      </c>
      <c r="J709" t="s">
        <v>20</v>
      </c>
      <c r="K709" t="s">
        <v>1853</v>
      </c>
      <c r="L709" t="s">
        <v>1848</v>
      </c>
      <c r="N709">
        <v>16</v>
      </c>
      <c r="O709">
        <v>49.6</v>
      </c>
    </row>
    <row r="710" spans="1:15">
      <c r="A710">
        <v>709</v>
      </c>
      <c r="B710" t="s">
        <v>1854</v>
      </c>
      <c r="C710" t="s">
        <v>32</v>
      </c>
      <c r="D710" t="s">
        <v>61</v>
      </c>
      <c r="E710">
        <v>0</v>
      </c>
      <c r="F710" t="s">
        <v>62</v>
      </c>
      <c r="G710">
        <v>296</v>
      </c>
      <c r="H710" t="s">
        <v>27</v>
      </c>
      <c r="I710">
        <v>92525</v>
      </c>
      <c r="J710" t="s">
        <v>20</v>
      </c>
      <c r="K710" t="s">
        <v>1855</v>
      </c>
      <c r="L710" t="s">
        <v>1156</v>
      </c>
      <c r="M710" t="s">
        <v>121</v>
      </c>
      <c r="N710">
        <v>19</v>
      </c>
      <c r="O710">
        <v>0</v>
      </c>
    </row>
    <row r="711" spans="1:15">
      <c r="A711">
        <v>710</v>
      </c>
      <c r="B711" t="s">
        <v>1856</v>
      </c>
      <c r="C711" t="s">
        <v>39</v>
      </c>
      <c r="D711" t="s">
        <v>114</v>
      </c>
      <c r="E711">
        <v>95.1</v>
      </c>
      <c r="F711" t="s">
        <v>41</v>
      </c>
      <c r="G711">
        <v>446</v>
      </c>
      <c r="H711" t="s">
        <v>27</v>
      </c>
      <c r="I711">
        <v>55523</v>
      </c>
      <c r="J711" t="s">
        <v>20</v>
      </c>
      <c r="K711" t="s">
        <v>1857</v>
      </c>
      <c r="L711" t="s">
        <v>1268</v>
      </c>
      <c r="M711" t="s">
        <v>69</v>
      </c>
      <c r="N711">
        <v>8</v>
      </c>
      <c r="O711">
        <v>228.1</v>
      </c>
    </row>
    <row r="712" spans="1:15">
      <c r="A712">
        <v>711</v>
      </c>
      <c r="B712" t="s">
        <v>1858</v>
      </c>
      <c r="C712" t="s">
        <v>123</v>
      </c>
      <c r="D712" t="s">
        <v>137</v>
      </c>
      <c r="E712">
        <v>53.9</v>
      </c>
      <c r="F712" t="s">
        <v>62</v>
      </c>
      <c r="G712">
        <v>475</v>
      </c>
      <c r="H712" t="s">
        <v>19</v>
      </c>
      <c r="I712">
        <v>50200</v>
      </c>
      <c r="J712" t="s">
        <v>20</v>
      </c>
      <c r="K712" t="s">
        <v>1859</v>
      </c>
      <c r="L712" t="s">
        <v>1860</v>
      </c>
      <c r="M712" t="s">
        <v>441</v>
      </c>
      <c r="N712">
        <v>11</v>
      </c>
      <c r="O712">
        <v>163</v>
      </c>
    </row>
    <row r="713" spans="1:15">
      <c r="A713">
        <v>712</v>
      </c>
      <c r="B713" t="s">
        <v>1861</v>
      </c>
      <c r="C713" t="s">
        <v>50</v>
      </c>
      <c r="D713" t="s">
        <v>137</v>
      </c>
      <c r="E713">
        <v>68.599999999999994</v>
      </c>
      <c r="F713" t="s">
        <v>56</v>
      </c>
      <c r="G713">
        <v>85</v>
      </c>
      <c r="H713" t="s">
        <v>27</v>
      </c>
      <c r="I713">
        <v>84152</v>
      </c>
      <c r="J713" t="s">
        <v>20</v>
      </c>
      <c r="K713" t="s">
        <v>1862</v>
      </c>
      <c r="L713" t="s">
        <v>1863</v>
      </c>
      <c r="M713" t="s">
        <v>117</v>
      </c>
      <c r="N713">
        <v>3</v>
      </c>
      <c r="O713">
        <v>182.5</v>
      </c>
    </row>
    <row r="714" spans="1:15">
      <c r="A714">
        <v>713</v>
      </c>
      <c r="B714" t="s">
        <v>1864</v>
      </c>
      <c r="C714" t="s">
        <v>32</v>
      </c>
      <c r="D714" t="s">
        <v>61</v>
      </c>
      <c r="E714">
        <v>0</v>
      </c>
      <c r="F714" t="s">
        <v>26</v>
      </c>
      <c r="G714">
        <v>73</v>
      </c>
      <c r="H714" t="s">
        <v>27</v>
      </c>
      <c r="I714">
        <v>38589</v>
      </c>
      <c r="J714" t="s">
        <v>20</v>
      </c>
      <c r="K714" t="s">
        <v>1865</v>
      </c>
      <c r="L714" t="s">
        <v>695</v>
      </c>
      <c r="M714" t="s">
        <v>59</v>
      </c>
      <c r="N714">
        <v>14</v>
      </c>
      <c r="O714">
        <v>0</v>
      </c>
    </row>
    <row r="715" spans="1:15">
      <c r="A715">
        <v>714</v>
      </c>
      <c r="B715" t="s">
        <v>1866</v>
      </c>
      <c r="C715" t="s">
        <v>32</v>
      </c>
      <c r="D715" t="s">
        <v>33</v>
      </c>
      <c r="E715">
        <v>11.3</v>
      </c>
      <c r="F715" t="s">
        <v>26</v>
      </c>
      <c r="G715">
        <v>611</v>
      </c>
      <c r="H715" t="s">
        <v>27</v>
      </c>
      <c r="I715">
        <v>15804</v>
      </c>
      <c r="J715" t="s">
        <v>20</v>
      </c>
      <c r="K715" t="s">
        <v>1123</v>
      </c>
      <c r="L715" t="s">
        <v>642</v>
      </c>
      <c r="M715" t="s">
        <v>86</v>
      </c>
      <c r="N715">
        <v>11</v>
      </c>
      <c r="O715">
        <v>26.9</v>
      </c>
    </row>
    <row r="716" spans="1:15">
      <c r="A716">
        <v>715</v>
      </c>
      <c r="B716" t="s">
        <v>1867</v>
      </c>
      <c r="C716" t="s">
        <v>16</v>
      </c>
      <c r="D716" t="s">
        <v>33</v>
      </c>
      <c r="E716">
        <v>86.2</v>
      </c>
      <c r="F716" t="s">
        <v>26</v>
      </c>
      <c r="G716">
        <v>518</v>
      </c>
      <c r="H716" t="s">
        <v>19</v>
      </c>
      <c r="I716">
        <v>23143</v>
      </c>
      <c r="J716" t="s">
        <v>20</v>
      </c>
      <c r="K716" t="s">
        <v>1868</v>
      </c>
      <c r="L716" t="s">
        <v>1869</v>
      </c>
      <c r="M716" t="s">
        <v>112</v>
      </c>
      <c r="N716">
        <v>12</v>
      </c>
      <c r="O716">
        <v>190.2</v>
      </c>
    </row>
    <row r="717" spans="1:15">
      <c r="A717">
        <v>716</v>
      </c>
      <c r="B717" t="s">
        <v>140</v>
      </c>
      <c r="C717" t="s">
        <v>158</v>
      </c>
      <c r="D717" t="s">
        <v>137</v>
      </c>
      <c r="E717">
        <v>46.5</v>
      </c>
      <c r="F717" t="s">
        <v>56</v>
      </c>
      <c r="G717">
        <v>235</v>
      </c>
      <c r="H717" t="s">
        <v>19</v>
      </c>
      <c r="I717">
        <v>79067</v>
      </c>
      <c r="J717" t="s">
        <v>20</v>
      </c>
      <c r="K717" t="s">
        <v>1870</v>
      </c>
      <c r="L717" t="s">
        <v>1340</v>
      </c>
      <c r="M717" t="s">
        <v>48</v>
      </c>
      <c r="N717">
        <v>15</v>
      </c>
      <c r="O717">
        <v>135.9</v>
      </c>
    </row>
    <row r="718" spans="1:15">
      <c r="A718">
        <v>717</v>
      </c>
      <c r="B718" t="s">
        <v>1871</v>
      </c>
      <c r="C718" t="s">
        <v>25</v>
      </c>
      <c r="D718" t="s">
        <v>61</v>
      </c>
      <c r="E718">
        <v>0</v>
      </c>
      <c r="F718" t="s">
        <v>18</v>
      </c>
      <c r="G718">
        <v>337</v>
      </c>
      <c r="H718" t="s">
        <v>19</v>
      </c>
      <c r="I718">
        <v>74189</v>
      </c>
      <c r="J718" t="s">
        <v>20</v>
      </c>
      <c r="K718" t="s">
        <v>1872</v>
      </c>
      <c r="L718" t="s">
        <v>1873</v>
      </c>
      <c r="M718" t="s">
        <v>121</v>
      </c>
      <c r="N718">
        <v>19</v>
      </c>
      <c r="O718">
        <v>0</v>
      </c>
    </row>
    <row r="719" spans="1:15">
      <c r="A719">
        <v>718</v>
      </c>
      <c r="B719" t="s">
        <v>1874</v>
      </c>
      <c r="C719" t="s">
        <v>39</v>
      </c>
      <c r="D719" t="s">
        <v>40</v>
      </c>
      <c r="E719">
        <v>77.099999999999994</v>
      </c>
      <c r="F719" t="s">
        <v>18</v>
      </c>
      <c r="G719">
        <v>583</v>
      </c>
      <c r="H719" t="s">
        <v>19</v>
      </c>
      <c r="I719">
        <v>24050</v>
      </c>
      <c r="J719" t="s">
        <v>20</v>
      </c>
      <c r="K719" t="s">
        <v>1875</v>
      </c>
      <c r="L719" t="s">
        <v>410</v>
      </c>
      <c r="M719" t="s">
        <v>48</v>
      </c>
      <c r="N719">
        <v>18</v>
      </c>
      <c r="O719">
        <v>215.4</v>
      </c>
    </row>
    <row r="720" spans="1:15">
      <c r="A720">
        <v>719</v>
      </c>
      <c r="B720" t="s">
        <v>1594</v>
      </c>
      <c r="C720" t="s">
        <v>133</v>
      </c>
      <c r="D720" t="s">
        <v>137</v>
      </c>
      <c r="E720">
        <v>66.400000000000006</v>
      </c>
      <c r="F720" t="s">
        <v>18</v>
      </c>
      <c r="G720">
        <v>468</v>
      </c>
      <c r="H720" t="s">
        <v>19</v>
      </c>
      <c r="I720">
        <v>99630</v>
      </c>
      <c r="J720" t="s">
        <v>20</v>
      </c>
      <c r="K720" t="s">
        <v>1876</v>
      </c>
      <c r="L720" t="s">
        <v>479</v>
      </c>
      <c r="M720" t="s">
        <v>54</v>
      </c>
      <c r="N720">
        <v>15</v>
      </c>
      <c r="O720">
        <v>150.80000000000001</v>
      </c>
    </row>
    <row r="721" spans="1:15">
      <c r="A721">
        <v>720</v>
      </c>
      <c r="B721" t="s">
        <v>1877</v>
      </c>
      <c r="C721" t="s">
        <v>39</v>
      </c>
      <c r="D721" t="s">
        <v>40</v>
      </c>
      <c r="E721">
        <v>12.2</v>
      </c>
      <c r="F721" t="s">
        <v>41</v>
      </c>
      <c r="G721">
        <v>233</v>
      </c>
      <c r="H721" t="s">
        <v>19</v>
      </c>
      <c r="I721">
        <v>63432</v>
      </c>
      <c r="J721" t="s">
        <v>20</v>
      </c>
      <c r="K721" t="s">
        <v>529</v>
      </c>
      <c r="L721" t="s">
        <v>1878</v>
      </c>
      <c r="M721" t="s">
        <v>112</v>
      </c>
      <c r="N721">
        <v>7</v>
      </c>
      <c r="O721">
        <v>29.4</v>
      </c>
    </row>
    <row r="722" spans="1:15">
      <c r="A722">
        <v>721</v>
      </c>
      <c r="B722" t="s">
        <v>1879</v>
      </c>
      <c r="C722" t="s">
        <v>16</v>
      </c>
      <c r="D722" t="s">
        <v>33</v>
      </c>
      <c r="E722">
        <v>97.2</v>
      </c>
      <c r="F722" t="s">
        <v>18</v>
      </c>
      <c r="G722">
        <v>636</v>
      </c>
      <c r="H722" t="s">
        <v>27</v>
      </c>
      <c r="I722">
        <v>117571</v>
      </c>
      <c r="J722" t="s">
        <v>20</v>
      </c>
      <c r="K722" t="s">
        <v>1880</v>
      </c>
      <c r="L722" t="s">
        <v>1044</v>
      </c>
      <c r="M722" t="s">
        <v>54</v>
      </c>
      <c r="N722">
        <v>18</v>
      </c>
      <c r="O722">
        <v>313.3</v>
      </c>
    </row>
    <row r="723" spans="1:15">
      <c r="A723">
        <v>722</v>
      </c>
      <c r="B723" t="s">
        <v>1881</v>
      </c>
      <c r="C723" t="s">
        <v>133</v>
      </c>
      <c r="D723" t="s">
        <v>17</v>
      </c>
      <c r="E723">
        <v>51.2</v>
      </c>
      <c r="F723" t="s">
        <v>56</v>
      </c>
      <c r="G723">
        <v>564</v>
      </c>
      <c r="H723" t="s">
        <v>19</v>
      </c>
      <c r="I723">
        <v>22144</v>
      </c>
      <c r="J723" t="s">
        <v>20</v>
      </c>
      <c r="K723" t="s">
        <v>1882</v>
      </c>
      <c r="L723" t="s">
        <v>1071</v>
      </c>
      <c r="M723" t="s">
        <v>112</v>
      </c>
      <c r="N723">
        <v>3</v>
      </c>
      <c r="O723">
        <v>107.8</v>
      </c>
    </row>
    <row r="724" spans="1:15">
      <c r="A724">
        <v>723</v>
      </c>
      <c r="B724" t="s">
        <v>1883</v>
      </c>
      <c r="C724" t="s">
        <v>16</v>
      </c>
      <c r="D724" t="s">
        <v>33</v>
      </c>
      <c r="E724">
        <v>66.5</v>
      </c>
      <c r="F724" t="s">
        <v>56</v>
      </c>
      <c r="G724">
        <v>640</v>
      </c>
      <c r="H724" t="s">
        <v>19</v>
      </c>
      <c r="I724">
        <v>72205</v>
      </c>
      <c r="J724" t="s">
        <v>20</v>
      </c>
      <c r="K724" t="s">
        <v>1884</v>
      </c>
      <c r="L724" t="s">
        <v>1309</v>
      </c>
      <c r="M724" t="s">
        <v>59</v>
      </c>
      <c r="N724">
        <v>9</v>
      </c>
      <c r="O724">
        <v>218.5</v>
      </c>
    </row>
    <row r="725" spans="1:15">
      <c r="A725">
        <v>724</v>
      </c>
      <c r="B725" t="s">
        <v>1885</v>
      </c>
      <c r="C725" t="s">
        <v>158</v>
      </c>
      <c r="D725" t="s">
        <v>40</v>
      </c>
      <c r="E725">
        <v>15</v>
      </c>
      <c r="F725" t="s">
        <v>56</v>
      </c>
      <c r="G725">
        <v>214</v>
      </c>
      <c r="H725" t="s">
        <v>27</v>
      </c>
      <c r="I725">
        <v>40959</v>
      </c>
      <c r="J725" t="s">
        <v>20</v>
      </c>
      <c r="K725" t="s">
        <v>1226</v>
      </c>
      <c r="L725" t="s">
        <v>1886</v>
      </c>
      <c r="M725" t="s">
        <v>86</v>
      </c>
      <c r="N725">
        <v>15</v>
      </c>
      <c r="O725">
        <v>45.4</v>
      </c>
    </row>
    <row r="726" spans="1:15">
      <c r="A726">
        <v>725</v>
      </c>
      <c r="B726" t="s">
        <v>1887</v>
      </c>
      <c r="C726" t="s">
        <v>133</v>
      </c>
      <c r="D726" t="s">
        <v>17</v>
      </c>
      <c r="E726">
        <v>77.599999999999994</v>
      </c>
      <c r="F726" t="s">
        <v>18</v>
      </c>
      <c r="G726">
        <v>301</v>
      </c>
      <c r="H726" t="s">
        <v>19</v>
      </c>
      <c r="I726">
        <v>58487</v>
      </c>
      <c r="J726" t="s">
        <v>20</v>
      </c>
      <c r="K726" t="s">
        <v>1888</v>
      </c>
      <c r="L726" t="s">
        <v>413</v>
      </c>
      <c r="M726" t="s">
        <v>86</v>
      </c>
      <c r="N726">
        <v>2</v>
      </c>
      <c r="O726">
        <v>219.2</v>
      </c>
    </row>
    <row r="727" spans="1:15">
      <c r="A727">
        <v>726</v>
      </c>
      <c r="B727" t="s">
        <v>1889</v>
      </c>
      <c r="C727" t="s">
        <v>123</v>
      </c>
      <c r="D727" t="s">
        <v>61</v>
      </c>
      <c r="E727">
        <v>0</v>
      </c>
      <c r="F727" t="s">
        <v>41</v>
      </c>
      <c r="G727">
        <v>79</v>
      </c>
      <c r="H727" t="s">
        <v>19</v>
      </c>
      <c r="I727">
        <v>82583</v>
      </c>
      <c r="J727" t="s">
        <v>20</v>
      </c>
      <c r="K727" t="s">
        <v>1890</v>
      </c>
      <c r="L727" t="s">
        <v>1227</v>
      </c>
      <c r="N727">
        <v>5</v>
      </c>
      <c r="O727">
        <v>0</v>
      </c>
    </row>
    <row r="728" spans="1:15">
      <c r="A728">
        <v>727</v>
      </c>
      <c r="B728" t="s">
        <v>1891</v>
      </c>
      <c r="C728" t="s">
        <v>133</v>
      </c>
      <c r="D728" t="s">
        <v>17</v>
      </c>
      <c r="E728">
        <v>73.8</v>
      </c>
      <c r="F728" t="s">
        <v>56</v>
      </c>
      <c r="G728">
        <v>532</v>
      </c>
      <c r="H728" t="s">
        <v>27</v>
      </c>
      <c r="I728">
        <v>86996</v>
      </c>
      <c r="J728" t="s">
        <v>20</v>
      </c>
      <c r="K728" t="s">
        <v>1892</v>
      </c>
      <c r="L728" t="s">
        <v>1893</v>
      </c>
      <c r="M728" t="s">
        <v>86</v>
      </c>
      <c r="N728">
        <v>4</v>
      </c>
      <c r="O728">
        <v>152.5</v>
      </c>
    </row>
    <row r="729" spans="1:15">
      <c r="A729">
        <v>728</v>
      </c>
      <c r="B729" t="s">
        <v>1214</v>
      </c>
      <c r="C729" t="s">
        <v>39</v>
      </c>
      <c r="D729" t="s">
        <v>61</v>
      </c>
      <c r="E729">
        <v>0</v>
      </c>
      <c r="F729" t="s">
        <v>26</v>
      </c>
      <c r="G729">
        <v>274</v>
      </c>
      <c r="H729" t="s">
        <v>19</v>
      </c>
      <c r="I729">
        <v>20501</v>
      </c>
      <c r="J729" t="s">
        <v>20</v>
      </c>
      <c r="K729" t="s">
        <v>1894</v>
      </c>
      <c r="L729" t="s">
        <v>1895</v>
      </c>
      <c r="M729" t="s">
        <v>69</v>
      </c>
      <c r="N729">
        <v>19</v>
      </c>
      <c r="O729">
        <v>0</v>
      </c>
    </row>
    <row r="730" spans="1:15">
      <c r="A730">
        <v>729</v>
      </c>
      <c r="B730" t="s">
        <v>1896</v>
      </c>
      <c r="C730" t="s">
        <v>16</v>
      </c>
      <c r="D730" t="s">
        <v>33</v>
      </c>
      <c r="E730">
        <v>15.7</v>
      </c>
      <c r="F730" t="s">
        <v>56</v>
      </c>
      <c r="G730">
        <v>518</v>
      </c>
      <c r="H730" t="s">
        <v>19</v>
      </c>
      <c r="I730">
        <v>100021</v>
      </c>
      <c r="J730" t="s">
        <v>20</v>
      </c>
      <c r="K730" t="s">
        <v>1897</v>
      </c>
      <c r="L730" t="s">
        <v>1898</v>
      </c>
      <c r="M730" t="s">
        <v>117</v>
      </c>
      <c r="N730">
        <v>5</v>
      </c>
      <c r="O730">
        <v>32</v>
      </c>
    </row>
    <row r="731" spans="1:15">
      <c r="A731">
        <v>730</v>
      </c>
      <c r="B731" t="s">
        <v>1899</v>
      </c>
      <c r="C731" t="s">
        <v>39</v>
      </c>
      <c r="D731" t="s">
        <v>33</v>
      </c>
      <c r="E731">
        <v>36.299999999999997</v>
      </c>
      <c r="F731" t="s">
        <v>18</v>
      </c>
      <c r="G731">
        <v>93</v>
      </c>
      <c r="H731" t="s">
        <v>27</v>
      </c>
      <c r="I731">
        <v>53529</v>
      </c>
      <c r="J731" t="s">
        <v>20</v>
      </c>
      <c r="K731" t="s">
        <v>155</v>
      </c>
      <c r="L731" t="s">
        <v>1900</v>
      </c>
      <c r="M731" t="s">
        <v>112</v>
      </c>
      <c r="N731">
        <v>7</v>
      </c>
      <c r="O731">
        <v>105.7</v>
      </c>
    </row>
    <row r="732" spans="1:15">
      <c r="A732">
        <v>731</v>
      </c>
      <c r="B732" t="s">
        <v>1901</v>
      </c>
      <c r="C732" t="s">
        <v>133</v>
      </c>
      <c r="D732" t="s">
        <v>61</v>
      </c>
      <c r="E732">
        <v>0</v>
      </c>
      <c r="F732" t="s">
        <v>62</v>
      </c>
      <c r="G732">
        <v>306</v>
      </c>
      <c r="H732" t="s">
        <v>19</v>
      </c>
      <c r="I732">
        <v>48631</v>
      </c>
      <c r="J732" t="s">
        <v>20</v>
      </c>
      <c r="K732" t="s">
        <v>1902</v>
      </c>
      <c r="L732" t="s">
        <v>452</v>
      </c>
      <c r="M732" t="s">
        <v>59</v>
      </c>
      <c r="N732">
        <v>7</v>
      </c>
      <c r="O732">
        <v>0</v>
      </c>
    </row>
    <row r="733" spans="1:15">
      <c r="A733">
        <v>732</v>
      </c>
      <c r="B733" t="s">
        <v>1903</v>
      </c>
      <c r="C733" t="s">
        <v>133</v>
      </c>
      <c r="D733" t="s">
        <v>17</v>
      </c>
      <c r="E733">
        <v>75</v>
      </c>
      <c r="F733" t="s">
        <v>18</v>
      </c>
      <c r="G733">
        <v>43</v>
      </c>
      <c r="H733" t="s">
        <v>27</v>
      </c>
      <c r="I733">
        <v>44297</v>
      </c>
      <c r="J733" t="s">
        <v>20</v>
      </c>
      <c r="K733" t="s">
        <v>1904</v>
      </c>
      <c r="L733" t="s">
        <v>1905</v>
      </c>
      <c r="M733" t="s">
        <v>59</v>
      </c>
      <c r="N733">
        <v>18</v>
      </c>
      <c r="O733">
        <v>255</v>
      </c>
    </row>
    <row r="734" spans="1:15">
      <c r="A734">
        <v>733</v>
      </c>
      <c r="B734" t="s">
        <v>1906</v>
      </c>
      <c r="C734" t="s">
        <v>32</v>
      </c>
      <c r="D734" t="s">
        <v>17</v>
      </c>
      <c r="E734">
        <v>30</v>
      </c>
      <c r="F734" t="s">
        <v>62</v>
      </c>
      <c r="G734">
        <v>540</v>
      </c>
      <c r="H734" t="s">
        <v>19</v>
      </c>
      <c r="I734">
        <v>25491</v>
      </c>
      <c r="J734" t="s">
        <v>20</v>
      </c>
      <c r="K734" t="s">
        <v>1733</v>
      </c>
      <c r="L734" t="s">
        <v>1907</v>
      </c>
      <c r="M734" t="s">
        <v>441</v>
      </c>
      <c r="N734">
        <v>7</v>
      </c>
      <c r="O734">
        <v>96.4</v>
      </c>
    </row>
    <row r="735" spans="1:15">
      <c r="A735">
        <v>734</v>
      </c>
      <c r="B735" t="s">
        <v>1908</v>
      </c>
      <c r="C735" t="s">
        <v>158</v>
      </c>
      <c r="D735" t="s">
        <v>61</v>
      </c>
      <c r="E735">
        <v>0</v>
      </c>
      <c r="F735" t="s">
        <v>18</v>
      </c>
      <c r="G735">
        <v>288</v>
      </c>
      <c r="H735" t="s">
        <v>19</v>
      </c>
      <c r="I735">
        <v>83044</v>
      </c>
      <c r="J735" t="s">
        <v>20</v>
      </c>
      <c r="K735" t="s">
        <v>1909</v>
      </c>
      <c r="L735" t="s">
        <v>1249</v>
      </c>
      <c r="M735" t="s">
        <v>48</v>
      </c>
      <c r="N735">
        <v>14</v>
      </c>
      <c r="O735">
        <v>0</v>
      </c>
    </row>
    <row r="736" spans="1:15">
      <c r="A736">
        <v>735</v>
      </c>
      <c r="B736" t="s">
        <v>1910</v>
      </c>
      <c r="C736" t="s">
        <v>32</v>
      </c>
      <c r="D736" t="s">
        <v>17</v>
      </c>
      <c r="E736">
        <v>85.3</v>
      </c>
      <c r="F736" t="s">
        <v>56</v>
      </c>
      <c r="G736">
        <v>199</v>
      </c>
      <c r="H736" t="s">
        <v>19</v>
      </c>
      <c r="I736">
        <v>79165</v>
      </c>
      <c r="J736" t="s">
        <v>20</v>
      </c>
      <c r="K736" t="s">
        <v>1911</v>
      </c>
      <c r="L736" t="s">
        <v>918</v>
      </c>
      <c r="M736" t="s">
        <v>112</v>
      </c>
      <c r="N736">
        <v>3</v>
      </c>
      <c r="O736">
        <v>297.3</v>
      </c>
    </row>
    <row r="737" spans="1:15">
      <c r="A737">
        <v>736</v>
      </c>
      <c r="B737" t="s">
        <v>313</v>
      </c>
      <c r="C737" t="s">
        <v>123</v>
      </c>
      <c r="D737" t="s">
        <v>114</v>
      </c>
      <c r="E737">
        <v>99.5</v>
      </c>
      <c r="F737" t="s">
        <v>18</v>
      </c>
      <c r="G737">
        <v>402</v>
      </c>
      <c r="H737" t="s">
        <v>27</v>
      </c>
      <c r="I737">
        <v>50052</v>
      </c>
      <c r="J737" t="s">
        <v>20</v>
      </c>
      <c r="K737" t="s">
        <v>1912</v>
      </c>
      <c r="L737" t="s">
        <v>1232</v>
      </c>
      <c r="M737" t="s">
        <v>69</v>
      </c>
      <c r="N737">
        <v>7</v>
      </c>
      <c r="O737">
        <v>329.9</v>
      </c>
    </row>
    <row r="738" spans="1:15">
      <c r="A738">
        <v>737</v>
      </c>
      <c r="B738" t="s">
        <v>1913</v>
      </c>
      <c r="C738" t="s">
        <v>158</v>
      </c>
      <c r="D738" t="s">
        <v>40</v>
      </c>
      <c r="E738">
        <v>41.5</v>
      </c>
      <c r="F738" t="s">
        <v>41</v>
      </c>
      <c r="G738">
        <v>620</v>
      </c>
      <c r="H738" t="s">
        <v>27</v>
      </c>
      <c r="I738">
        <v>9416</v>
      </c>
      <c r="J738" t="s">
        <v>20</v>
      </c>
      <c r="K738" t="s">
        <v>1914</v>
      </c>
      <c r="L738" t="s">
        <v>1915</v>
      </c>
      <c r="M738" t="s">
        <v>54</v>
      </c>
      <c r="N738">
        <v>16</v>
      </c>
      <c r="O738">
        <v>127.9</v>
      </c>
    </row>
    <row r="739" spans="1:15">
      <c r="A739">
        <v>738</v>
      </c>
      <c r="B739" t="s">
        <v>1916</v>
      </c>
      <c r="C739" t="s">
        <v>32</v>
      </c>
      <c r="D739" t="s">
        <v>137</v>
      </c>
      <c r="E739">
        <v>15.7</v>
      </c>
      <c r="F739" t="s">
        <v>41</v>
      </c>
      <c r="G739">
        <v>500</v>
      </c>
      <c r="H739" t="s">
        <v>19</v>
      </c>
      <c r="I739">
        <v>89022</v>
      </c>
      <c r="J739" t="s">
        <v>20</v>
      </c>
      <c r="K739" t="s">
        <v>1917</v>
      </c>
      <c r="L739" t="s">
        <v>1918</v>
      </c>
      <c r="M739" t="s">
        <v>48</v>
      </c>
      <c r="N739">
        <v>3</v>
      </c>
      <c r="O739">
        <v>38.4</v>
      </c>
    </row>
    <row r="740" spans="1:15">
      <c r="A740">
        <v>739</v>
      </c>
      <c r="B740" t="s">
        <v>1919</v>
      </c>
      <c r="C740" t="s">
        <v>25</v>
      </c>
      <c r="D740" t="s">
        <v>61</v>
      </c>
      <c r="E740">
        <v>0</v>
      </c>
      <c r="F740" t="s">
        <v>56</v>
      </c>
      <c r="G740">
        <v>123</v>
      </c>
      <c r="H740" t="s">
        <v>19</v>
      </c>
      <c r="I740">
        <v>94900</v>
      </c>
      <c r="J740" t="s">
        <v>20</v>
      </c>
      <c r="K740" t="s">
        <v>1920</v>
      </c>
      <c r="L740" t="s">
        <v>1921</v>
      </c>
      <c r="M740" t="s">
        <v>441</v>
      </c>
      <c r="N740">
        <v>19</v>
      </c>
      <c r="O740">
        <v>0</v>
      </c>
    </row>
    <row r="741" spans="1:15">
      <c r="A741">
        <v>740</v>
      </c>
      <c r="B741" t="s">
        <v>625</v>
      </c>
      <c r="C741" t="s">
        <v>158</v>
      </c>
      <c r="D741" t="s">
        <v>61</v>
      </c>
      <c r="E741">
        <v>0</v>
      </c>
      <c r="F741" t="s">
        <v>26</v>
      </c>
      <c r="G741">
        <v>57</v>
      </c>
      <c r="H741" t="s">
        <v>19</v>
      </c>
      <c r="I741">
        <v>47483</v>
      </c>
      <c r="J741" t="s">
        <v>20</v>
      </c>
      <c r="K741" t="s">
        <v>1922</v>
      </c>
      <c r="L741" t="s">
        <v>1129</v>
      </c>
      <c r="M741" t="s">
        <v>59</v>
      </c>
      <c r="N741">
        <v>7</v>
      </c>
      <c r="O741">
        <v>0</v>
      </c>
    </row>
    <row r="742" spans="1:15">
      <c r="A742">
        <v>741</v>
      </c>
      <c r="B742" t="s">
        <v>1761</v>
      </c>
      <c r="C742" t="s">
        <v>158</v>
      </c>
      <c r="D742" t="s">
        <v>114</v>
      </c>
      <c r="E742">
        <v>42.8</v>
      </c>
      <c r="F742" t="s">
        <v>26</v>
      </c>
      <c r="G742">
        <v>185</v>
      </c>
      <c r="H742" t="s">
        <v>19</v>
      </c>
      <c r="I742">
        <v>7614</v>
      </c>
      <c r="J742" t="s">
        <v>20</v>
      </c>
      <c r="K742" t="s">
        <v>1923</v>
      </c>
      <c r="L742" t="s">
        <v>1924</v>
      </c>
      <c r="M742" t="s">
        <v>121</v>
      </c>
      <c r="N742">
        <v>13</v>
      </c>
      <c r="O742">
        <v>92.9</v>
      </c>
    </row>
    <row r="743" spans="1:15">
      <c r="A743">
        <v>742</v>
      </c>
      <c r="B743" t="s">
        <v>1925</v>
      </c>
      <c r="C743" t="s">
        <v>32</v>
      </c>
      <c r="D743" t="s">
        <v>17</v>
      </c>
      <c r="E743">
        <v>95.8</v>
      </c>
      <c r="F743" t="s">
        <v>26</v>
      </c>
      <c r="G743">
        <v>441</v>
      </c>
      <c r="H743" t="s">
        <v>27</v>
      </c>
      <c r="I743">
        <v>91077</v>
      </c>
      <c r="J743" t="s">
        <v>20</v>
      </c>
      <c r="K743" t="s">
        <v>1926</v>
      </c>
      <c r="L743" t="s">
        <v>1927</v>
      </c>
      <c r="M743" t="s">
        <v>69</v>
      </c>
      <c r="N743">
        <v>8</v>
      </c>
      <c r="O743">
        <v>270.39999999999998</v>
      </c>
    </row>
    <row r="744" spans="1:15">
      <c r="A744">
        <v>743</v>
      </c>
      <c r="B744" t="s">
        <v>1928</v>
      </c>
      <c r="C744" t="s">
        <v>39</v>
      </c>
      <c r="D744" t="s">
        <v>114</v>
      </c>
      <c r="E744">
        <v>79.599999999999994</v>
      </c>
      <c r="F744" t="s">
        <v>26</v>
      </c>
      <c r="G744">
        <v>509</v>
      </c>
      <c r="H744" t="s">
        <v>19</v>
      </c>
      <c r="I744">
        <v>6114</v>
      </c>
      <c r="J744" t="s">
        <v>20</v>
      </c>
      <c r="K744" t="s">
        <v>1929</v>
      </c>
      <c r="L744" t="s">
        <v>639</v>
      </c>
      <c r="M744" t="s">
        <v>121</v>
      </c>
      <c r="N744">
        <v>3</v>
      </c>
      <c r="O744">
        <v>165.2</v>
      </c>
    </row>
    <row r="745" spans="1:15">
      <c r="A745">
        <v>744</v>
      </c>
      <c r="B745" t="s">
        <v>1930</v>
      </c>
      <c r="C745" t="s">
        <v>32</v>
      </c>
      <c r="D745" t="s">
        <v>33</v>
      </c>
      <c r="E745">
        <v>86.3</v>
      </c>
      <c r="F745" t="s">
        <v>62</v>
      </c>
      <c r="G745">
        <v>574</v>
      </c>
      <c r="H745" t="s">
        <v>27</v>
      </c>
      <c r="I745">
        <v>14356</v>
      </c>
      <c r="J745" t="s">
        <v>20</v>
      </c>
      <c r="K745" t="s">
        <v>1931</v>
      </c>
      <c r="L745" t="s">
        <v>924</v>
      </c>
      <c r="M745" t="s">
        <v>59</v>
      </c>
      <c r="N745">
        <v>3</v>
      </c>
      <c r="O745">
        <v>202.3</v>
      </c>
    </row>
    <row r="746" spans="1:15">
      <c r="A746">
        <v>745</v>
      </c>
      <c r="B746" t="s">
        <v>1932</v>
      </c>
      <c r="C746" t="s">
        <v>158</v>
      </c>
      <c r="D746" t="s">
        <v>137</v>
      </c>
      <c r="E746">
        <v>15.1</v>
      </c>
      <c r="F746" t="s">
        <v>41</v>
      </c>
      <c r="G746">
        <v>630</v>
      </c>
      <c r="H746" t="s">
        <v>27</v>
      </c>
      <c r="I746">
        <v>89041</v>
      </c>
      <c r="J746" t="s">
        <v>20</v>
      </c>
      <c r="K746" t="s">
        <v>1933</v>
      </c>
      <c r="L746" t="s">
        <v>1934</v>
      </c>
      <c r="M746" t="s">
        <v>117</v>
      </c>
      <c r="N746">
        <v>15</v>
      </c>
      <c r="O746">
        <v>42.7</v>
      </c>
    </row>
    <row r="747" spans="1:15">
      <c r="A747">
        <v>746</v>
      </c>
      <c r="B747" t="s">
        <v>1935</v>
      </c>
      <c r="C747" t="s">
        <v>50</v>
      </c>
      <c r="D747" t="s">
        <v>137</v>
      </c>
      <c r="E747">
        <v>51.6</v>
      </c>
      <c r="F747" t="s">
        <v>56</v>
      </c>
      <c r="G747">
        <v>601</v>
      </c>
      <c r="H747" t="s">
        <v>27</v>
      </c>
      <c r="I747">
        <v>118097</v>
      </c>
      <c r="J747" t="s">
        <v>20</v>
      </c>
      <c r="K747" t="s">
        <v>1936</v>
      </c>
      <c r="L747" t="s">
        <v>1886</v>
      </c>
      <c r="N747">
        <v>7</v>
      </c>
      <c r="O747">
        <v>177.4</v>
      </c>
    </row>
    <row r="748" spans="1:15">
      <c r="A748">
        <v>747</v>
      </c>
      <c r="B748" t="s">
        <v>1937</v>
      </c>
      <c r="C748" t="s">
        <v>39</v>
      </c>
      <c r="D748" t="s">
        <v>61</v>
      </c>
      <c r="E748">
        <v>0</v>
      </c>
      <c r="F748" t="s">
        <v>56</v>
      </c>
      <c r="G748">
        <v>467</v>
      </c>
      <c r="H748" t="s">
        <v>19</v>
      </c>
      <c r="I748">
        <v>16001</v>
      </c>
      <c r="J748" t="s">
        <v>20</v>
      </c>
      <c r="K748" t="s">
        <v>1938</v>
      </c>
      <c r="L748" t="s">
        <v>770</v>
      </c>
      <c r="M748" t="s">
        <v>121</v>
      </c>
      <c r="N748">
        <v>17</v>
      </c>
      <c r="O748">
        <v>0</v>
      </c>
    </row>
    <row r="749" spans="1:15">
      <c r="A749">
        <v>748</v>
      </c>
      <c r="B749" t="s">
        <v>1939</v>
      </c>
      <c r="C749" t="s">
        <v>25</v>
      </c>
      <c r="D749" t="s">
        <v>137</v>
      </c>
      <c r="E749">
        <v>38.9</v>
      </c>
      <c r="F749" t="s">
        <v>41</v>
      </c>
      <c r="G749">
        <v>85</v>
      </c>
      <c r="H749" t="s">
        <v>19</v>
      </c>
      <c r="I749">
        <v>38861</v>
      </c>
      <c r="J749" t="s">
        <v>20</v>
      </c>
      <c r="K749" t="s">
        <v>1940</v>
      </c>
      <c r="L749" t="s">
        <v>1941</v>
      </c>
      <c r="M749" t="s">
        <v>121</v>
      </c>
      <c r="N749">
        <v>10</v>
      </c>
      <c r="O749">
        <v>92.7</v>
      </c>
    </row>
    <row r="750" spans="1:15">
      <c r="A750">
        <v>749</v>
      </c>
      <c r="B750" t="s">
        <v>1942</v>
      </c>
      <c r="C750" t="s">
        <v>39</v>
      </c>
      <c r="D750" t="s">
        <v>114</v>
      </c>
      <c r="E750">
        <v>50.3</v>
      </c>
      <c r="F750" t="s">
        <v>56</v>
      </c>
      <c r="G750">
        <v>437</v>
      </c>
      <c r="H750" t="s">
        <v>19</v>
      </c>
      <c r="I750">
        <v>99103</v>
      </c>
      <c r="J750" t="s">
        <v>20</v>
      </c>
      <c r="K750" t="s">
        <v>1943</v>
      </c>
      <c r="L750" t="s">
        <v>1224</v>
      </c>
      <c r="M750" t="s">
        <v>48</v>
      </c>
      <c r="N750">
        <v>12</v>
      </c>
      <c r="O750">
        <v>128.80000000000001</v>
      </c>
    </row>
    <row r="751" spans="1:15">
      <c r="A751">
        <v>750</v>
      </c>
      <c r="B751" t="s">
        <v>1944</v>
      </c>
      <c r="C751" t="s">
        <v>50</v>
      </c>
      <c r="D751" t="s">
        <v>40</v>
      </c>
      <c r="E751">
        <v>68.7</v>
      </c>
      <c r="F751" t="s">
        <v>26</v>
      </c>
      <c r="G751">
        <v>665</v>
      </c>
      <c r="H751" t="s">
        <v>19</v>
      </c>
      <c r="I751">
        <v>57827</v>
      </c>
      <c r="J751" t="s">
        <v>20</v>
      </c>
      <c r="K751" t="s">
        <v>446</v>
      </c>
      <c r="L751" t="s">
        <v>636</v>
      </c>
      <c r="M751" t="s">
        <v>69</v>
      </c>
      <c r="N751">
        <v>3</v>
      </c>
      <c r="O751">
        <v>238.8</v>
      </c>
    </row>
    <row r="752" spans="1:15">
      <c r="A752">
        <v>751</v>
      </c>
      <c r="B752" t="s">
        <v>1945</v>
      </c>
      <c r="C752" t="s">
        <v>123</v>
      </c>
      <c r="D752" t="s">
        <v>137</v>
      </c>
      <c r="E752">
        <v>41.5</v>
      </c>
      <c r="F752" t="s">
        <v>41</v>
      </c>
      <c r="G752">
        <v>445</v>
      </c>
      <c r="H752" t="s">
        <v>27</v>
      </c>
      <c r="I752">
        <v>50887</v>
      </c>
      <c r="J752" t="s">
        <v>20</v>
      </c>
      <c r="K752" t="s">
        <v>1946</v>
      </c>
      <c r="L752" t="s">
        <v>1947</v>
      </c>
      <c r="M752" t="s">
        <v>48</v>
      </c>
      <c r="N752">
        <v>15</v>
      </c>
      <c r="O752">
        <v>101.8</v>
      </c>
    </row>
    <row r="753" spans="1:15">
      <c r="A753">
        <v>752</v>
      </c>
      <c r="B753" t="s">
        <v>1948</v>
      </c>
      <c r="C753" t="s">
        <v>133</v>
      </c>
      <c r="D753" t="s">
        <v>137</v>
      </c>
      <c r="E753">
        <v>74.900000000000006</v>
      </c>
      <c r="F753" t="s">
        <v>18</v>
      </c>
      <c r="G753">
        <v>145</v>
      </c>
      <c r="H753" t="s">
        <v>19</v>
      </c>
      <c r="I753">
        <v>91915</v>
      </c>
      <c r="J753" t="s">
        <v>20</v>
      </c>
      <c r="K753" t="s">
        <v>1949</v>
      </c>
      <c r="L753" t="s">
        <v>788</v>
      </c>
      <c r="M753" t="s">
        <v>117</v>
      </c>
      <c r="N753">
        <v>2</v>
      </c>
      <c r="O753">
        <v>252.6</v>
      </c>
    </row>
    <row r="754" spans="1:15">
      <c r="A754">
        <v>753</v>
      </c>
      <c r="B754" t="s">
        <v>1950</v>
      </c>
      <c r="C754" t="s">
        <v>25</v>
      </c>
      <c r="D754" t="s">
        <v>61</v>
      </c>
      <c r="E754">
        <v>0</v>
      </c>
      <c r="F754" t="s">
        <v>18</v>
      </c>
      <c r="G754">
        <v>84</v>
      </c>
      <c r="H754" t="s">
        <v>27</v>
      </c>
      <c r="I754">
        <v>101642</v>
      </c>
      <c r="J754" t="s">
        <v>20</v>
      </c>
      <c r="K754" t="s">
        <v>1951</v>
      </c>
      <c r="L754" t="s">
        <v>1952</v>
      </c>
      <c r="N754">
        <v>11</v>
      </c>
      <c r="O754">
        <v>0</v>
      </c>
    </row>
    <row r="755" spans="1:15">
      <c r="A755">
        <v>754</v>
      </c>
      <c r="B755" t="s">
        <v>1953</v>
      </c>
      <c r="C755" t="s">
        <v>123</v>
      </c>
      <c r="D755" t="s">
        <v>17</v>
      </c>
      <c r="E755">
        <v>99.4</v>
      </c>
      <c r="F755" t="s">
        <v>62</v>
      </c>
      <c r="G755">
        <v>264</v>
      </c>
      <c r="H755" t="s">
        <v>19</v>
      </c>
      <c r="I755">
        <v>17380</v>
      </c>
      <c r="J755" t="s">
        <v>20</v>
      </c>
      <c r="K755" t="s">
        <v>1954</v>
      </c>
      <c r="L755" t="s">
        <v>1860</v>
      </c>
      <c r="M755" t="s">
        <v>54</v>
      </c>
      <c r="N755">
        <v>6</v>
      </c>
      <c r="O755">
        <v>248.7</v>
      </c>
    </row>
    <row r="756" spans="1:15">
      <c r="A756">
        <v>755</v>
      </c>
      <c r="B756" t="s">
        <v>1692</v>
      </c>
      <c r="C756" t="s">
        <v>123</v>
      </c>
      <c r="D756" t="s">
        <v>33</v>
      </c>
      <c r="E756">
        <v>40.799999999999997</v>
      </c>
      <c r="F756" t="s">
        <v>62</v>
      </c>
      <c r="G756">
        <v>109</v>
      </c>
      <c r="H756" t="s">
        <v>19</v>
      </c>
      <c r="I756">
        <v>8392</v>
      </c>
      <c r="J756" t="s">
        <v>20</v>
      </c>
      <c r="K756" t="s">
        <v>1955</v>
      </c>
      <c r="L756" t="s">
        <v>1956</v>
      </c>
      <c r="M756" t="s">
        <v>441</v>
      </c>
      <c r="N756">
        <v>14</v>
      </c>
      <c r="O756">
        <v>132.9</v>
      </c>
    </row>
    <row r="757" spans="1:15">
      <c r="A757">
        <v>756</v>
      </c>
      <c r="B757" t="s">
        <v>1957</v>
      </c>
      <c r="C757" t="s">
        <v>25</v>
      </c>
      <c r="D757" t="s">
        <v>61</v>
      </c>
      <c r="E757">
        <v>0</v>
      </c>
      <c r="F757" t="s">
        <v>62</v>
      </c>
      <c r="G757">
        <v>543</v>
      </c>
      <c r="H757" t="s">
        <v>27</v>
      </c>
      <c r="I757">
        <v>78827</v>
      </c>
      <c r="J757" t="s">
        <v>20</v>
      </c>
      <c r="K757" t="s">
        <v>1902</v>
      </c>
      <c r="L757" t="s">
        <v>1958</v>
      </c>
      <c r="M757" t="s">
        <v>59</v>
      </c>
      <c r="N757">
        <v>17</v>
      </c>
      <c r="O757">
        <v>0</v>
      </c>
    </row>
    <row r="758" spans="1:15">
      <c r="A758">
        <v>757</v>
      </c>
      <c r="B758" t="s">
        <v>1959</v>
      </c>
      <c r="C758" t="s">
        <v>25</v>
      </c>
      <c r="D758" t="s">
        <v>40</v>
      </c>
      <c r="E758">
        <v>59.5</v>
      </c>
      <c r="F758" t="s">
        <v>18</v>
      </c>
      <c r="G758">
        <v>85</v>
      </c>
      <c r="H758" t="s">
        <v>19</v>
      </c>
      <c r="I758">
        <v>56968</v>
      </c>
      <c r="J758" t="s">
        <v>20</v>
      </c>
      <c r="K758" t="s">
        <v>1960</v>
      </c>
      <c r="L758" t="s">
        <v>1961</v>
      </c>
      <c r="M758" t="s">
        <v>54</v>
      </c>
      <c r="N758">
        <v>12</v>
      </c>
      <c r="O758">
        <v>120</v>
      </c>
    </row>
    <row r="759" spans="1:15">
      <c r="A759">
        <v>758</v>
      </c>
      <c r="B759" t="s">
        <v>1962</v>
      </c>
      <c r="C759" t="s">
        <v>133</v>
      </c>
      <c r="D759" t="s">
        <v>33</v>
      </c>
      <c r="E759">
        <v>5.4</v>
      </c>
      <c r="F759" t="s">
        <v>26</v>
      </c>
      <c r="G759">
        <v>105</v>
      </c>
      <c r="H759" t="s">
        <v>19</v>
      </c>
      <c r="I759">
        <v>92884</v>
      </c>
      <c r="J759" t="s">
        <v>20</v>
      </c>
      <c r="K759" t="s">
        <v>1481</v>
      </c>
      <c r="L759" t="s">
        <v>1963</v>
      </c>
      <c r="M759" t="s">
        <v>121</v>
      </c>
      <c r="N759">
        <v>2</v>
      </c>
      <c r="O759">
        <v>17.7</v>
      </c>
    </row>
    <row r="760" spans="1:15">
      <c r="A760">
        <v>759</v>
      </c>
      <c r="B760" t="s">
        <v>1964</v>
      </c>
      <c r="C760" t="s">
        <v>25</v>
      </c>
      <c r="D760" t="s">
        <v>61</v>
      </c>
      <c r="E760">
        <v>0</v>
      </c>
      <c r="F760" t="s">
        <v>62</v>
      </c>
      <c r="G760">
        <v>254</v>
      </c>
      <c r="H760" t="s">
        <v>27</v>
      </c>
      <c r="I760">
        <v>119571</v>
      </c>
      <c r="J760" t="s">
        <v>20</v>
      </c>
      <c r="K760" t="s">
        <v>1965</v>
      </c>
      <c r="L760" t="s">
        <v>1966</v>
      </c>
      <c r="M760" t="s">
        <v>54</v>
      </c>
      <c r="N760">
        <v>1</v>
      </c>
      <c r="O760">
        <v>0</v>
      </c>
    </row>
    <row r="761" spans="1:15">
      <c r="A761">
        <v>760</v>
      </c>
      <c r="B761" t="s">
        <v>1967</v>
      </c>
      <c r="C761" t="s">
        <v>50</v>
      </c>
      <c r="D761" t="s">
        <v>33</v>
      </c>
      <c r="E761">
        <v>90.4</v>
      </c>
      <c r="F761" t="s">
        <v>26</v>
      </c>
      <c r="G761">
        <v>57</v>
      </c>
      <c r="H761" t="s">
        <v>19</v>
      </c>
      <c r="I761">
        <v>112241</v>
      </c>
      <c r="J761" t="s">
        <v>20</v>
      </c>
      <c r="K761" t="s">
        <v>507</v>
      </c>
      <c r="L761" t="s">
        <v>1968</v>
      </c>
      <c r="M761" t="s">
        <v>441</v>
      </c>
      <c r="N761">
        <v>13</v>
      </c>
      <c r="O761">
        <v>289.2</v>
      </c>
    </row>
    <row r="762" spans="1:15">
      <c r="A762">
        <v>761</v>
      </c>
      <c r="B762" t="s">
        <v>1969</v>
      </c>
      <c r="C762" t="s">
        <v>123</v>
      </c>
      <c r="D762" t="s">
        <v>17</v>
      </c>
      <c r="E762">
        <v>66.7</v>
      </c>
      <c r="F762" t="s">
        <v>62</v>
      </c>
      <c r="G762">
        <v>323</v>
      </c>
      <c r="H762" t="s">
        <v>19</v>
      </c>
      <c r="I762">
        <v>67773</v>
      </c>
      <c r="J762" t="s">
        <v>20</v>
      </c>
      <c r="K762" t="s">
        <v>985</v>
      </c>
      <c r="L762" t="s">
        <v>1970</v>
      </c>
      <c r="M762" t="s">
        <v>54</v>
      </c>
      <c r="N762">
        <v>3</v>
      </c>
      <c r="O762">
        <v>209.3</v>
      </c>
    </row>
    <row r="763" spans="1:15">
      <c r="A763">
        <v>762</v>
      </c>
      <c r="B763" t="s">
        <v>1971</v>
      </c>
      <c r="C763" t="s">
        <v>50</v>
      </c>
      <c r="D763" t="s">
        <v>114</v>
      </c>
      <c r="E763">
        <v>24.6</v>
      </c>
      <c r="F763" t="s">
        <v>26</v>
      </c>
      <c r="G763">
        <v>292</v>
      </c>
      <c r="H763" t="s">
        <v>27</v>
      </c>
      <c r="I763">
        <v>116388</v>
      </c>
      <c r="J763" t="s">
        <v>20</v>
      </c>
      <c r="K763" t="s">
        <v>1972</v>
      </c>
      <c r="L763" t="s">
        <v>930</v>
      </c>
      <c r="M763" t="s">
        <v>69</v>
      </c>
      <c r="N763">
        <v>15</v>
      </c>
      <c r="O763">
        <v>54.6</v>
      </c>
    </row>
    <row r="764" spans="1:15">
      <c r="A764">
        <v>763</v>
      </c>
      <c r="B764" t="s">
        <v>1973</v>
      </c>
      <c r="C764" t="s">
        <v>133</v>
      </c>
      <c r="D764" t="s">
        <v>114</v>
      </c>
      <c r="E764">
        <v>43.8</v>
      </c>
      <c r="F764" t="s">
        <v>56</v>
      </c>
      <c r="G764">
        <v>495</v>
      </c>
      <c r="H764" t="s">
        <v>27</v>
      </c>
      <c r="I764">
        <v>102442</v>
      </c>
      <c r="J764" t="s">
        <v>20</v>
      </c>
      <c r="K764" t="s">
        <v>1974</v>
      </c>
      <c r="L764" t="s">
        <v>1630</v>
      </c>
      <c r="M764" t="s">
        <v>86</v>
      </c>
      <c r="N764">
        <v>5</v>
      </c>
      <c r="O764">
        <v>133.4</v>
      </c>
    </row>
    <row r="765" spans="1:15">
      <c r="A765">
        <v>764</v>
      </c>
      <c r="B765" t="s">
        <v>1975</v>
      </c>
      <c r="C765" t="s">
        <v>133</v>
      </c>
      <c r="D765" t="s">
        <v>17</v>
      </c>
      <c r="E765">
        <v>43.8</v>
      </c>
      <c r="F765" t="s">
        <v>62</v>
      </c>
      <c r="G765">
        <v>656</v>
      </c>
      <c r="H765" t="s">
        <v>19</v>
      </c>
      <c r="I765">
        <v>71132</v>
      </c>
      <c r="J765" t="s">
        <v>20</v>
      </c>
      <c r="K765" t="s">
        <v>1976</v>
      </c>
      <c r="L765" t="s">
        <v>1977</v>
      </c>
      <c r="M765" t="s">
        <v>48</v>
      </c>
      <c r="N765">
        <v>14</v>
      </c>
      <c r="O765">
        <v>105.2</v>
      </c>
    </row>
    <row r="766" spans="1:15">
      <c r="A766">
        <v>765</v>
      </c>
      <c r="B766" t="s">
        <v>1978</v>
      </c>
      <c r="C766" t="s">
        <v>133</v>
      </c>
      <c r="D766" t="s">
        <v>17</v>
      </c>
      <c r="E766">
        <v>25.6</v>
      </c>
      <c r="F766" t="s">
        <v>18</v>
      </c>
      <c r="G766">
        <v>387</v>
      </c>
      <c r="H766" t="s">
        <v>27</v>
      </c>
      <c r="I766">
        <v>52335</v>
      </c>
      <c r="J766" t="s">
        <v>20</v>
      </c>
      <c r="K766" t="s">
        <v>1544</v>
      </c>
      <c r="L766" t="s">
        <v>1348</v>
      </c>
      <c r="M766" t="s">
        <v>48</v>
      </c>
      <c r="N766">
        <v>8</v>
      </c>
      <c r="O766">
        <v>67.5</v>
      </c>
    </row>
    <row r="767" spans="1:15">
      <c r="A767">
        <v>766</v>
      </c>
      <c r="B767" t="s">
        <v>823</v>
      </c>
      <c r="C767" t="s">
        <v>16</v>
      </c>
      <c r="D767" t="s">
        <v>33</v>
      </c>
      <c r="E767">
        <v>38.4</v>
      </c>
      <c r="F767" t="s">
        <v>26</v>
      </c>
      <c r="G767">
        <v>618</v>
      </c>
      <c r="H767" t="s">
        <v>19</v>
      </c>
      <c r="I767">
        <v>115570</v>
      </c>
      <c r="J767" t="s">
        <v>20</v>
      </c>
      <c r="K767" t="s">
        <v>1979</v>
      </c>
      <c r="L767" t="s">
        <v>717</v>
      </c>
      <c r="M767" t="s">
        <v>117</v>
      </c>
      <c r="N767">
        <v>20</v>
      </c>
      <c r="O767">
        <v>118.1</v>
      </c>
    </row>
    <row r="768" spans="1:15">
      <c r="A768">
        <v>767</v>
      </c>
      <c r="B768" t="s">
        <v>1980</v>
      </c>
      <c r="C768" t="s">
        <v>32</v>
      </c>
      <c r="D768" t="s">
        <v>33</v>
      </c>
      <c r="E768">
        <v>43.5</v>
      </c>
      <c r="F768" t="s">
        <v>26</v>
      </c>
      <c r="G768">
        <v>403</v>
      </c>
      <c r="H768" t="s">
        <v>19</v>
      </c>
      <c r="I768">
        <v>104207</v>
      </c>
      <c r="J768" t="s">
        <v>20</v>
      </c>
      <c r="K768" t="s">
        <v>1981</v>
      </c>
      <c r="L768" t="s">
        <v>1918</v>
      </c>
      <c r="M768" t="s">
        <v>86</v>
      </c>
      <c r="N768">
        <v>13</v>
      </c>
      <c r="O768">
        <v>126.9</v>
      </c>
    </row>
    <row r="769" spans="1:15">
      <c r="A769">
        <v>768</v>
      </c>
      <c r="B769" t="s">
        <v>1982</v>
      </c>
      <c r="C769" t="s">
        <v>32</v>
      </c>
      <c r="D769" t="s">
        <v>33</v>
      </c>
      <c r="E769">
        <v>50.2</v>
      </c>
      <c r="F769" t="s">
        <v>18</v>
      </c>
      <c r="G769">
        <v>31</v>
      </c>
      <c r="H769" t="s">
        <v>27</v>
      </c>
      <c r="I769">
        <v>114096</v>
      </c>
      <c r="J769" t="s">
        <v>20</v>
      </c>
      <c r="K769" t="s">
        <v>232</v>
      </c>
      <c r="L769" t="s">
        <v>872</v>
      </c>
      <c r="M769" t="s">
        <v>441</v>
      </c>
      <c r="N769">
        <v>18</v>
      </c>
      <c r="O769">
        <v>114</v>
      </c>
    </row>
    <row r="770" spans="1:15">
      <c r="A770">
        <v>769</v>
      </c>
      <c r="B770" t="s">
        <v>1983</v>
      </c>
      <c r="C770" t="s">
        <v>133</v>
      </c>
      <c r="D770" t="s">
        <v>114</v>
      </c>
      <c r="E770">
        <v>78.599999999999994</v>
      </c>
      <c r="F770" t="s">
        <v>56</v>
      </c>
      <c r="G770">
        <v>241</v>
      </c>
      <c r="H770" t="s">
        <v>19</v>
      </c>
      <c r="I770">
        <v>40791</v>
      </c>
      <c r="J770" t="s">
        <v>20</v>
      </c>
      <c r="K770" t="s">
        <v>1984</v>
      </c>
      <c r="L770" t="s">
        <v>1842</v>
      </c>
      <c r="M770" t="s">
        <v>441</v>
      </c>
      <c r="N770">
        <v>18</v>
      </c>
      <c r="O770">
        <v>164.7</v>
      </c>
    </row>
    <row r="771" spans="1:15">
      <c r="A771">
        <v>770</v>
      </c>
      <c r="B771" t="s">
        <v>1985</v>
      </c>
      <c r="C771" t="s">
        <v>16</v>
      </c>
      <c r="D771" t="s">
        <v>61</v>
      </c>
      <c r="E771">
        <v>0</v>
      </c>
      <c r="F771" t="s">
        <v>62</v>
      </c>
      <c r="G771">
        <v>293</v>
      </c>
      <c r="H771" t="s">
        <v>19</v>
      </c>
      <c r="I771">
        <v>115237</v>
      </c>
      <c r="J771" t="s">
        <v>20</v>
      </c>
      <c r="K771" t="s">
        <v>1986</v>
      </c>
      <c r="L771" t="s">
        <v>1047</v>
      </c>
      <c r="N771">
        <v>3</v>
      </c>
      <c r="O771">
        <v>0</v>
      </c>
    </row>
    <row r="772" spans="1:15">
      <c r="A772">
        <v>771</v>
      </c>
      <c r="B772" t="s">
        <v>1987</v>
      </c>
      <c r="C772" t="s">
        <v>16</v>
      </c>
      <c r="D772" t="s">
        <v>17</v>
      </c>
      <c r="E772">
        <v>37.1</v>
      </c>
      <c r="F772" t="s">
        <v>18</v>
      </c>
      <c r="G772">
        <v>113</v>
      </c>
      <c r="H772" t="s">
        <v>19</v>
      </c>
      <c r="I772">
        <v>43963</v>
      </c>
      <c r="J772" t="s">
        <v>20</v>
      </c>
      <c r="K772" t="s">
        <v>1988</v>
      </c>
      <c r="L772" t="s">
        <v>1989</v>
      </c>
      <c r="M772" t="s">
        <v>48</v>
      </c>
      <c r="N772">
        <v>18</v>
      </c>
      <c r="O772">
        <v>82.4</v>
      </c>
    </row>
    <row r="773" spans="1:15">
      <c r="A773">
        <v>772</v>
      </c>
      <c r="B773" t="s">
        <v>1990</v>
      </c>
      <c r="C773" t="s">
        <v>39</v>
      </c>
      <c r="D773" t="s">
        <v>114</v>
      </c>
      <c r="E773">
        <v>7.4</v>
      </c>
      <c r="F773" t="s">
        <v>26</v>
      </c>
      <c r="G773">
        <v>440</v>
      </c>
      <c r="H773" t="s">
        <v>27</v>
      </c>
      <c r="I773">
        <v>75548</v>
      </c>
      <c r="J773" t="s">
        <v>20</v>
      </c>
      <c r="K773" t="s">
        <v>1991</v>
      </c>
      <c r="L773" t="s">
        <v>1471</v>
      </c>
      <c r="M773" t="s">
        <v>86</v>
      </c>
      <c r="N773">
        <v>3</v>
      </c>
      <c r="O773">
        <v>20.2</v>
      </c>
    </row>
    <row r="774" spans="1:15">
      <c r="A774">
        <v>773</v>
      </c>
      <c r="B774" t="s">
        <v>1992</v>
      </c>
      <c r="C774" t="s">
        <v>50</v>
      </c>
      <c r="D774" t="s">
        <v>137</v>
      </c>
      <c r="E774">
        <v>24.7</v>
      </c>
      <c r="F774" t="s">
        <v>18</v>
      </c>
      <c r="G774">
        <v>156</v>
      </c>
      <c r="H774" t="s">
        <v>19</v>
      </c>
      <c r="I774">
        <v>37688</v>
      </c>
      <c r="J774" t="s">
        <v>20</v>
      </c>
      <c r="K774" t="s">
        <v>1993</v>
      </c>
      <c r="L774" t="s">
        <v>1994</v>
      </c>
      <c r="M774" t="s">
        <v>112</v>
      </c>
      <c r="N774">
        <v>16</v>
      </c>
      <c r="O774">
        <v>83.2</v>
      </c>
    </row>
    <row r="775" spans="1:15">
      <c r="A775">
        <v>774</v>
      </c>
      <c r="B775" t="s">
        <v>548</v>
      </c>
      <c r="C775" t="s">
        <v>123</v>
      </c>
      <c r="D775" t="s">
        <v>17</v>
      </c>
      <c r="E775">
        <v>45.2</v>
      </c>
      <c r="F775" t="s">
        <v>62</v>
      </c>
      <c r="G775">
        <v>94</v>
      </c>
      <c r="H775" t="s">
        <v>27</v>
      </c>
      <c r="I775">
        <v>55571</v>
      </c>
      <c r="J775" t="s">
        <v>20</v>
      </c>
      <c r="K775" t="s">
        <v>1487</v>
      </c>
      <c r="L775" t="s">
        <v>652</v>
      </c>
      <c r="M775" t="s">
        <v>69</v>
      </c>
      <c r="N775">
        <v>1</v>
      </c>
      <c r="O775">
        <v>154</v>
      </c>
    </row>
    <row r="776" spans="1:15">
      <c r="A776">
        <v>775</v>
      </c>
      <c r="B776" t="s">
        <v>1995</v>
      </c>
      <c r="C776" t="s">
        <v>39</v>
      </c>
      <c r="D776" t="s">
        <v>137</v>
      </c>
      <c r="E776">
        <v>75.900000000000006</v>
      </c>
      <c r="F776" t="s">
        <v>26</v>
      </c>
      <c r="G776">
        <v>580</v>
      </c>
      <c r="H776" t="s">
        <v>19</v>
      </c>
      <c r="I776">
        <v>77004</v>
      </c>
      <c r="J776" t="s">
        <v>20</v>
      </c>
      <c r="K776" t="s">
        <v>1996</v>
      </c>
      <c r="L776" t="s">
        <v>558</v>
      </c>
      <c r="M776" t="s">
        <v>121</v>
      </c>
      <c r="N776">
        <v>18</v>
      </c>
      <c r="O776">
        <v>204</v>
      </c>
    </row>
    <row r="777" spans="1:15">
      <c r="A777">
        <v>776</v>
      </c>
      <c r="B777" t="s">
        <v>1168</v>
      </c>
      <c r="C777" t="s">
        <v>16</v>
      </c>
      <c r="D777" t="s">
        <v>40</v>
      </c>
      <c r="E777">
        <v>44</v>
      </c>
      <c r="F777" t="s">
        <v>26</v>
      </c>
      <c r="G777">
        <v>234</v>
      </c>
      <c r="H777" t="s">
        <v>19</v>
      </c>
      <c r="I777">
        <v>63586</v>
      </c>
      <c r="J777" t="s">
        <v>20</v>
      </c>
      <c r="K777" t="s">
        <v>1997</v>
      </c>
      <c r="L777" t="s">
        <v>1998</v>
      </c>
      <c r="M777" t="s">
        <v>117</v>
      </c>
      <c r="N777">
        <v>12</v>
      </c>
      <c r="O777">
        <v>127</v>
      </c>
    </row>
    <row r="778" spans="1:15">
      <c r="A778">
        <v>777</v>
      </c>
      <c r="B778" t="s">
        <v>1999</v>
      </c>
      <c r="C778" t="s">
        <v>123</v>
      </c>
      <c r="D778" t="s">
        <v>61</v>
      </c>
      <c r="E778">
        <v>0</v>
      </c>
      <c r="F778" t="s">
        <v>62</v>
      </c>
      <c r="G778">
        <v>103</v>
      </c>
      <c r="H778" t="s">
        <v>19</v>
      </c>
      <c r="I778">
        <v>69679</v>
      </c>
      <c r="J778" t="s">
        <v>20</v>
      </c>
      <c r="K778" t="s">
        <v>2000</v>
      </c>
      <c r="L778" t="s">
        <v>1119</v>
      </c>
      <c r="M778" t="s">
        <v>441</v>
      </c>
      <c r="N778">
        <v>7</v>
      </c>
      <c r="O778">
        <v>0</v>
      </c>
    </row>
    <row r="779" spans="1:15">
      <c r="A779">
        <v>778</v>
      </c>
      <c r="B779" t="s">
        <v>2001</v>
      </c>
      <c r="C779" t="s">
        <v>133</v>
      </c>
      <c r="D779" t="s">
        <v>114</v>
      </c>
      <c r="E779">
        <v>13.7</v>
      </c>
      <c r="F779" t="s">
        <v>18</v>
      </c>
      <c r="G779">
        <v>641</v>
      </c>
      <c r="H779" t="s">
        <v>27</v>
      </c>
      <c r="I779">
        <v>113361</v>
      </c>
      <c r="J779" t="s">
        <v>20</v>
      </c>
      <c r="K779" t="s">
        <v>2002</v>
      </c>
      <c r="L779" t="s">
        <v>2003</v>
      </c>
      <c r="M779" t="s">
        <v>86</v>
      </c>
      <c r="N779">
        <v>10</v>
      </c>
      <c r="O779">
        <v>27.8</v>
      </c>
    </row>
    <row r="780" spans="1:15">
      <c r="A780">
        <v>779</v>
      </c>
      <c r="B780" t="s">
        <v>2004</v>
      </c>
      <c r="C780" t="s">
        <v>158</v>
      </c>
      <c r="D780" t="s">
        <v>114</v>
      </c>
      <c r="E780">
        <v>62.1</v>
      </c>
      <c r="F780" t="s">
        <v>26</v>
      </c>
      <c r="G780">
        <v>529</v>
      </c>
      <c r="H780" t="s">
        <v>27</v>
      </c>
      <c r="I780">
        <v>101372</v>
      </c>
      <c r="J780" t="s">
        <v>20</v>
      </c>
      <c r="K780" t="s">
        <v>2005</v>
      </c>
      <c r="L780" t="s">
        <v>2006</v>
      </c>
      <c r="M780" t="s">
        <v>121</v>
      </c>
      <c r="N780">
        <v>8</v>
      </c>
      <c r="O780">
        <v>186.5</v>
      </c>
    </row>
    <row r="781" spans="1:15">
      <c r="A781">
        <v>780</v>
      </c>
      <c r="B781" t="s">
        <v>2007</v>
      </c>
      <c r="C781" t="s">
        <v>133</v>
      </c>
      <c r="D781" t="s">
        <v>114</v>
      </c>
      <c r="E781">
        <v>32.299999999999997</v>
      </c>
      <c r="F781" t="s">
        <v>56</v>
      </c>
      <c r="G781">
        <v>78</v>
      </c>
      <c r="H781" t="s">
        <v>19</v>
      </c>
      <c r="I781">
        <v>60050</v>
      </c>
      <c r="J781" t="s">
        <v>20</v>
      </c>
      <c r="K781" t="s">
        <v>2008</v>
      </c>
      <c r="L781" t="s">
        <v>2009</v>
      </c>
      <c r="M781" t="s">
        <v>86</v>
      </c>
      <c r="N781">
        <v>8</v>
      </c>
      <c r="O781">
        <v>109.8</v>
      </c>
    </row>
    <row r="782" spans="1:15">
      <c r="A782">
        <v>781</v>
      </c>
      <c r="B782" t="s">
        <v>1692</v>
      </c>
      <c r="C782" t="s">
        <v>158</v>
      </c>
      <c r="D782" t="s">
        <v>114</v>
      </c>
      <c r="E782">
        <v>34.5</v>
      </c>
      <c r="F782" t="s">
        <v>26</v>
      </c>
      <c r="G782">
        <v>597</v>
      </c>
      <c r="H782" t="s">
        <v>19</v>
      </c>
      <c r="I782">
        <v>42573</v>
      </c>
      <c r="J782" t="s">
        <v>20</v>
      </c>
      <c r="K782" t="s">
        <v>169</v>
      </c>
      <c r="L782" t="s">
        <v>675</v>
      </c>
      <c r="M782" t="s">
        <v>69</v>
      </c>
      <c r="N782">
        <v>19</v>
      </c>
      <c r="O782">
        <v>105.1</v>
      </c>
    </row>
    <row r="783" spans="1:15">
      <c r="A783">
        <v>782</v>
      </c>
      <c r="B783" t="s">
        <v>2010</v>
      </c>
      <c r="C783" t="s">
        <v>133</v>
      </c>
      <c r="D783" t="s">
        <v>61</v>
      </c>
      <c r="E783">
        <v>0</v>
      </c>
      <c r="F783" t="s">
        <v>56</v>
      </c>
      <c r="G783">
        <v>548</v>
      </c>
      <c r="H783" t="s">
        <v>27</v>
      </c>
      <c r="I783">
        <v>81470</v>
      </c>
      <c r="J783" t="s">
        <v>20</v>
      </c>
      <c r="K783" t="s">
        <v>821</v>
      </c>
      <c r="L783" t="s">
        <v>1140</v>
      </c>
      <c r="M783" t="s">
        <v>59</v>
      </c>
      <c r="N783">
        <v>1</v>
      </c>
      <c r="O783">
        <v>0</v>
      </c>
    </row>
    <row r="784" spans="1:15">
      <c r="A784">
        <v>783</v>
      </c>
      <c r="B784" t="s">
        <v>2011</v>
      </c>
      <c r="C784" t="s">
        <v>39</v>
      </c>
      <c r="D784" t="s">
        <v>40</v>
      </c>
      <c r="E784">
        <v>51.6</v>
      </c>
      <c r="F784" t="s">
        <v>26</v>
      </c>
      <c r="G784">
        <v>410</v>
      </c>
      <c r="H784" t="s">
        <v>19</v>
      </c>
      <c r="I784">
        <v>33948</v>
      </c>
      <c r="J784" t="s">
        <v>20</v>
      </c>
      <c r="K784" t="s">
        <v>2012</v>
      </c>
      <c r="L784" t="s">
        <v>1159</v>
      </c>
      <c r="M784" t="s">
        <v>69</v>
      </c>
      <c r="N784">
        <v>4</v>
      </c>
      <c r="O784">
        <v>174.5</v>
      </c>
    </row>
    <row r="785" spans="1:15">
      <c r="A785">
        <v>784</v>
      </c>
      <c r="B785" t="s">
        <v>2013</v>
      </c>
      <c r="C785" t="s">
        <v>25</v>
      </c>
      <c r="D785" t="s">
        <v>137</v>
      </c>
      <c r="E785">
        <v>76.099999999999994</v>
      </c>
      <c r="F785" t="s">
        <v>56</v>
      </c>
      <c r="G785">
        <v>175</v>
      </c>
      <c r="H785" t="s">
        <v>27</v>
      </c>
      <c r="I785">
        <v>67467</v>
      </c>
      <c r="J785" t="s">
        <v>20</v>
      </c>
      <c r="K785" t="s">
        <v>2014</v>
      </c>
      <c r="L785" t="s">
        <v>793</v>
      </c>
      <c r="M785" t="s">
        <v>48</v>
      </c>
      <c r="N785">
        <v>6</v>
      </c>
      <c r="O785">
        <v>237.5</v>
      </c>
    </row>
    <row r="786" spans="1:15">
      <c r="A786">
        <v>785</v>
      </c>
      <c r="B786" t="s">
        <v>2015</v>
      </c>
      <c r="C786" t="s">
        <v>39</v>
      </c>
      <c r="D786" t="s">
        <v>114</v>
      </c>
      <c r="E786">
        <v>57.1</v>
      </c>
      <c r="F786" t="s">
        <v>62</v>
      </c>
      <c r="G786">
        <v>407</v>
      </c>
      <c r="H786" t="s">
        <v>27</v>
      </c>
      <c r="I786">
        <v>51501</v>
      </c>
      <c r="J786" t="s">
        <v>20</v>
      </c>
      <c r="K786" t="s">
        <v>2016</v>
      </c>
      <c r="L786" t="s">
        <v>1164</v>
      </c>
      <c r="M786" t="s">
        <v>117</v>
      </c>
      <c r="N786">
        <v>13</v>
      </c>
      <c r="O786">
        <v>139.4</v>
      </c>
    </row>
    <row r="787" spans="1:15">
      <c r="A787">
        <v>786</v>
      </c>
      <c r="B787" t="s">
        <v>341</v>
      </c>
      <c r="C787" t="s">
        <v>123</v>
      </c>
      <c r="D787" t="s">
        <v>61</v>
      </c>
      <c r="E787">
        <v>0</v>
      </c>
      <c r="F787" t="s">
        <v>26</v>
      </c>
      <c r="G787">
        <v>465</v>
      </c>
      <c r="H787" t="s">
        <v>19</v>
      </c>
      <c r="I787">
        <v>90821</v>
      </c>
      <c r="J787" t="s">
        <v>20</v>
      </c>
      <c r="K787" t="s">
        <v>1696</v>
      </c>
      <c r="L787" t="s">
        <v>1033</v>
      </c>
      <c r="M787" t="s">
        <v>54</v>
      </c>
      <c r="N787">
        <v>16</v>
      </c>
      <c r="O787">
        <v>0</v>
      </c>
    </row>
    <row r="788" spans="1:15">
      <c r="A788">
        <v>787</v>
      </c>
      <c r="B788" t="s">
        <v>2017</v>
      </c>
      <c r="C788" t="s">
        <v>133</v>
      </c>
      <c r="D788" t="s">
        <v>137</v>
      </c>
      <c r="E788">
        <v>37.5</v>
      </c>
      <c r="F788" t="s">
        <v>62</v>
      </c>
      <c r="G788">
        <v>49</v>
      </c>
      <c r="H788" t="s">
        <v>27</v>
      </c>
      <c r="I788">
        <v>21872</v>
      </c>
      <c r="J788" t="s">
        <v>20</v>
      </c>
      <c r="K788" t="s">
        <v>2018</v>
      </c>
      <c r="L788" t="s">
        <v>1227</v>
      </c>
      <c r="M788" t="s">
        <v>117</v>
      </c>
      <c r="N788">
        <v>18</v>
      </c>
      <c r="O788">
        <v>112.4</v>
      </c>
    </row>
    <row r="789" spans="1:15">
      <c r="A789">
        <v>788</v>
      </c>
      <c r="B789" t="s">
        <v>2019</v>
      </c>
      <c r="C789" t="s">
        <v>158</v>
      </c>
      <c r="D789" t="s">
        <v>40</v>
      </c>
      <c r="E789">
        <v>12.4</v>
      </c>
      <c r="F789" t="s">
        <v>41</v>
      </c>
      <c r="G789">
        <v>32</v>
      </c>
      <c r="H789" t="s">
        <v>27</v>
      </c>
      <c r="I789">
        <v>18748</v>
      </c>
      <c r="J789" t="s">
        <v>20</v>
      </c>
      <c r="K789" t="s">
        <v>2020</v>
      </c>
      <c r="L789" t="s">
        <v>2021</v>
      </c>
      <c r="M789" t="s">
        <v>69</v>
      </c>
      <c r="N789">
        <v>3</v>
      </c>
      <c r="O789">
        <v>41.7</v>
      </c>
    </row>
    <row r="790" spans="1:15">
      <c r="A790">
        <v>789</v>
      </c>
      <c r="B790" t="s">
        <v>2022</v>
      </c>
      <c r="C790" t="s">
        <v>16</v>
      </c>
      <c r="D790" t="s">
        <v>17</v>
      </c>
      <c r="E790">
        <v>52.2</v>
      </c>
      <c r="F790" t="s">
        <v>18</v>
      </c>
      <c r="G790">
        <v>73</v>
      </c>
      <c r="H790" t="s">
        <v>19</v>
      </c>
      <c r="I790">
        <v>80729</v>
      </c>
      <c r="J790" t="s">
        <v>20</v>
      </c>
      <c r="K790" t="s">
        <v>2023</v>
      </c>
      <c r="L790" t="s">
        <v>822</v>
      </c>
      <c r="M790" t="s">
        <v>59</v>
      </c>
      <c r="N790">
        <v>10</v>
      </c>
      <c r="O790">
        <v>174.3</v>
      </c>
    </row>
    <row r="791" spans="1:15">
      <c r="A791">
        <v>790</v>
      </c>
      <c r="B791" t="s">
        <v>2024</v>
      </c>
      <c r="C791" t="s">
        <v>39</v>
      </c>
      <c r="D791" t="s">
        <v>114</v>
      </c>
      <c r="E791">
        <v>81.7</v>
      </c>
      <c r="F791" t="s">
        <v>26</v>
      </c>
      <c r="G791">
        <v>174</v>
      </c>
      <c r="H791" t="s">
        <v>27</v>
      </c>
      <c r="I791">
        <v>60960</v>
      </c>
      <c r="J791" t="s">
        <v>20</v>
      </c>
      <c r="K791" t="s">
        <v>1166</v>
      </c>
      <c r="L791" t="s">
        <v>1019</v>
      </c>
      <c r="N791">
        <v>20</v>
      </c>
      <c r="O791">
        <v>199.9</v>
      </c>
    </row>
    <row r="792" spans="1:15">
      <c r="A792">
        <v>791</v>
      </c>
      <c r="B792" t="s">
        <v>2025</v>
      </c>
      <c r="C792" t="s">
        <v>158</v>
      </c>
      <c r="D792" t="s">
        <v>17</v>
      </c>
      <c r="E792">
        <v>56.1</v>
      </c>
      <c r="F792" t="s">
        <v>56</v>
      </c>
      <c r="G792">
        <v>142</v>
      </c>
      <c r="H792" t="s">
        <v>27</v>
      </c>
      <c r="I792">
        <v>28635</v>
      </c>
      <c r="J792" t="s">
        <v>20</v>
      </c>
      <c r="K792" t="s">
        <v>2026</v>
      </c>
      <c r="L792" t="s">
        <v>791</v>
      </c>
      <c r="M792" t="s">
        <v>121</v>
      </c>
      <c r="N792">
        <v>2</v>
      </c>
      <c r="O792">
        <v>168.8</v>
      </c>
    </row>
    <row r="793" spans="1:15">
      <c r="A793">
        <v>792</v>
      </c>
      <c r="B793" t="s">
        <v>2027</v>
      </c>
      <c r="C793" t="s">
        <v>50</v>
      </c>
      <c r="D793" t="s">
        <v>17</v>
      </c>
      <c r="E793">
        <v>41</v>
      </c>
      <c r="F793" t="s">
        <v>56</v>
      </c>
      <c r="G793">
        <v>192</v>
      </c>
      <c r="H793" t="s">
        <v>19</v>
      </c>
      <c r="I793">
        <v>8778</v>
      </c>
      <c r="J793" t="s">
        <v>20</v>
      </c>
      <c r="K793" t="s">
        <v>2028</v>
      </c>
      <c r="L793" t="s">
        <v>519</v>
      </c>
      <c r="M793" t="s">
        <v>441</v>
      </c>
      <c r="N793">
        <v>13</v>
      </c>
      <c r="O793">
        <v>90.2</v>
      </c>
    </row>
    <row r="794" spans="1:15">
      <c r="A794">
        <v>793</v>
      </c>
      <c r="B794" t="s">
        <v>2029</v>
      </c>
      <c r="C794" t="s">
        <v>32</v>
      </c>
      <c r="D794" t="s">
        <v>137</v>
      </c>
      <c r="E794">
        <v>85.3</v>
      </c>
      <c r="F794" t="s">
        <v>26</v>
      </c>
      <c r="G794">
        <v>362</v>
      </c>
      <c r="H794" t="s">
        <v>19</v>
      </c>
      <c r="I794">
        <v>66279</v>
      </c>
      <c r="J794" t="s">
        <v>20</v>
      </c>
      <c r="K794" t="s">
        <v>1696</v>
      </c>
      <c r="L794" t="s">
        <v>1093</v>
      </c>
      <c r="M794" t="s">
        <v>48</v>
      </c>
      <c r="N794">
        <v>11</v>
      </c>
      <c r="O794">
        <v>183.4</v>
      </c>
    </row>
    <row r="795" spans="1:15">
      <c r="A795">
        <v>794</v>
      </c>
      <c r="B795" t="s">
        <v>2030</v>
      </c>
      <c r="C795" t="s">
        <v>32</v>
      </c>
      <c r="D795" t="s">
        <v>114</v>
      </c>
      <c r="E795">
        <v>31.8</v>
      </c>
      <c r="F795" t="s">
        <v>18</v>
      </c>
      <c r="G795">
        <v>248</v>
      </c>
      <c r="H795" t="s">
        <v>27</v>
      </c>
      <c r="I795">
        <v>76620</v>
      </c>
      <c r="J795" t="s">
        <v>20</v>
      </c>
      <c r="K795" t="s">
        <v>2031</v>
      </c>
      <c r="L795" t="s">
        <v>437</v>
      </c>
      <c r="M795" t="s">
        <v>441</v>
      </c>
      <c r="N795">
        <v>11</v>
      </c>
      <c r="O795">
        <v>67.7</v>
      </c>
    </row>
    <row r="796" spans="1:15">
      <c r="A796">
        <v>795</v>
      </c>
      <c r="B796" t="s">
        <v>2032</v>
      </c>
      <c r="C796" t="s">
        <v>25</v>
      </c>
      <c r="D796" t="s">
        <v>40</v>
      </c>
      <c r="E796">
        <v>10.4</v>
      </c>
      <c r="F796" t="s">
        <v>26</v>
      </c>
      <c r="G796">
        <v>445</v>
      </c>
      <c r="H796" t="s">
        <v>19</v>
      </c>
      <c r="I796">
        <v>18229</v>
      </c>
      <c r="J796" t="s">
        <v>20</v>
      </c>
      <c r="K796" t="s">
        <v>2033</v>
      </c>
      <c r="L796" t="s">
        <v>657</v>
      </c>
      <c r="M796" t="s">
        <v>59</v>
      </c>
      <c r="N796">
        <v>6</v>
      </c>
      <c r="O796">
        <v>29.7</v>
      </c>
    </row>
    <row r="797" spans="1:15">
      <c r="A797">
        <v>796</v>
      </c>
      <c r="B797" t="s">
        <v>2034</v>
      </c>
      <c r="C797" t="s">
        <v>50</v>
      </c>
      <c r="D797" t="s">
        <v>61</v>
      </c>
      <c r="E797">
        <v>0</v>
      </c>
      <c r="F797" t="s">
        <v>62</v>
      </c>
      <c r="G797">
        <v>36</v>
      </c>
      <c r="H797" t="s">
        <v>27</v>
      </c>
      <c r="I797">
        <v>24670</v>
      </c>
      <c r="J797" t="s">
        <v>20</v>
      </c>
      <c r="K797" t="s">
        <v>2035</v>
      </c>
      <c r="L797" t="s">
        <v>1471</v>
      </c>
      <c r="M797" t="s">
        <v>54</v>
      </c>
      <c r="N797">
        <v>14</v>
      </c>
      <c r="O797">
        <v>0</v>
      </c>
    </row>
    <row r="798" spans="1:15">
      <c r="A798">
        <v>797</v>
      </c>
      <c r="B798" t="s">
        <v>2036</v>
      </c>
      <c r="C798" t="s">
        <v>158</v>
      </c>
      <c r="D798" t="s">
        <v>17</v>
      </c>
      <c r="E798">
        <v>77.3</v>
      </c>
      <c r="F798" t="s">
        <v>41</v>
      </c>
      <c r="G798">
        <v>252</v>
      </c>
      <c r="H798" t="s">
        <v>27</v>
      </c>
      <c r="I798">
        <v>67200</v>
      </c>
      <c r="J798" t="s">
        <v>20</v>
      </c>
      <c r="K798" t="s">
        <v>1419</v>
      </c>
      <c r="L798" t="s">
        <v>741</v>
      </c>
      <c r="M798" t="s">
        <v>117</v>
      </c>
      <c r="N798">
        <v>12</v>
      </c>
      <c r="O798">
        <v>218.5</v>
      </c>
    </row>
    <row r="799" spans="1:15">
      <c r="A799">
        <v>798</v>
      </c>
      <c r="B799" t="s">
        <v>1383</v>
      </c>
      <c r="C799" t="s">
        <v>25</v>
      </c>
      <c r="D799" t="s">
        <v>40</v>
      </c>
      <c r="E799">
        <v>44.5</v>
      </c>
      <c r="F799" t="s">
        <v>41</v>
      </c>
      <c r="G799">
        <v>62</v>
      </c>
      <c r="H799" t="s">
        <v>19</v>
      </c>
      <c r="I799">
        <v>36246</v>
      </c>
      <c r="J799" t="s">
        <v>20</v>
      </c>
      <c r="K799" t="s">
        <v>2037</v>
      </c>
      <c r="L799" t="s">
        <v>822</v>
      </c>
      <c r="M799" t="s">
        <v>86</v>
      </c>
      <c r="N799">
        <v>4</v>
      </c>
      <c r="O799">
        <v>153.5</v>
      </c>
    </row>
    <row r="800" spans="1:15">
      <c r="A800">
        <v>799</v>
      </c>
      <c r="B800" t="s">
        <v>2038</v>
      </c>
      <c r="C800" t="s">
        <v>16</v>
      </c>
      <c r="D800" t="s">
        <v>40</v>
      </c>
      <c r="E800">
        <v>70.900000000000006</v>
      </c>
      <c r="F800" t="s">
        <v>26</v>
      </c>
      <c r="G800">
        <v>241</v>
      </c>
      <c r="H800" t="s">
        <v>19</v>
      </c>
      <c r="I800">
        <v>13250</v>
      </c>
      <c r="J800" t="s">
        <v>20</v>
      </c>
      <c r="K800" t="s">
        <v>2039</v>
      </c>
      <c r="L800" t="s">
        <v>413</v>
      </c>
      <c r="M800" t="s">
        <v>86</v>
      </c>
      <c r="N800">
        <v>20</v>
      </c>
      <c r="O800">
        <v>192.6</v>
      </c>
    </row>
    <row r="801" spans="1:15">
      <c r="A801">
        <v>800</v>
      </c>
      <c r="B801" t="s">
        <v>2040</v>
      </c>
      <c r="C801" t="s">
        <v>133</v>
      </c>
      <c r="D801" t="s">
        <v>40</v>
      </c>
      <c r="E801">
        <v>46.5</v>
      </c>
      <c r="F801" t="s">
        <v>56</v>
      </c>
      <c r="G801">
        <v>406</v>
      </c>
      <c r="H801" t="s">
        <v>19</v>
      </c>
      <c r="I801">
        <v>88803</v>
      </c>
      <c r="J801" t="s">
        <v>20</v>
      </c>
      <c r="K801" t="s">
        <v>2041</v>
      </c>
      <c r="L801" t="s">
        <v>906</v>
      </c>
      <c r="M801" t="s">
        <v>48</v>
      </c>
      <c r="N801">
        <v>10</v>
      </c>
      <c r="O801">
        <v>154.9</v>
      </c>
    </row>
    <row r="802" spans="1:15">
      <c r="A802">
        <v>801</v>
      </c>
      <c r="B802" t="s">
        <v>2042</v>
      </c>
      <c r="C802" t="s">
        <v>32</v>
      </c>
      <c r="D802" t="s">
        <v>33</v>
      </c>
      <c r="E802">
        <v>73</v>
      </c>
      <c r="F802" t="s">
        <v>56</v>
      </c>
      <c r="G802">
        <v>127</v>
      </c>
      <c r="H802" t="s">
        <v>27</v>
      </c>
      <c r="I802">
        <v>92418</v>
      </c>
      <c r="J802" t="s">
        <v>20</v>
      </c>
      <c r="K802" t="s">
        <v>2043</v>
      </c>
      <c r="L802" t="s">
        <v>1538</v>
      </c>
      <c r="M802" t="s">
        <v>117</v>
      </c>
      <c r="N802">
        <v>14</v>
      </c>
      <c r="O802">
        <v>161.5</v>
      </c>
    </row>
    <row r="803" spans="1:15">
      <c r="A803">
        <v>802</v>
      </c>
      <c r="B803" t="s">
        <v>1179</v>
      </c>
      <c r="C803" t="s">
        <v>25</v>
      </c>
      <c r="D803" t="s">
        <v>137</v>
      </c>
      <c r="E803">
        <v>31.2</v>
      </c>
      <c r="F803" t="s">
        <v>18</v>
      </c>
      <c r="G803">
        <v>307</v>
      </c>
      <c r="H803" t="s">
        <v>19</v>
      </c>
      <c r="I803">
        <v>60785</v>
      </c>
      <c r="J803" t="s">
        <v>20</v>
      </c>
      <c r="K803" t="s">
        <v>2044</v>
      </c>
      <c r="L803" t="s">
        <v>2045</v>
      </c>
      <c r="M803" t="s">
        <v>112</v>
      </c>
      <c r="N803">
        <v>8</v>
      </c>
      <c r="O803">
        <v>69.599999999999994</v>
      </c>
    </row>
    <row r="804" spans="1:15">
      <c r="A804">
        <v>803</v>
      </c>
      <c r="B804" t="s">
        <v>2046</v>
      </c>
      <c r="C804" t="s">
        <v>32</v>
      </c>
      <c r="D804" t="s">
        <v>114</v>
      </c>
      <c r="E804">
        <v>36.799999999999997</v>
      </c>
      <c r="F804" t="s">
        <v>56</v>
      </c>
      <c r="G804">
        <v>298</v>
      </c>
      <c r="H804" t="s">
        <v>19</v>
      </c>
      <c r="I804">
        <v>64961</v>
      </c>
      <c r="J804" t="s">
        <v>20</v>
      </c>
      <c r="K804" t="s">
        <v>2047</v>
      </c>
      <c r="L804" t="s">
        <v>983</v>
      </c>
      <c r="M804" t="s">
        <v>48</v>
      </c>
      <c r="N804">
        <v>15</v>
      </c>
      <c r="O804">
        <v>84.1</v>
      </c>
    </row>
    <row r="805" spans="1:15">
      <c r="A805">
        <v>804</v>
      </c>
      <c r="B805" t="s">
        <v>2048</v>
      </c>
      <c r="C805" t="s">
        <v>158</v>
      </c>
      <c r="D805" t="s">
        <v>33</v>
      </c>
      <c r="E805">
        <v>40.200000000000003</v>
      </c>
      <c r="F805" t="s">
        <v>26</v>
      </c>
      <c r="G805">
        <v>543</v>
      </c>
      <c r="H805" t="s">
        <v>19</v>
      </c>
      <c r="I805">
        <v>80058</v>
      </c>
      <c r="J805" t="s">
        <v>20</v>
      </c>
      <c r="K805" t="s">
        <v>2049</v>
      </c>
      <c r="L805" t="s">
        <v>458</v>
      </c>
      <c r="N805">
        <v>14</v>
      </c>
      <c r="O805">
        <v>80.8</v>
      </c>
    </row>
    <row r="806" spans="1:15">
      <c r="A806">
        <v>805</v>
      </c>
      <c r="B806" t="s">
        <v>2050</v>
      </c>
      <c r="C806" t="s">
        <v>133</v>
      </c>
      <c r="D806" t="s">
        <v>40</v>
      </c>
      <c r="E806">
        <v>5.0999999999999996</v>
      </c>
      <c r="F806" t="s">
        <v>18</v>
      </c>
      <c r="G806">
        <v>373</v>
      </c>
      <c r="H806" t="s">
        <v>19</v>
      </c>
      <c r="I806">
        <v>115387</v>
      </c>
      <c r="J806" t="s">
        <v>20</v>
      </c>
      <c r="K806" t="s">
        <v>2051</v>
      </c>
      <c r="L806" t="s">
        <v>819</v>
      </c>
      <c r="M806" t="s">
        <v>112</v>
      </c>
      <c r="N806">
        <v>3</v>
      </c>
      <c r="O806">
        <v>14.4</v>
      </c>
    </row>
    <row r="807" spans="1:15">
      <c r="A807">
        <v>806</v>
      </c>
      <c r="B807" t="s">
        <v>450</v>
      </c>
      <c r="C807" t="s">
        <v>158</v>
      </c>
      <c r="D807" t="s">
        <v>40</v>
      </c>
      <c r="E807">
        <v>58.8</v>
      </c>
      <c r="F807" t="s">
        <v>62</v>
      </c>
      <c r="G807">
        <v>326</v>
      </c>
      <c r="H807" t="s">
        <v>19</v>
      </c>
      <c r="I807">
        <v>7995</v>
      </c>
      <c r="J807" t="s">
        <v>20</v>
      </c>
      <c r="K807" t="s">
        <v>2052</v>
      </c>
      <c r="L807" t="s">
        <v>723</v>
      </c>
      <c r="M807" t="s">
        <v>54</v>
      </c>
      <c r="N807">
        <v>16</v>
      </c>
      <c r="O807">
        <v>194.3</v>
      </c>
    </row>
    <row r="808" spans="1:15">
      <c r="A808">
        <v>807</v>
      </c>
      <c r="B808" t="s">
        <v>2053</v>
      </c>
      <c r="C808" t="s">
        <v>158</v>
      </c>
      <c r="D808" t="s">
        <v>114</v>
      </c>
      <c r="E808">
        <v>35.299999999999997</v>
      </c>
      <c r="F808" t="s">
        <v>56</v>
      </c>
      <c r="G808">
        <v>382</v>
      </c>
      <c r="H808" t="s">
        <v>27</v>
      </c>
      <c r="I808">
        <v>55225</v>
      </c>
      <c r="J808" t="s">
        <v>20</v>
      </c>
      <c r="K808" t="s">
        <v>2054</v>
      </c>
      <c r="L808" t="s">
        <v>2055</v>
      </c>
      <c r="N808">
        <v>4</v>
      </c>
      <c r="O808">
        <v>99.3</v>
      </c>
    </row>
    <row r="809" spans="1:15">
      <c r="A809">
        <v>808</v>
      </c>
      <c r="B809" t="s">
        <v>2056</v>
      </c>
      <c r="C809" t="s">
        <v>16</v>
      </c>
      <c r="D809" t="s">
        <v>40</v>
      </c>
      <c r="E809">
        <v>28.4</v>
      </c>
      <c r="F809" t="s">
        <v>26</v>
      </c>
      <c r="G809">
        <v>179</v>
      </c>
      <c r="H809" t="s">
        <v>19</v>
      </c>
      <c r="I809">
        <v>2401</v>
      </c>
      <c r="J809" t="s">
        <v>20</v>
      </c>
      <c r="K809" t="s">
        <v>2057</v>
      </c>
      <c r="L809" t="s">
        <v>2058</v>
      </c>
      <c r="M809" t="s">
        <v>121</v>
      </c>
      <c r="N809">
        <v>5</v>
      </c>
      <c r="O809">
        <v>87.8</v>
      </c>
    </row>
    <row r="810" spans="1:15">
      <c r="A810">
        <v>809</v>
      </c>
      <c r="B810" t="s">
        <v>2059</v>
      </c>
      <c r="C810" t="s">
        <v>133</v>
      </c>
      <c r="D810" t="s">
        <v>114</v>
      </c>
      <c r="E810">
        <v>89.9</v>
      </c>
      <c r="F810" t="s">
        <v>62</v>
      </c>
      <c r="G810">
        <v>654</v>
      </c>
      <c r="H810" t="s">
        <v>27</v>
      </c>
      <c r="I810">
        <v>108947</v>
      </c>
      <c r="J810" t="s">
        <v>20</v>
      </c>
      <c r="K810" t="s">
        <v>887</v>
      </c>
      <c r="L810" t="s">
        <v>120</v>
      </c>
      <c r="M810" t="s">
        <v>117</v>
      </c>
      <c r="N810">
        <v>18</v>
      </c>
      <c r="O810">
        <v>286.2</v>
      </c>
    </row>
    <row r="811" spans="1:15">
      <c r="A811">
        <v>810</v>
      </c>
      <c r="B811" t="s">
        <v>2060</v>
      </c>
      <c r="C811" t="s">
        <v>32</v>
      </c>
      <c r="D811" t="s">
        <v>33</v>
      </c>
      <c r="E811">
        <v>80.099999999999994</v>
      </c>
      <c r="F811" t="s">
        <v>41</v>
      </c>
      <c r="G811">
        <v>34</v>
      </c>
      <c r="H811" t="s">
        <v>27</v>
      </c>
      <c r="I811">
        <v>78895</v>
      </c>
      <c r="J811" t="s">
        <v>20</v>
      </c>
      <c r="K811" t="s">
        <v>2061</v>
      </c>
      <c r="L811" t="s">
        <v>2062</v>
      </c>
      <c r="M811" t="s">
        <v>48</v>
      </c>
      <c r="N811">
        <v>2</v>
      </c>
      <c r="O811">
        <v>279.3</v>
      </c>
    </row>
    <row r="812" spans="1:15">
      <c r="A812">
        <v>811</v>
      </c>
      <c r="B812" t="s">
        <v>2063</v>
      </c>
      <c r="C812" t="s">
        <v>133</v>
      </c>
      <c r="D812" t="s">
        <v>17</v>
      </c>
      <c r="E812">
        <v>54.7</v>
      </c>
      <c r="F812" t="s">
        <v>56</v>
      </c>
      <c r="G812">
        <v>270</v>
      </c>
      <c r="H812" t="s">
        <v>19</v>
      </c>
      <c r="I812">
        <v>75682</v>
      </c>
      <c r="J812" t="s">
        <v>20</v>
      </c>
      <c r="K812" t="s">
        <v>2064</v>
      </c>
      <c r="L812" t="s">
        <v>1805</v>
      </c>
      <c r="M812" t="s">
        <v>69</v>
      </c>
      <c r="N812">
        <v>6</v>
      </c>
      <c r="O812">
        <v>140.80000000000001</v>
      </c>
    </row>
    <row r="813" spans="1:15">
      <c r="A813">
        <v>812</v>
      </c>
      <c r="B813" t="s">
        <v>2065</v>
      </c>
      <c r="C813" t="s">
        <v>16</v>
      </c>
      <c r="D813" t="s">
        <v>33</v>
      </c>
      <c r="E813">
        <v>33.9</v>
      </c>
      <c r="F813" t="s">
        <v>62</v>
      </c>
      <c r="G813">
        <v>231</v>
      </c>
      <c r="H813" t="s">
        <v>19</v>
      </c>
      <c r="I813">
        <v>49965</v>
      </c>
      <c r="J813" t="s">
        <v>20</v>
      </c>
      <c r="K813" t="s">
        <v>1419</v>
      </c>
      <c r="L813" t="s">
        <v>2066</v>
      </c>
      <c r="M813" t="s">
        <v>59</v>
      </c>
      <c r="N813">
        <v>8</v>
      </c>
      <c r="O813">
        <v>88.1</v>
      </c>
    </row>
    <row r="814" spans="1:15">
      <c r="A814">
        <v>813</v>
      </c>
      <c r="B814" t="s">
        <v>2067</v>
      </c>
      <c r="C814" t="s">
        <v>32</v>
      </c>
      <c r="D814" t="s">
        <v>33</v>
      </c>
      <c r="E814">
        <v>92.8</v>
      </c>
      <c r="F814" t="s">
        <v>26</v>
      </c>
      <c r="G814">
        <v>529</v>
      </c>
      <c r="H814" t="s">
        <v>27</v>
      </c>
      <c r="I814">
        <v>53133</v>
      </c>
      <c r="J814" t="s">
        <v>20</v>
      </c>
      <c r="K814" t="s">
        <v>2068</v>
      </c>
      <c r="L814" t="s">
        <v>1149</v>
      </c>
      <c r="M814" t="s">
        <v>121</v>
      </c>
      <c r="N814">
        <v>17</v>
      </c>
      <c r="O814">
        <v>287.3</v>
      </c>
    </row>
    <row r="815" spans="1:15">
      <c r="A815">
        <v>814</v>
      </c>
      <c r="B815" t="s">
        <v>2069</v>
      </c>
      <c r="C815" t="s">
        <v>25</v>
      </c>
      <c r="D815" t="s">
        <v>114</v>
      </c>
      <c r="E815">
        <v>28.9</v>
      </c>
      <c r="F815" t="s">
        <v>41</v>
      </c>
      <c r="G815">
        <v>684</v>
      </c>
      <c r="H815" t="s">
        <v>27</v>
      </c>
      <c r="I815">
        <v>113260</v>
      </c>
      <c r="J815" t="s">
        <v>20</v>
      </c>
      <c r="K815" t="s">
        <v>2070</v>
      </c>
      <c r="L815" t="s">
        <v>89</v>
      </c>
      <c r="M815" t="s">
        <v>117</v>
      </c>
      <c r="N815">
        <v>6</v>
      </c>
      <c r="O815">
        <v>77.8</v>
      </c>
    </row>
    <row r="816" spans="1:15">
      <c r="A816">
        <v>815</v>
      </c>
      <c r="B816" t="s">
        <v>2071</v>
      </c>
      <c r="C816" t="s">
        <v>16</v>
      </c>
      <c r="D816" t="s">
        <v>114</v>
      </c>
      <c r="E816">
        <v>58.3</v>
      </c>
      <c r="F816" t="s">
        <v>26</v>
      </c>
      <c r="G816">
        <v>193</v>
      </c>
      <c r="H816" t="s">
        <v>19</v>
      </c>
      <c r="I816">
        <v>49420</v>
      </c>
      <c r="J816" t="s">
        <v>20</v>
      </c>
      <c r="K816" t="s">
        <v>2072</v>
      </c>
      <c r="L816" t="s">
        <v>1793</v>
      </c>
      <c r="M816" t="s">
        <v>117</v>
      </c>
      <c r="N816">
        <v>19</v>
      </c>
      <c r="O816">
        <v>117.3</v>
      </c>
    </row>
    <row r="817" spans="1:15">
      <c r="A817">
        <v>816</v>
      </c>
      <c r="B817" t="s">
        <v>2073</v>
      </c>
      <c r="C817" t="s">
        <v>133</v>
      </c>
      <c r="D817" t="s">
        <v>137</v>
      </c>
      <c r="E817">
        <v>91.2</v>
      </c>
      <c r="F817" t="s">
        <v>26</v>
      </c>
      <c r="G817">
        <v>380</v>
      </c>
      <c r="H817" t="s">
        <v>19</v>
      </c>
      <c r="I817">
        <v>42622</v>
      </c>
      <c r="J817" t="s">
        <v>20</v>
      </c>
      <c r="K817" t="s">
        <v>2074</v>
      </c>
      <c r="L817" t="s">
        <v>2075</v>
      </c>
      <c r="M817" t="s">
        <v>86</v>
      </c>
      <c r="N817">
        <v>16</v>
      </c>
      <c r="O817">
        <v>318.39999999999998</v>
      </c>
    </row>
    <row r="818" spans="1:15">
      <c r="A818">
        <v>817</v>
      </c>
      <c r="B818" t="s">
        <v>2076</v>
      </c>
      <c r="C818" t="s">
        <v>133</v>
      </c>
      <c r="D818" t="s">
        <v>61</v>
      </c>
      <c r="E818">
        <v>0</v>
      </c>
      <c r="F818" t="s">
        <v>41</v>
      </c>
      <c r="G818">
        <v>477</v>
      </c>
      <c r="H818" t="s">
        <v>19</v>
      </c>
      <c r="I818">
        <v>110976</v>
      </c>
      <c r="J818" t="s">
        <v>20</v>
      </c>
      <c r="K818" t="s">
        <v>1912</v>
      </c>
      <c r="L818" t="s">
        <v>1729</v>
      </c>
      <c r="M818" t="s">
        <v>117</v>
      </c>
      <c r="N818">
        <v>3</v>
      </c>
      <c r="O818">
        <v>0</v>
      </c>
    </row>
    <row r="819" spans="1:15">
      <c r="A819">
        <v>818</v>
      </c>
      <c r="B819" t="s">
        <v>952</v>
      </c>
      <c r="C819" t="s">
        <v>133</v>
      </c>
      <c r="D819" t="s">
        <v>17</v>
      </c>
      <c r="E819">
        <v>29.3</v>
      </c>
      <c r="F819" t="s">
        <v>26</v>
      </c>
      <c r="G819">
        <v>79</v>
      </c>
      <c r="H819" t="s">
        <v>19</v>
      </c>
      <c r="I819">
        <v>100367</v>
      </c>
      <c r="J819" t="s">
        <v>20</v>
      </c>
      <c r="K819" t="s">
        <v>1682</v>
      </c>
      <c r="L819" t="s">
        <v>496</v>
      </c>
      <c r="M819" t="s">
        <v>69</v>
      </c>
      <c r="N819">
        <v>14</v>
      </c>
      <c r="O819">
        <v>62.9</v>
      </c>
    </row>
    <row r="820" spans="1:15">
      <c r="A820">
        <v>819</v>
      </c>
      <c r="B820" t="s">
        <v>1371</v>
      </c>
      <c r="C820" t="s">
        <v>32</v>
      </c>
      <c r="D820" t="s">
        <v>137</v>
      </c>
      <c r="E820">
        <v>58</v>
      </c>
      <c r="F820" t="s">
        <v>18</v>
      </c>
      <c r="G820">
        <v>357</v>
      </c>
      <c r="H820" t="s">
        <v>27</v>
      </c>
      <c r="I820">
        <v>41241</v>
      </c>
      <c r="J820" t="s">
        <v>20</v>
      </c>
      <c r="K820" t="s">
        <v>2077</v>
      </c>
      <c r="L820" t="s">
        <v>428</v>
      </c>
      <c r="M820" t="s">
        <v>69</v>
      </c>
      <c r="N820">
        <v>19</v>
      </c>
      <c r="O820">
        <v>195.6</v>
      </c>
    </row>
    <row r="821" spans="1:15">
      <c r="A821">
        <v>820</v>
      </c>
      <c r="B821" t="s">
        <v>2078</v>
      </c>
      <c r="C821" t="s">
        <v>50</v>
      </c>
      <c r="D821" t="s">
        <v>17</v>
      </c>
      <c r="E821">
        <v>31.1</v>
      </c>
      <c r="F821" t="s">
        <v>26</v>
      </c>
      <c r="G821">
        <v>510</v>
      </c>
      <c r="H821" t="s">
        <v>27</v>
      </c>
      <c r="I821">
        <v>91905</v>
      </c>
      <c r="J821" t="s">
        <v>20</v>
      </c>
      <c r="K821" t="s">
        <v>2079</v>
      </c>
      <c r="L821" t="s">
        <v>1560</v>
      </c>
      <c r="N821">
        <v>13</v>
      </c>
      <c r="O821">
        <v>66.5</v>
      </c>
    </row>
    <row r="822" spans="1:15">
      <c r="A822">
        <v>821</v>
      </c>
      <c r="B822" t="s">
        <v>2080</v>
      </c>
      <c r="C822" t="s">
        <v>123</v>
      </c>
      <c r="D822" t="s">
        <v>33</v>
      </c>
      <c r="E822">
        <v>65.8</v>
      </c>
      <c r="F822" t="s">
        <v>56</v>
      </c>
      <c r="G822">
        <v>158</v>
      </c>
      <c r="H822" t="s">
        <v>19</v>
      </c>
      <c r="I822">
        <v>5754</v>
      </c>
      <c r="J822" t="s">
        <v>20</v>
      </c>
      <c r="K822" t="s">
        <v>2081</v>
      </c>
      <c r="L822" t="s">
        <v>839</v>
      </c>
      <c r="M822" t="s">
        <v>86</v>
      </c>
      <c r="N822">
        <v>2</v>
      </c>
      <c r="O822">
        <v>147.80000000000001</v>
      </c>
    </row>
    <row r="823" spans="1:15">
      <c r="A823">
        <v>822</v>
      </c>
      <c r="B823" t="s">
        <v>2082</v>
      </c>
      <c r="C823" t="s">
        <v>158</v>
      </c>
      <c r="D823" t="s">
        <v>17</v>
      </c>
      <c r="E823">
        <v>98.9</v>
      </c>
      <c r="F823" t="s">
        <v>62</v>
      </c>
      <c r="G823">
        <v>660</v>
      </c>
      <c r="H823" t="s">
        <v>19</v>
      </c>
      <c r="I823">
        <v>26463</v>
      </c>
      <c r="J823" t="s">
        <v>20</v>
      </c>
      <c r="K823" t="s">
        <v>2083</v>
      </c>
      <c r="L823" t="s">
        <v>1438</v>
      </c>
      <c r="M823" t="s">
        <v>117</v>
      </c>
      <c r="N823">
        <v>20</v>
      </c>
      <c r="O823">
        <v>200.3</v>
      </c>
    </row>
    <row r="824" spans="1:15">
      <c r="A824">
        <v>823</v>
      </c>
      <c r="B824" t="s">
        <v>2084</v>
      </c>
      <c r="C824" t="s">
        <v>25</v>
      </c>
      <c r="D824" t="s">
        <v>40</v>
      </c>
      <c r="E824">
        <v>67.3</v>
      </c>
      <c r="F824" t="s">
        <v>41</v>
      </c>
      <c r="G824">
        <v>569</v>
      </c>
      <c r="H824" t="s">
        <v>27</v>
      </c>
      <c r="I824">
        <v>23180</v>
      </c>
      <c r="J824" t="s">
        <v>20</v>
      </c>
      <c r="K824" t="s">
        <v>2085</v>
      </c>
      <c r="L824" t="s">
        <v>994</v>
      </c>
      <c r="N824">
        <v>17</v>
      </c>
      <c r="O824">
        <v>187.2</v>
      </c>
    </row>
    <row r="825" spans="1:15">
      <c r="A825">
        <v>824</v>
      </c>
      <c r="B825" t="s">
        <v>2086</v>
      </c>
      <c r="C825" t="s">
        <v>16</v>
      </c>
      <c r="D825" t="s">
        <v>137</v>
      </c>
      <c r="E825">
        <v>91.6</v>
      </c>
      <c r="F825" t="s">
        <v>41</v>
      </c>
      <c r="G825">
        <v>267</v>
      </c>
      <c r="H825" t="s">
        <v>19</v>
      </c>
      <c r="I825">
        <v>32007</v>
      </c>
      <c r="J825" t="s">
        <v>20</v>
      </c>
      <c r="K825" t="s">
        <v>1838</v>
      </c>
      <c r="L825" t="s">
        <v>918</v>
      </c>
      <c r="M825" t="s">
        <v>121</v>
      </c>
      <c r="N825">
        <v>17</v>
      </c>
      <c r="O825">
        <v>314.5</v>
      </c>
    </row>
    <row r="826" spans="1:15">
      <c r="A826">
        <v>825</v>
      </c>
      <c r="B826" t="s">
        <v>2087</v>
      </c>
      <c r="C826" t="s">
        <v>50</v>
      </c>
      <c r="D826" t="s">
        <v>114</v>
      </c>
      <c r="E826">
        <v>54.4</v>
      </c>
      <c r="F826" t="s">
        <v>41</v>
      </c>
      <c r="G826">
        <v>175</v>
      </c>
      <c r="H826" t="s">
        <v>19</v>
      </c>
      <c r="I826">
        <v>117569</v>
      </c>
      <c r="J826" t="s">
        <v>20</v>
      </c>
      <c r="K826" t="s">
        <v>2088</v>
      </c>
      <c r="L826" t="s">
        <v>2089</v>
      </c>
      <c r="M826" t="s">
        <v>86</v>
      </c>
      <c r="N826">
        <v>12</v>
      </c>
      <c r="O826">
        <v>128.6</v>
      </c>
    </row>
    <row r="827" spans="1:15">
      <c r="A827">
        <v>826</v>
      </c>
      <c r="B827" t="s">
        <v>2090</v>
      </c>
      <c r="C827" t="s">
        <v>16</v>
      </c>
      <c r="D827" t="s">
        <v>17</v>
      </c>
      <c r="E827">
        <v>67.2</v>
      </c>
      <c r="F827" t="s">
        <v>56</v>
      </c>
      <c r="G827">
        <v>465</v>
      </c>
      <c r="H827" t="s">
        <v>27</v>
      </c>
      <c r="I827">
        <v>89268</v>
      </c>
      <c r="J827" t="s">
        <v>20</v>
      </c>
      <c r="K827" t="s">
        <v>2091</v>
      </c>
      <c r="L827" t="s">
        <v>1553</v>
      </c>
      <c r="M827" t="s">
        <v>117</v>
      </c>
      <c r="N827">
        <v>13</v>
      </c>
      <c r="O827">
        <v>163.5</v>
      </c>
    </row>
    <row r="828" spans="1:15">
      <c r="A828">
        <v>827</v>
      </c>
      <c r="B828" t="s">
        <v>2092</v>
      </c>
      <c r="C828" t="s">
        <v>16</v>
      </c>
      <c r="D828" t="s">
        <v>137</v>
      </c>
      <c r="E828">
        <v>90</v>
      </c>
      <c r="F828" t="s">
        <v>18</v>
      </c>
      <c r="G828">
        <v>153</v>
      </c>
      <c r="H828" t="s">
        <v>27</v>
      </c>
      <c r="I828">
        <v>15334</v>
      </c>
      <c r="J828" t="s">
        <v>20</v>
      </c>
      <c r="K828" t="s">
        <v>2093</v>
      </c>
      <c r="L828" t="s">
        <v>827</v>
      </c>
      <c r="M828" t="s">
        <v>59</v>
      </c>
      <c r="N828">
        <v>18</v>
      </c>
      <c r="O828">
        <v>299.60000000000002</v>
      </c>
    </row>
    <row r="829" spans="1:15">
      <c r="A829">
        <v>828</v>
      </c>
      <c r="B829" t="s">
        <v>2094</v>
      </c>
      <c r="C829" t="s">
        <v>158</v>
      </c>
      <c r="D829" t="s">
        <v>137</v>
      </c>
      <c r="E829">
        <v>16.399999999999999</v>
      </c>
      <c r="F829" t="s">
        <v>56</v>
      </c>
      <c r="G829">
        <v>466</v>
      </c>
      <c r="H829" t="s">
        <v>27</v>
      </c>
      <c r="I829">
        <v>106401</v>
      </c>
      <c r="J829" t="s">
        <v>20</v>
      </c>
      <c r="K829" t="s">
        <v>2095</v>
      </c>
      <c r="L829" t="s">
        <v>701</v>
      </c>
      <c r="M829" t="s">
        <v>86</v>
      </c>
      <c r="N829">
        <v>7</v>
      </c>
      <c r="O829">
        <v>57.2</v>
      </c>
    </row>
    <row r="830" spans="1:15">
      <c r="A830">
        <v>829</v>
      </c>
      <c r="B830" t="s">
        <v>2096</v>
      </c>
      <c r="C830" t="s">
        <v>16</v>
      </c>
      <c r="D830" t="s">
        <v>33</v>
      </c>
      <c r="E830">
        <v>10.3</v>
      </c>
      <c r="F830" t="s">
        <v>18</v>
      </c>
      <c r="G830">
        <v>494</v>
      </c>
      <c r="H830" t="s">
        <v>27</v>
      </c>
      <c r="I830">
        <v>51650</v>
      </c>
      <c r="J830" t="s">
        <v>20</v>
      </c>
      <c r="K830" t="s">
        <v>2097</v>
      </c>
      <c r="L830" t="s">
        <v>786</v>
      </c>
      <c r="M830" t="s">
        <v>54</v>
      </c>
      <c r="N830">
        <v>13</v>
      </c>
      <c r="O830">
        <v>29.2</v>
      </c>
    </row>
    <row r="831" spans="1:15">
      <c r="A831">
        <v>830</v>
      </c>
      <c r="B831" t="s">
        <v>2098</v>
      </c>
      <c r="C831" t="s">
        <v>39</v>
      </c>
      <c r="D831" t="s">
        <v>137</v>
      </c>
      <c r="E831">
        <v>52.6</v>
      </c>
      <c r="F831" t="s">
        <v>26</v>
      </c>
      <c r="G831">
        <v>605</v>
      </c>
      <c r="H831" t="s">
        <v>19</v>
      </c>
      <c r="I831">
        <v>66110</v>
      </c>
      <c r="J831" t="s">
        <v>20</v>
      </c>
      <c r="K831" t="s">
        <v>2099</v>
      </c>
      <c r="L831" t="s">
        <v>1249</v>
      </c>
      <c r="M831" t="s">
        <v>59</v>
      </c>
      <c r="N831">
        <v>1</v>
      </c>
      <c r="O831">
        <v>180.6</v>
      </c>
    </row>
    <row r="832" spans="1:15">
      <c r="A832">
        <v>831</v>
      </c>
      <c r="B832" t="s">
        <v>2100</v>
      </c>
      <c r="C832" t="s">
        <v>50</v>
      </c>
      <c r="D832" t="s">
        <v>40</v>
      </c>
      <c r="E832">
        <v>66.400000000000006</v>
      </c>
      <c r="F832" t="s">
        <v>56</v>
      </c>
      <c r="G832">
        <v>647</v>
      </c>
      <c r="H832" t="s">
        <v>19</v>
      </c>
      <c r="I832">
        <v>58951</v>
      </c>
      <c r="J832" t="s">
        <v>20</v>
      </c>
      <c r="K832" t="s">
        <v>2101</v>
      </c>
      <c r="L832" t="s">
        <v>36</v>
      </c>
      <c r="M832" t="s">
        <v>112</v>
      </c>
      <c r="N832">
        <v>5</v>
      </c>
      <c r="O832">
        <v>221.1</v>
      </c>
    </row>
    <row r="833" spans="1:15">
      <c r="A833">
        <v>832</v>
      </c>
      <c r="B833" t="s">
        <v>2102</v>
      </c>
      <c r="C833" t="s">
        <v>133</v>
      </c>
      <c r="D833" t="s">
        <v>33</v>
      </c>
      <c r="E833">
        <v>82.5</v>
      </c>
      <c r="F833" t="s">
        <v>62</v>
      </c>
      <c r="G833">
        <v>640</v>
      </c>
      <c r="H833" t="s">
        <v>19</v>
      </c>
      <c r="I833">
        <v>100069</v>
      </c>
      <c r="J833" t="s">
        <v>20</v>
      </c>
      <c r="K833" t="s">
        <v>751</v>
      </c>
      <c r="L833" t="s">
        <v>2103</v>
      </c>
      <c r="M833" t="s">
        <v>59</v>
      </c>
      <c r="N833">
        <v>19</v>
      </c>
      <c r="O833">
        <v>285.10000000000002</v>
      </c>
    </row>
    <row r="834" spans="1:15">
      <c r="A834">
        <v>833</v>
      </c>
      <c r="B834" t="s">
        <v>2104</v>
      </c>
      <c r="C834" t="s">
        <v>16</v>
      </c>
      <c r="D834" t="s">
        <v>17</v>
      </c>
      <c r="E834">
        <v>52.2</v>
      </c>
      <c r="F834" t="s">
        <v>56</v>
      </c>
      <c r="G834">
        <v>60</v>
      </c>
      <c r="H834" t="s">
        <v>27</v>
      </c>
      <c r="I834">
        <v>68041</v>
      </c>
      <c r="J834" t="s">
        <v>20</v>
      </c>
      <c r="K834" t="s">
        <v>874</v>
      </c>
      <c r="L834" t="s">
        <v>683</v>
      </c>
      <c r="M834" t="s">
        <v>59</v>
      </c>
      <c r="N834">
        <v>6</v>
      </c>
      <c r="O834">
        <v>179.9</v>
      </c>
    </row>
    <row r="835" spans="1:15">
      <c r="A835">
        <v>834</v>
      </c>
      <c r="B835" t="s">
        <v>2105</v>
      </c>
      <c r="C835" t="s">
        <v>158</v>
      </c>
      <c r="D835" t="s">
        <v>17</v>
      </c>
      <c r="E835">
        <v>33.299999999999997</v>
      </c>
      <c r="F835" t="s">
        <v>26</v>
      </c>
      <c r="G835">
        <v>424</v>
      </c>
      <c r="H835" t="s">
        <v>19</v>
      </c>
      <c r="I835">
        <v>119090</v>
      </c>
      <c r="J835" t="s">
        <v>20</v>
      </c>
      <c r="K835" t="s">
        <v>2106</v>
      </c>
      <c r="L835" t="s">
        <v>1475</v>
      </c>
      <c r="M835" t="s">
        <v>117</v>
      </c>
      <c r="N835">
        <v>4</v>
      </c>
      <c r="O835">
        <v>92.1</v>
      </c>
    </row>
    <row r="836" spans="1:15">
      <c r="A836">
        <v>835</v>
      </c>
      <c r="B836" t="s">
        <v>448</v>
      </c>
      <c r="C836" t="s">
        <v>25</v>
      </c>
      <c r="D836" t="s">
        <v>33</v>
      </c>
      <c r="E836">
        <v>72.5</v>
      </c>
      <c r="F836" t="s">
        <v>18</v>
      </c>
      <c r="G836">
        <v>507</v>
      </c>
      <c r="H836" t="s">
        <v>27</v>
      </c>
      <c r="I836">
        <v>84149</v>
      </c>
      <c r="J836" t="s">
        <v>20</v>
      </c>
      <c r="K836" t="s">
        <v>2107</v>
      </c>
      <c r="L836" t="s">
        <v>2108</v>
      </c>
      <c r="N836">
        <v>14</v>
      </c>
      <c r="O836">
        <v>221</v>
      </c>
    </row>
    <row r="837" spans="1:15">
      <c r="A837">
        <v>836</v>
      </c>
      <c r="B837" t="s">
        <v>2109</v>
      </c>
      <c r="C837" t="s">
        <v>16</v>
      </c>
      <c r="D837" t="s">
        <v>40</v>
      </c>
      <c r="E837">
        <v>82.3</v>
      </c>
      <c r="F837" t="s">
        <v>18</v>
      </c>
      <c r="G837">
        <v>310</v>
      </c>
      <c r="H837" t="s">
        <v>19</v>
      </c>
      <c r="I837">
        <v>49553</v>
      </c>
      <c r="J837" t="s">
        <v>20</v>
      </c>
      <c r="K837" t="s">
        <v>927</v>
      </c>
      <c r="L837" t="s">
        <v>853</v>
      </c>
      <c r="M837" t="s">
        <v>117</v>
      </c>
      <c r="N837">
        <v>16</v>
      </c>
      <c r="O837">
        <v>219.4</v>
      </c>
    </row>
    <row r="838" spans="1:15">
      <c r="A838">
        <v>837</v>
      </c>
      <c r="B838" t="s">
        <v>1321</v>
      </c>
      <c r="C838" t="s">
        <v>16</v>
      </c>
      <c r="D838" t="s">
        <v>17</v>
      </c>
      <c r="E838">
        <v>54.3</v>
      </c>
      <c r="F838" t="s">
        <v>62</v>
      </c>
      <c r="G838">
        <v>681</v>
      </c>
      <c r="H838" t="s">
        <v>27</v>
      </c>
      <c r="I838">
        <v>58060</v>
      </c>
      <c r="J838" t="s">
        <v>20</v>
      </c>
      <c r="K838" t="s">
        <v>2110</v>
      </c>
      <c r="L838" t="s">
        <v>1406</v>
      </c>
      <c r="M838" t="s">
        <v>59</v>
      </c>
      <c r="N838">
        <v>9</v>
      </c>
      <c r="O838">
        <v>171</v>
      </c>
    </row>
    <row r="839" spans="1:15">
      <c r="A839">
        <v>838</v>
      </c>
      <c r="B839" t="s">
        <v>2111</v>
      </c>
      <c r="C839" t="s">
        <v>123</v>
      </c>
      <c r="D839" t="s">
        <v>17</v>
      </c>
      <c r="E839">
        <v>56.2</v>
      </c>
      <c r="F839" t="s">
        <v>41</v>
      </c>
      <c r="G839">
        <v>460</v>
      </c>
      <c r="H839" t="s">
        <v>19</v>
      </c>
      <c r="I839">
        <v>115227</v>
      </c>
      <c r="J839" t="s">
        <v>20</v>
      </c>
      <c r="K839" t="s">
        <v>807</v>
      </c>
      <c r="L839" t="s">
        <v>586</v>
      </c>
      <c r="N839">
        <v>3</v>
      </c>
      <c r="O839">
        <v>125.3</v>
      </c>
    </row>
    <row r="840" spans="1:15">
      <c r="A840">
        <v>839</v>
      </c>
      <c r="B840" t="s">
        <v>1935</v>
      </c>
      <c r="C840" t="s">
        <v>133</v>
      </c>
      <c r="D840" t="s">
        <v>114</v>
      </c>
      <c r="E840">
        <v>34.5</v>
      </c>
      <c r="F840" t="s">
        <v>56</v>
      </c>
      <c r="G840">
        <v>443</v>
      </c>
      <c r="H840" t="s">
        <v>19</v>
      </c>
      <c r="I840">
        <v>14153</v>
      </c>
      <c r="J840" t="s">
        <v>20</v>
      </c>
      <c r="K840" t="s">
        <v>656</v>
      </c>
      <c r="L840" t="s">
        <v>2112</v>
      </c>
      <c r="M840" t="s">
        <v>117</v>
      </c>
      <c r="N840">
        <v>5</v>
      </c>
      <c r="O840">
        <v>109.5</v>
      </c>
    </row>
    <row r="841" spans="1:15">
      <c r="A841">
        <v>840</v>
      </c>
      <c r="B841" t="s">
        <v>2113</v>
      </c>
      <c r="C841" t="s">
        <v>133</v>
      </c>
      <c r="D841" t="s">
        <v>33</v>
      </c>
      <c r="E841">
        <v>91.5</v>
      </c>
      <c r="F841" t="s">
        <v>56</v>
      </c>
      <c r="G841">
        <v>405</v>
      </c>
      <c r="H841" t="s">
        <v>27</v>
      </c>
      <c r="I841">
        <v>33138</v>
      </c>
      <c r="J841" t="s">
        <v>20</v>
      </c>
      <c r="K841" t="s">
        <v>2114</v>
      </c>
      <c r="L841" t="s">
        <v>398</v>
      </c>
      <c r="M841" t="s">
        <v>48</v>
      </c>
      <c r="N841">
        <v>8</v>
      </c>
      <c r="O841">
        <v>298.2</v>
      </c>
    </row>
    <row r="842" spans="1:15">
      <c r="A842">
        <v>841</v>
      </c>
      <c r="B842" t="s">
        <v>2115</v>
      </c>
      <c r="C842" t="s">
        <v>158</v>
      </c>
      <c r="D842" t="s">
        <v>33</v>
      </c>
      <c r="E842">
        <v>15.2</v>
      </c>
      <c r="F842" t="s">
        <v>26</v>
      </c>
      <c r="G842">
        <v>268</v>
      </c>
      <c r="H842" t="s">
        <v>27</v>
      </c>
      <c r="I842">
        <v>39970</v>
      </c>
      <c r="J842" t="s">
        <v>20</v>
      </c>
      <c r="K842" t="s">
        <v>2116</v>
      </c>
      <c r="L842" t="s">
        <v>464</v>
      </c>
      <c r="M842" t="s">
        <v>112</v>
      </c>
      <c r="N842">
        <v>10</v>
      </c>
      <c r="O842">
        <v>47.4</v>
      </c>
    </row>
    <row r="843" spans="1:15">
      <c r="A843">
        <v>842</v>
      </c>
      <c r="B843" t="s">
        <v>2117</v>
      </c>
      <c r="C843" t="s">
        <v>123</v>
      </c>
      <c r="D843" t="s">
        <v>33</v>
      </c>
      <c r="E843">
        <v>40</v>
      </c>
      <c r="F843" t="s">
        <v>56</v>
      </c>
      <c r="G843">
        <v>320</v>
      </c>
      <c r="H843" t="s">
        <v>19</v>
      </c>
      <c r="I843">
        <v>44826</v>
      </c>
      <c r="J843" t="s">
        <v>20</v>
      </c>
      <c r="K843" t="s">
        <v>2118</v>
      </c>
      <c r="L843" t="s">
        <v>672</v>
      </c>
      <c r="N843">
        <v>10</v>
      </c>
      <c r="O843">
        <v>102.1</v>
      </c>
    </row>
    <row r="844" spans="1:15">
      <c r="A844">
        <v>843</v>
      </c>
      <c r="B844" t="s">
        <v>2119</v>
      </c>
      <c r="C844" t="s">
        <v>25</v>
      </c>
      <c r="D844" t="s">
        <v>61</v>
      </c>
      <c r="E844">
        <v>0</v>
      </c>
      <c r="F844" t="s">
        <v>62</v>
      </c>
      <c r="G844">
        <v>621</v>
      </c>
      <c r="H844" t="s">
        <v>19</v>
      </c>
      <c r="I844">
        <v>118208</v>
      </c>
      <c r="J844" t="s">
        <v>20</v>
      </c>
      <c r="K844" t="s">
        <v>557</v>
      </c>
      <c r="L844" t="s">
        <v>419</v>
      </c>
      <c r="M844" t="s">
        <v>112</v>
      </c>
      <c r="N844">
        <v>16</v>
      </c>
      <c r="O844">
        <v>0</v>
      </c>
    </row>
    <row r="845" spans="1:15">
      <c r="A845">
        <v>844</v>
      </c>
      <c r="B845" t="s">
        <v>2120</v>
      </c>
      <c r="C845" t="s">
        <v>133</v>
      </c>
      <c r="D845" t="s">
        <v>33</v>
      </c>
      <c r="E845">
        <v>94.4</v>
      </c>
      <c r="F845" t="s">
        <v>56</v>
      </c>
      <c r="G845">
        <v>539</v>
      </c>
      <c r="H845" t="s">
        <v>27</v>
      </c>
      <c r="I845">
        <v>114666</v>
      </c>
      <c r="J845" t="s">
        <v>20</v>
      </c>
      <c r="K845" t="s">
        <v>2121</v>
      </c>
      <c r="L845" t="s">
        <v>1390</v>
      </c>
      <c r="M845" t="s">
        <v>86</v>
      </c>
      <c r="N845">
        <v>16</v>
      </c>
      <c r="O845">
        <v>219.9</v>
      </c>
    </row>
    <row r="846" spans="1:15">
      <c r="A846">
        <v>845</v>
      </c>
      <c r="B846" t="s">
        <v>2122</v>
      </c>
      <c r="C846" t="s">
        <v>50</v>
      </c>
      <c r="D846" t="s">
        <v>137</v>
      </c>
      <c r="E846">
        <v>61.2</v>
      </c>
      <c r="F846" t="s">
        <v>62</v>
      </c>
      <c r="G846">
        <v>666</v>
      </c>
      <c r="H846" t="s">
        <v>19</v>
      </c>
      <c r="I846">
        <v>115544</v>
      </c>
      <c r="J846" t="s">
        <v>20</v>
      </c>
      <c r="K846" t="s">
        <v>2123</v>
      </c>
      <c r="L846" t="s">
        <v>2124</v>
      </c>
      <c r="M846" t="s">
        <v>69</v>
      </c>
      <c r="N846">
        <v>14</v>
      </c>
      <c r="O846">
        <v>214.2</v>
      </c>
    </row>
    <row r="847" spans="1:15">
      <c r="A847">
        <v>846</v>
      </c>
      <c r="B847" t="s">
        <v>2125</v>
      </c>
      <c r="C847" t="s">
        <v>25</v>
      </c>
      <c r="D847" t="s">
        <v>114</v>
      </c>
      <c r="E847">
        <v>9.9</v>
      </c>
      <c r="F847" t="s">
        <v>41</v>
      </c>
      <c r="G847">
        <v>646</v>
      </c>
      <c r="H847" t="s">
        <v>27</v>
      </c>
      <c r="I847">
        <v>62152</v>
      </c>
      <c r="J847" t="s">
        <v>20</v>
      </c>
      <c r="K847" t="s">
        <v>2126</v>
      </c>
      <c r="L847" t="s">
        <v>1345</v>
      </c>
      <c r="M847" t="s">
        <v>121</v>
      </c>
      <c r="N847">
        <v>2</v>
      </c>
      <c r="O847">
        <v>30.8</v>
      </c>
    </row>
    <row r="848" spans="1:15">
      <c r="A848">
        <v>847</v>
      </c>
      <c r="B848" t="s">
        <v>2127</v>
      </c>
      <c r="C848" t="s">
        <v>39</v>
      </c>
      <c r="D848" t="s">
        <v>17</v>
      </c>
      <c r="E848">
        <v>7.6</v>
      </c>
      <c r="F848" t="s">
        <v>26</v>
      </c>
      <c r="G848">
        <v>248</v>
      </c>
      <c r="H848" t="s">
        <v>27</v>
      </c>
      <c r="I848">
        <v>66633</v>
      </c>
      <c r="J848" t="s">
        <v>20</v>
      </c>
      <c r="K848" t="s">
        <v>2128</v>
      </c>
      <c r="L848" t="s">
        <v>2129</v>
      </c>
      <c r="M848" t="s">
        <v>54</v>
      </c>
      <c r="N848">
        <v>20</v>
      </c>
      <c r="O848">
        <v>21.2</v>
      </c>
    </row>
    <row r="849" spans="1:15">
      <c r="A849">
        <v>848</v>
      </c>
      <c r="B849" t="s">
        <v>349</v>
      </c>
      <c r="C849" t="s">
        <v>39</v>
      </c>
      <c r="D849" t="s">
        <v>33</v>
      </c>
      <c r="E849">
        <v>6.6</v>
      </c>
      <c r="F849" t="s">
        <v>41</v>
      </c>
      <c r="G849">
        <v>437</v>
      </c>
      <c r="H849" t="s">
        <v>19</v>
      </c>
      <c r="I849">
        <v>20901</v>
      </c>
      <c r="J849" t="s">
        <v>20</v>
      </c>
      <c r="K849" t="s">
        <v>2130</v>
      </c>
      <c r="L849" t="s">
        <v>2131</v>
      </c>
      <c r="N849">
        <v>11</v>
      </c>
      <c r="O849">
        <v>22.7</v>
      </c>
    </row>
    <row r="850" spans="1:15">
      <c r="A850">
        <v>849</v>
      </c>
      <c r="B850" t="s">
        <v>2132</v>
      </c>
      <c r="C850" t="s">
        <v>50</v>
      </c>
      <c r="D850" t="s">
        <v>17</v>
      </c>
      <c r="E850">
        <v>94.5</v>
      </c>
      <c r="F850" t="s">
        <v>56</v>
      </c>
      <c r="G850">
        <v>570</v>
      </c>
      <c r="H850" t="s">
        <v>19</v>
      </c>
      <c r="I850">
        <v>67763</v>
      </c>
      <c r="J850" t="s">
        <v>20</v>
      </c>
      <c r="K850" t="s">
        <v>2133</v>
      </c>
      <c r="L850" t="s">
        <v>2131</v>
      </c>
      <c r="M850" t="s">
        <v>48</v>
      </c>
      <c r="N850">
        <v>2</v>
      </c>
      <c r="O850">
        <v>204.3</v>
      </c>
    </row>
    <row r="851" spans="1:15">
      <c r="A851">
        <v>850</v>
      </c>
      <c r="B851" t="s">
        <v>2134</v>
      </c>
      <c r="C851" t="s">
        <v>158</v>
      </c>
      <c r="D851" t="s">
        <v>17</v>
      </c>
      <c r="E851">
        <v>18.2</v>
      </c>
      <c r="F851" t="s">
        <v>26</v>
      </c>
      <c r="G851">
        <v>226</v>
      </c>
      <c r="H851" t="s">
        <v>27</v>
      </c>
      <c r="I851">
        <v>27322</v>
      </c>
      <c r="J851" t="s">
        <v>20</v>
      </c>
      <c r="K851" t="s">
        <v>2135</v>
      </c>
      <c r="L851" t="s">
        <v>1376</v>
      </c>
      <c r="M851" t="s">
        <v>48</v>
      </c>
      <c r="N851">
        <v>20</v>
      </c>
      <c r="O851">
        <v>54</v>
      </c>
    </row>
    <row r="852" spans="1:15">
      <c r="A852">
        <v>851</v>
      </c>
      <c r="B852" t="s">
        <v>628</v>
      </c>
      <c r="C852" t="s">
        <v>39</v>
      </c>
      <c r="D852" t="s">
        <v>114</v>
      </c>
      <c r="E852">
        <v>84.2</v>
      </c>
      <c r="F852" t="s">
        <v>62</v>
      </c>
      <c r="G852">
        <v>557</v>
      </c>
      <c r="H852" t="s">
        <v>19</v>
      </c>
      <c r="I852">
        <v>16784</v>
      </c>
      <c r="J852" t="s">
        <v>20</v>
      </c>
      <c r="K852" t="s">
        <v>1324</v>
      </c>
      <c r="L852" t="s">
        <v>2136</v>
      </c>
      <c r="N852">
        <v>14</v>
      </c>
      <c r="O852">
        <v>294</v>
      </c>
    </row>
    <row r="853" spans="1:15">
      <c r="A853">
        <v>852</v>
      </c>
      <c r="B853" t="s">
        <v>2137</v>
      </c>
      <c r="C853" t="s">
        <v>32</v>
      </c>
      <c r="D853" t="s">
        <v>114</v>
      </c>
      <c r="E853">
        <v>18.600000000000001</v>
      </c>
      <c r="F853" t="s">
        <v>26</v>
      </c>
      <c r="G853">
        <v>629</v>
      </c>
      <c r="H853" t="s">
        <v>27</v>
      </c>
      <c r="I853">
        <v>35447</v>
      </c>
      <c r="J853" t="s">
        <v>20</v>
      </c>
      <c r="K853" t="s">
        <v>2138</v>
      </c>
      <c r="L853" t="s">
        <v>1178</v>
      </c>
      <c r="M853" t="s">
        <v>112</v>
      </c>
      <c r="N853">
        <v>19</v>
      </c>
      <c r="O853">
        <v>59.4</v>
      </c>
    </row>
    <row r="854" spans="1:15">
      <c r="A854">
        <v>853</v>
      </c>
      <c r="B854" t="s">
        <v>2139</v>
      </c>
      <c r="C854" t="s">
        <v>158</v>
      </c>
      <c r="D854" t="s">
        <v>33</v>
      </c>
      <c r="E854">
        <v>54.8</v>
      </c>
      <c r="F854" t="s">
        <v>62</v>
      </c>
      <c r="G854">
        <v>234</v>
      </c>
      <c r="H854" t="s">
        <v>19</v>
      </c>
      <c r="I854">
        <v>14381</v>
      </c>
      <c r="J854" t="s">
        <v>20</v>
      </c>
      <c r="K854" t="s">
        <v>2140</v>
      </c>
      <c r="L854" t="s">
        <v>1729</v>
      </c>
      <c r="M854" t="s">
        <v>54</v>
      </c>
      <c r="N854">
        <v>17</v>
      </c>
      <c r="O854">
        <v>150.80000000000001</v>
      </c>
    </row>
    <row r="855" spans="1:15">
      <c r="A855">
        <v>854</v>
      </c>
      <c r="B855" t="s">
        <v>2141</v>
      </c>
      <c r="C855" t="s">
        <v>158</v>
      </c>
      <c r="D855" t="s">
        <v>40</v>
      </c>
      <c r="E855">
        <v>75.900000000000006</v>
      </c>
      <c r="F855" t="s">
        <v>56</v>
      </c>
      <c r="G855">
        <v>676</v>
      </c>
      <c r="H855" t="s">
        <v>27</v>
      </c>
      <c r="I855">
        <v>92517</v>
      </c>
      <c r="J855" t="s">
        <v>20</v>
      </c>
      <c r="K855" t="s">
        <v>1733</v>
      </c>
      <c r="L855" t="s">
        <v>1022</v>
      </c>
      <c r="N855">
        <v>12</v>
      </c>
      <c r="O855">
        <v>168.6</v>
      </c>
    </row>
    <row r="856" spans="1:15">
      <c r="A856">
        <v>855</v>
      </c>
      <c r="B856" t="s">
        <v>2142</v>
      </c>
      <c r="C856" t="s">
        <v>50</v>
      </c>
      <c r="D856" t="s">
        <v>40</v>
      </c>
      <c r="E856">
        <v>99.9</v>
      </c>
      <c r="F856" t="s">
        <v>18</v>
      </c>
      <c r="G856">
        <v>430</v>
      </c>
      <c r="H856" t="s">
        <v>27</v>
      </c>
      <c r="I856">
        <v>51142</v>
      </c>
      <c r="J856" t="s">
        <v>20</v>
      </c>
      <c r="K856" t="s">
        <v>2143</v>
      </c>
      <c r="L856" t="s">
        <v>2144</v>
      </c>
      <c r="M856" t="s">
        <v>441</v>
      </c>
      <c r="N856">
        <v>14</v>
      </c>
      <c r="O856">
        <v>238.9</v>
      </c>
    </row>
    <row r="857" spans="1:15">
      <c r="A857">
        <v>856</v>
      </c>
      <c r="B857" t="s">
        <v>2145</v>
      </c>
      <c r="C857" t="s">
        <v>16</v>
      </c>
      <c r="D857" t="s">
        <v>33</v>
      </c>
      <c r="E857">
        <v>88.3</v>
      </c>
      <c r="F857" t="s">
        <v>62</v>
      </c>
      <c r="G857">
        <v>437</v>
      </c>
      <c r="H857" t="s">
        <v>19</v>
      </c>
      <c r="I857">
        <v>106864</v>
      </c>
      <c r="J857" t="s">
        <v>20</v>
      </c>
      <c r="K857" t="s">
        <v>2146</v>
      </c>
      <c r="L857" t="s">
        <v>1587</v>
      </c>
      <c r="M857" t="s">
        <v>54</v>
      </c>
      <c r="N857">
        <v>12</v>
      </c>
      <c r="O857">
        <v>194.8</v>
      </c>
    </row>
    <row r="858" spans="1:15">
      <c r="A858">
        <v>857</v>
      </c>
      <c r="B858" t="s">
        <v>2147</v>
      </c>
      <c r="C858" t="s">
        <v>39</v>
      </c>
      <c r="D858" t="s">
        <v>33</v>
      </c>
      <c r="E858">
        <v>14.7</v>
      </c>
      <c r="F858" t="s">
        <v>41</v>
      </c>
      <c r="G858">
        <v>415</v>
      </c>
      <c r="H858" t="s">
        <v>19</v>
      </c>
      <c r="I858">
        <v>33793</v>
      </c>
      <c r="J858" t="s">
        <v>20</v>
      </c>
      <c r="K858" t="s">
        <v>2148</v>
      </c>
      <c r="L858" t="s">
        <v>2149</v>
      </c>
      <c r="M858" t="s">
        <v>112</v>
      </c>
      <c r="N858">
        <v>6</v>
      </c>
      <c r="O858">
        <v>46.9</v>
      </c>
    </row>
    <row r="859" spans="1:15">
      <c r="A859">
        <v>858</v>
      </c>
      <c r="B859" t="s">
        <v>2150</v>
      </c>
      <c r="C859" t="s">
        <v>32</v>
      </c>
      <c r="D859" t="s">
        <v>114</v>
      </c>
      <c r="E859">
        <v>88.8</v>
      </c>
      <c r="F859" t="s">
        <v>26</v>
      </c>
      <c r="G859">
        <v>406</v>
      </c>
      <c r="H859" t="s">
        <v>27</v>
      </c>
      <c r="I859">
        <v>102146</v>
      </c>
      <c r="J859" t="s">
        <v>20</v>
      </c>
      <c r="K859" t="s">
        <v>2151</v>
      </c>
      <c r="L859" t="s">
        <v>1665</v>
      </c>
      <c r="M859" t="s">
        <v>48</v>
      </c>
      <c r="N859">
        <v>14</v>
      </c>
      <c r="O859">
        <v>200.5</v>
      </c>
    </row>
    <row r="860" spans="1:15">
      <c r="A860">
        <v>859</v>
      </c>
      <c r="B860" t="s">
        <v>2152</v>
      </c>
      <c r="C860" t="s">
        <v>39</v>
      </c>
      <c r="D860" t="s">
        <v>40</v>
      </c>
      <c r="E860">
        <v>85</v>
      </c>
      <c r="F860" t="s">
        <v>56</v>
      </c>
      <c r="G860">
        <v>302</v>
      </c>
      <c r="H860" t="s">
        <v>27</v>
      </c>
      <c r="I860">
        <v>59679</v>
      </c>
      <c r="J860" t="s">
        <v>20</v>
      </c>
      <c r="K860" t="s">
        <v>2153</v>
      </c>
      <c r="L860" t="s">
        <v>2154</v>
      </c>
      <c r="M860" t="s">
        <v>441</v>
      </c>
      <c r="N860">
        <v>16</v>
      </c>
      <c r="O860">
        <v>176.5</v>
      </c>
    </row>
    <row r="861" spans="1:15">
      <c r="A861">
        <v>860</v>
      </c>
      <c r="B861" t="s">
        <v>2155</v>
      </c>
      <c r="C861" t="s">
        <v>133</v>
      </c>
      <c r="D861" t="s">
        <v>40</v>
      </c>
      <c r="E861">
        <v>12.1</v>
      </c>
      <c r="F861" t="s">
        <v>56</v>
      </c>
      <c r="G861">
        <v>680</v>
      </c>
      <c r="H861" t="s">
        <v>19</v>
      </c>
      <c r="I861">
        <v>79511</v>
      </c>
      <c r="J861" t="s">
        <v>20</v>
      </c>
      <c r="K861" t="s">
        <v>2156</v>
      </c>
      <c r="L861" t="s">
        <v>2157</v>
      </c>
      <c r="M861" t="s">
        <v>86</v>
      </c>
      <c r="N861">
        <v>2</v>
      </c>
      <c r="O861">
        <v>36</v>
      </c>
    </row>
    <row r="862" spans="1:15">
      <c r="A862">
        <v>861</v>
      </c>
      <c r="B862" t="s">
        <v>2158</v>
      </c>
      <c r="C862" t="s">
        <v>25</v>
      </c>
      <c r="D862" t="s">
        <v>137</v>
      </c>
      <c r="E862">
        <v>18.399999999999999</v>
      </c>
      <c r="F862" t="s">
        <v>56</v>
      </c>
      <c r="G862">
        <v>597</v>
      </c>
      <c r="H862" t="s">
        <v>27</v>
      </c>
      <c r="I862">
        <v>114976</v>
      </c>
      <c r="J862" t="s">
        <v>20</v>
      </c>
      <c r="K862" t="s">
        <v>2159</v>
      </c>
      <c r="L862" t="s">
        <v>508</v>
      </c>
      <c r="M862" t="s">
        <v>48</v>
      </c>
      <c r="N862">
        <v>7</v>
      </c>
      <c r="O862">
        <v>42.1</v>
      </c>
    </row>
    <row r="863" spans="1:15">
      <c r="A863">
        <v>862</v>
      </c>
      <c r="B863" t="s">
        <v>2160</v>
      </c>
      <c r="C863" t="s">
        <v>133</v>
      </c>
      <c r="D863" t="s">
        <v>17</v>
      </c>
      <c r="E863">
        <v>37.200000000000003</v>
      </c>
      <c r="F863" t="s">
        <v>56</v>
      </c>
      <c r="G863">
        <v>418</v>
      </c>
      <c r="H863" t="s">
        <v>19</v>
      </c>
      <c r="I863">
        <v>16410</v>
      </c>
      <c r="J863" t="s">
        <v>20</v>
      </c>
      <c r="K863" t="s">
        <v>1324</v>
      </c>
      <c r="L863" t="s">
        <v>419</v>
      </c>
      <c r="N863">
        <v>17</v>
      </c>
      <c r="O863">
        <v>100.9</v>
      </c>
    </row>
    <row r="864" spans="1:15">
      <c r="A864">
        <v>863</v>
      </c>
      <c r="B864" t="s">
        <v>2161</v>
      </c>
      <c r="C864" t="s">
        <v>133</v>
      </c>
      <c r="D864" t="s">
        <v>137</v>
      </c>
      <c r="E864">
        <v>78.099999999999994</v>
      </c>
      <c r="F864" t="s">
        <v>26</v>
      </c>
      <c r="G864">
        <v>130</v>
      </c>
      <c r="H864" t="s">
        <v>19</v>
      </c>
      <c r="I864">
        <v>73030</v>
      </c>
      <c r="J864" t="s">
        <v>20</v>
      </c>
      <c r="K864" t="s">
        <v>2162</v>
      </c>
      <c r="L864" t="s">
        <v>1596</v>
      </c>
      <c r="M864" t="s">
        <v>86</v>
      </c>
      <c r="N864">
        <v>17</v>
      </c>
      <c r="O864">
        <v>256.60000000000002</v>
      </c>
    </row>
    <row r="865" spans="1:15">
      <c r="A865">
        <v>864</v>
      </c>
      <c r="B865" t="s">
        <v>2163</v>
      </c>
      <c r="C865" t="s">
        <v>158</v>
      </c>
      <c r="D865" t="s">
        <v>61</v>
      </c>
      <c r="E865">
        <v>0</v>
      </c>
      <c r="F865" t="s">
        <v>56</v>
      </c>
      <c r="G865">
        <v>619</v>
      </c>
      <c r="H865" t="s">
        <v>19</v>
      </c>
      <c r="I865">
        <v>92437</v>
      </c>
      <c r="J865" t="s">
        <v>20</v>
      </c>
      <c r="K865" t="s">
        <v>2164</v>
      </c>
      <c r="L865" t="s">
        <v>1697</v>
      </c>
      <c r="M865" t="s">
        <v>54</v>
      </c>
      <c r="N865">
        <v>7</v>
      </c>
      <c r="O865">
        <v>0</v>
      </c>
    </row>
    <row r="866" spans="1:15">
      <c r="A866">
        <v>865</v>
      </c>
      <c r="B866" t="s">
        <v>2165</v>
      </c>
      <c r="C866" t="s">
        <v>39</v>
      </c>
      <c r="D866" t="s">
        <v>61</v>
      </c>
      <c r="E866">
        <v>0</v>
      </c>
      <c r="F866" t="s">
        <v>62</v>
      </c>
      <c r="G866">
        <v>697</v>
      </c>
      <c r="H866" t="s">
        <v>19</v>
      </c>
      <c r="I866">
        <v>99035</v>
      </c>
      <c r="J866" t="s">
        <v>20</v>
      </c>
      <c r="K866" t="s">
        <v>2166</v>
      </c>
      <c r="L866" t="s">
        <v>22</v>
      </c>
      <c r="M866" t="s">
        <v>59</v>
      </c>
      <c r="N866">
        <v>4</v>
      </c>
      <c r="O866">
        <v>0</v>
      </c>
    </row>
    <row r="867" spans="1:15">
      <c r="A867">
        <v>866</v>
      </c>
      <c r="B867" t="s">
        <v>2167</v>
      </c>
      <c r="C867" t="s">
        <v>25</v>
      </c>
      <c r="D867" t="s">
        <v>17</v>
      </c>
      <c r="E867">
        <v>51.1</v>
      </c>
      <c r="F867" t="s">
        <v>41</v>
      </c>
      <c r="G867">
        <v>146</v>
      </c>
      <c r="H867" t="s">
        <v>27</v>
      </c>
      <c r="I867">
        <v>38710</v>
      </c>
      <c r="J867" t="s">
        <v>20</v>
      </c>
      <c r="K867" t="s">
        <v>1662</v>
      </c>
      <c r="L867" t="s">
        <v>493</v>
      </c>
      <c r="M867" t="s">
        <v>117</v>
      </c>
      <c r="N867">
        <v>2</v>
      </c>
      <c r="O867">
        <v>131.69999999999999</v>
      </c>
    </row>
    <row r="868" spans="1:15">
      <c r="A868">
        <v>867</v>
      </c>
      <c r="B868" t="s">
        <v>2168</v>
      </c>
      <c r="C868" t="s">
        <v>25</v>
      </c>
      <c r="D868" t="s">
        <v>17</v>
      </c>
      <c r="E868">
        <v>35.5</v>
      </c>
      <c r="F868" t="s">
        <v>26</v>
      </c>
      <c r="G868">
        <v>459</v>
      </c>
      <c r="H868" t="s">
        <v>19</v>
      </c>
      <c r="I868">
        <v>72313</v>
      </c>
      <c r="J868" t="s">
        <v>20</v>
      </c>
      <c r="K868" t="s">
        <v>1128</v>
      </c>
      <c r="L868" t="s">
        <v>2169</v>
      </c>
      <c r="M868" t="s">
        <v>112</v>
      </c>
      <c r="N868">
        <v>18</v>
      </c>
      <c r="O868">
        <v>118.4</v>
      </c>
    </row>
    <row r="869" spans="1:15">
      <c r="A869">
        <v>868</v>
      </c>
      <c r="B869" t="s">
        <v>2170</v>
      </c>
      <c r="C869" t="s">
        <v>123</v>
      </c>
      <c r="D869" t="s">
        <v>137</v>
      </c>
      <c r="E869">
        <v>18</v>
      </c>
      <c r="F869" t="s">
        <v>56</v>
      </c>
      <c r="G869">
        <v>265</v>
      </c>
      <c r="H869" t="s">
        <v>19</v>
      </c>
      <c r="I869">
        <v>35391</v>
      </c>
      <c r="J869" t="s">
        <v>20</v>
      </c>
      <c r="K869" t="s">
        <v>2171</v>
      </c>
      <c r="L869" t="s">
        <v>1523</v>
      </c>
      <c r="N869">
        <v>15</v>
      </c>
      <c r="O869">
        <v>61.6</v>
      </c>
    </row>
    <row r="870" spans="1:15">
      <c r="A870">
        <v>869</v>
      </c>
      <c r="B870" t="s">
        <v>456</v>
      </c>
      <c r="C870" t="s">
        <v>32</v>
      </c>
      <c r="D870" t="s">
        <v>61</v>
      </c>
      <c r="E870">
        <v>0</v>
      </c>
      <c r="F870" t="s">
        <v>26</v>
      </c>
      <c r="G870">
        <v>281</v>
      </c>
      <c r="H870" t="s">
        <v>27</v>
      </c>
      <c r="I870">
        <v>62615</v>
      </c>
      <c r="J870" t="s">
        <v>20</v>
      </c>
      <c r="K870" t="s">
        <v>2172</v>
      </c>
      <c r="L870" t="s">
        <v>2173</v>
      </c>
      <c r="M870" t="s">
        <v>48</v>
      </c>
      <c r="N870">
        <v>11</v>
      </c>
      <c r="O870">
        <v>0</v>
      </c>
    </row>
    <row r="871" spans="1:15">
      <c r="A871">
        <v>870</v>
      </c>
      <c r="B871" t="s">
        <v>2174</v>
      </c>
      <c r="C871" t="s">
        <v>32</v>
      </c>
      <c r="D871" t="s">
        <v>61</v>
      </c>
      <c r="E871">
        <v>0</v>
      </c>
      <c r="F871" t="s">
        <v>18</v>
      </c>
      <c r="G871">
        <v>99</v>
      </c>
      <c r="H871" t="s">
        <v>19</v>
      </c>
      <c r="I871">
        <v>34485</v>
      </c>
      <c r="J871" t="s">
        <v>20</v>
      </c>
      <c r="K871" t="s">
        <v>2175</v>
      </c>
      <c r="L871" t="s">
        <v>853</v>
      </c>
      <c r="M871" t="s">
        <v>121</v>
      </c>
      <c r="N871">
        <v>10</v>
      </c>
      <c r="O871">
        <v>0</v>
      </c>
    </row>
    <row r="872" spans="1:15">
      <c r="A872">
        <v>871</v>
      </c>
      <c r="B872" t="s">
        <v>2176</v>
      </c>
      <c r="C872" t="s">
        <v>32</v>
      </c>
      <c r="D872" t="s">
        <v>137</v>
      </c>
      <c r="E872">
        <v>48</v>
      </c>
      <c r="F872" t="s">
        <v>26</v>
      </c>
      <c r="G872">
        <v>262</v>
      </c>
      <c r="H872" t="s">
        <v>27</v>
      </c>
      <c r="I872">
        <v>35649</v>
      </c>
      <c r="J872" t="s">
        <v>20</v>
      </c>
      <c r="K872" t="s">
        <v>1196</v>
      </c>
      <c r="L872" t="s">
        <v>791</v>
      </c>
      <c r="M872" t="s">
        <v>121</v>
      </c>
      <c r="N872">
        <v>8</v>
      </c>
      <c r="O872">
        <v>121.3</v>
      </c>
    </row>
    <row r="873" spans="1:15">
      <c r="A873">
        <v>872</v>
      </c>
      <c r="B873" t="s">
        <v>2177</v>
      </c>
      <c r="C873" t="s">
        <v>50</v>
      </c>
      <c r="D873" t="s">
        <v>40</v>
      </c>
      <c r="E873">
        <v>67.8</v>
      </c>
      <c r="F873" t="s">
        <v>26</v>
      </c>
      <c r="G873">
        <v>278</v>
      </c>
      <c r="H873" t="s">
        <v>19</v>
      </c>
      <c r="I873">
        <v>59074</v>
      </c>
      <c r="J873" t="s">
        <v>20</v>
      </c>
      <c r="K873" t="s">
        <v>262</v>
      </c>
      <c r="L873" t="s">
        <v>2178</v>
      </c>
      <c r="M873" t="s">
        <v>86</v>
      </c>
      <c r="N873">
        <v>8</v>
      </c>
      <c r="O873">
        <v>219</v>
      </c>
    </row>
    <row r="874" spans="1:15">
      <c r="A874">
        <v>873</v>
      </c>
      <c r="B874" t="s">
        <v>2179</v>
      </c>
      <c r="C874" t="s">
        <v>39</v>
      </c>
      <c r="D874" t="s">
        <v>137</v>
      </c>
      <c r="E874">
        <v>11.8</v>
      </c>
      <c r="F874" t="s">
        <v>26</v>
      </c>
      <c r="G874">
        <v>391</v>
      </c>
      <c r="H874" t="s">
        <v>27</v>
      </c>
      <c r="I874">
        <v>108994</v>
      </c>
      <c r="J874" t="s">
        <v>20</v>
      </c>
      <c r="K874" t="s">
        <v>2180</v>
      </c>
      <c r="L874" t="s">
        <v>908</v>
      </c>
      <c r="M874" t="s">
        <v>59</v>
      </c>
      <c r="N874">
        <v>7</v>
      </c>
      <c r="O874">
        <v>40.299999999999997</v>
      </c>
    </row>
    <row r="875" spans="1:15">
      <c r="A875">
        <v>874</v>
      </c>
      <c r="B875" t="s">
        <v>2181</v>
      </c>
      <c r="C875" t="s">
        <v>133</v>
      </c>
      <c r="D875" t="s">
        <v>40</v>
      </c>
      <c r="E875">
        <v>65</v>
      </c>
      <c r="F875" t="s">
        <v>18</v>
      </c>
      <c r="G875">
        <v>580</v>
      </c>
      <c r="H875" t="s">
        <v>27</v>
      </c>
      <c r="I875">
        <v>85538</v>
      </c>
      <c r="J875" t="s">
        <v>20</v>
      </c>
      <c r="K875" t="s">
        <v>2182</v>
      </c>
      <c r="L875" t="s">
        <v>1008</v>
      </c>
      <c r="M875" t="s">
        <v>69</v>
      </c>
      <c r="N875">
        <v>16</v>
      </c>
      <c r="O875">
        <v>213.1</v>
      </c>
    </row>
    <row r="876" spans="1:15">
      <c r="A876">
        <v>875</v>
      </c>
      <c r="B876" t="s">
        <v>2179</v>
      </c>
      <c r="C876" t="s">
        <v>16</v>
      </c>
      <c r="D876" t="s">
        <v>137</v>
      </c>
      <c r="E876">
        <v>50.6</v>
      </c>
      <c r="F876" t="s">
        <v>18</v>
      </c>
      <c r="G876">
        <v>406</v>
      </c>
      <c r="H876" t="s">
        <v>19</v>
      </c>
      <c r="I876">
        <v>27285</v>
      </c>
      <c r="J876" t="s">
        <v>20</v>
      </c>
      <c r="K876" t="s">
        <v>2183</v>
      </c>
      <c r="L876" t="s">
        <v>830</v>
      </c>
      <c r="M876" t="s">
        <v>121</v>
      </c>
      <c r="N876">
        <v>14</v>
      </c>
      <c r="O876">
        <v>167.3</v>
      </c>
    </row>
    <row r="877" spans="1:15">
      <c r="A877">
        <v>876</v>
      </c>
      <c r="B877" t="s">
        <v>2184</v>
      </c>
      <c r="C877" t="s">
        <v>32</v>
      </c>
      <c r="D877" t="s">
        <v>17</v>
      </c>
      <c r="E877">
        <v>4.8</v>
      </c>
      <c r="F877" t="s">
        <v>62</v>
      </c>
      <c r="G877">
        <v>277</v>
      </c>
      <c r="H877" t="s">
        <v>27</v>
      </c>
      <c r="I877">
        <v>82021</v>
      </c>
      <c r="J877" t="s">
        <v>20</v>
      </c>
      <c r="K877" t="s">
        <v>991</v>
      </c>
      <c r="L877" t="s">
        <v>786</v>
      </c>
      <c r="M877" t="s">
        <v>117</v>
      </c>
      <c r="N877">
        <v>6</v>
      </c>
      <c r="O877">
        <v>15.9</v>
      </c>
    </row>
    <row r="878" spans="1:15">
      <c r="A878">
        <v>877</v>
      </c>
      <c r="B878" t="s">
        <v>2185</v>
      </c>
      <c r="C878" t="s">
        <v>16</v>
      </c>
      <c r="D878" t="s">
        <v>114</v>
      </c>
      <c r="E878">
        <v>24.5</v>
      </c>
      <c r="F878" t="s">
        <v>41</v>
      </c>
      <c r="G878">
        <v>49</v>
      </c>
      <c r="H878" t="s">
        <v>19</v>
      </c>
      <c r="I878">
        <v>59014</v>
      </c>
      <c r="J878" t="s">
        <v>20</v>
      </c>
      <c r="K878" t="s">
        <v>2186</v>
      </c>
      <c r="L878" t="s">
        <v>2187</v>
      </c>
      <c r="M878" t="s">
        <v>54</v>
      </c>
      <c r="N878">
        <v>4</v>
      </c>
      <c r="O878">
        <v>71.400000000000006</v>
      </c>
    </row>
    <row r="879" spans="1:15">
      <c r="A879">
        <v>878</v>
      </c>
      <c r="B879" t="s">
        <v>2188</v>
      </c>
      <c r="C879" t="s">
        <v>32</v>
      </c>
      <c r="D879" t="s">
        <v>17</v>
      </c>
      <c r="E879">
        <v>57.3</v>
      </c>
      <c r="F879" t="s">
        <v>26</v>
      </c>
      <c r="G879">
        <v>446</v>
      </c>
      <c r="H879" t="s">
        <v>27</v>
      </c>
      <c r="I879">
        <v>116956</v>
      </c>
      <c r="J879" t="s">
        <v>20</v>
      </c>
      <c r="K879" t="s">
        <v>2189</v>
      </c>
      <c r="L879" t="s">
        <v>447</v>
      </c>
      <c r="M879" t="s">
        <v>112</v>
      </c>
      <c r="N879">
        <v>2</v>
      </c>
      <c r="O879">
        <v>181.4</v>
      </c>
    </row>
    <row r="880" spans="1:15">
      <c r="A880">
        <v>879</v>
      </c>
      <c r="B880" t="s">
        <v>2190</v>
      </c>
      <c r="C880" t="s">
        <v>50</v>
      </c>
      <c r="D880" t="s">
        <v>137</v>
      </c>
      <c r="E880">
        <v>60.1</v>
      </c>
      <c r="F880" t="s">
        <v>62</v>
      </c>
      <c r="G880">
        <v>321</v>
      </c>
      <c r="H880" t="s">
        <v>19</v>
      </c>
      <c r="I880">
        <v>22907</v>
      </c>
      <c r="J880" t="s">
        <v>20</v>
      </c>
      <c r="K880" t="s">
        <v>2191</v>
      </c>
      <c r="L880" t="s">
        <v>2192</v>
      </c>
      <c r="M880" t="s">
        <v>54</v>
      </c>
      <c r="N880">
        <v>6</v>
      </c>
      <c r="O880">
        <v>139.30000000000001</v>
      </c>
    </row>
    <row r="881" spans="1:15">
      <c r="A881">
        <v>880</v>
      </c>
      <c r="B881" t="s">
        <v>2193</v>
      </c>
      <c r="C881" t="s">
        <v>32</v>
      </c>
      <c r="D881" t="s">
        <v>40</v>
      </c>
      <c r="E881">
        <v>57.8</v>
      </c>
      <c r="F881" t="s">
        <v>18</v>
      </c>
      <c r="G881">
        <v>684</v>
      </c>
      <c r="H881" t="s">
        <v>27</v>
      </c>
      <c r="I881">
        <v>28385</v>
      </c>
      <c r="J881" t="s">
        <v>20</v>
      </c>
      <c r="K881" t="s">
        <v>2194</v>
      </c>
      <c r="L881" t="s">
        <v>2195</v>
      </c>
      <c r="M881" t="s">
        <v>69</v>
      </c>
      <c r="N881">
        <v>15</v>
      </c>
      <c r="O881">
        <v>190.3</v>
      </c>
    </row>
    <row r="882" spans="1:15">
      <c r="A882">
        <v>881</v>
      </c>
      <c r="B882" t="s">
        <v>1107</v>
      </c>
      <c r="C882" t="s">
        <v>123</v>
      </c>
      <c r="D882" t="s">
        <v>137</v>
      </c>
      <c r="E882">
        <v>56.1</v>
      </c>
      <c r="F882" t="s">
        <v>62</v>
      </c>
      <c r="G882">
        <v>492</v>
      </c>
      <c r="H882" t="s">
        <v>27</v>
      </c>
      <c r="I882">
        <v>32701</v>
      </c>
      <c r="J882" t="s">
        <v>20</v>
      </c>
      <c r="K882" t="s">
        <v>2196</v>
      </c>
      <c r="L882" t="s">
        <v>1863</v>
      </c>
      <c r="M882" t="s">
        <v>69</v>
      </c>
      <c r="N882">
        <v>6</v>
      </c>
      <c r="O882">
        <v>173.7</v>
      </c>
    </row>
    <row r="883" spans="1:15">
      <c r="A883">
        <v>882</v>
      </c>
      <c r="B883" t="s">
        <v>2197</v>
      </c>
      <c r="C883" t="s">
        <v>32</v>
      </c>
      <c r="D883" t="s">
        <v>17</v>
      </c>
      <c r="E883">
        <v>60.1</v>
      </c>
      <c r="F883" t="s">
        <v>56</v>
      </c>
      <c r="G883">
        <v>689</v>
      </c>
      <c r="H883" t="s">
        <v>27</v>
      </c>
      <c r="I883">
        <v>92242</v>
      </c>
      <c r="J883" t="s">
        <v>20</v>
      </c>
      <c r="K883" t="s">
        <v>2198</v>
      </c>
      <c r="L883" t="s">
        <v>712</v>
      </c>
      <c r="M883" t="s">
        <v>121</v>
      </c>
      <c r="N883">
        <v>3</v>
      </c>
      <c r="O883">
        <v>150.30000000000001</v>
      </c>
    </row>
    <row r="884" spans="1:15">
      <c r="A884">
        <v>883</v>
      </c>
      <c r="B884" t="s">
        <v>2199</v>
      </c>
      <c r="C884" t="s">
        <v>32</v>
      </c>
      <c r="D884" t="s">
        <v>61</v>
      </c>
      <c r="E884">
        <v>0</v>
      </c>
      <c r="F884" t="s">
        <v>41</v>
      </c>
      <c r="G884">
        <v>345</v>
      </c>
      <c r="H884" t="s">
        <v>27</v>
      </c>
      <c r="I884">
        <v>80055</v>
      </c>
      <c r="J884" t="s">
        <v>20</v>
      </c>
      <c r="K884" t="s">
        <v>2200</v>
      </c>
      <c r="L884" t="s">
        <v>1497</v>
      </c>
      <c r="M884" t="s">
        <v>121</v>
      </c>
      <c r="N884">
        <v>7</v>
      </c>
      <c r="O884">
        <v>0</v>
      </c>
    </row>
    <row r="885" spans="1:15">
      <c r="A885">
        <v>884</v>
      </c>
      <c r="B885" t="s">
        <v>165</v>
      </c>
      <c r="C885" t="s">
        <v>25</v>
      </c>
      <c r="D885" t="s">
        <v>40</v>
      </c>
      <c r="E885">
        <v>32.6</v>
      </c>
      <c r="F885" t="s">
        <v>41</v>
      </c>
      <c r="G885">
        <v>226</v>
      </c>
      <c r="H885" t="s">
        <v>27</v>
      </c>
      <c r="I885">
        <v>30729</v>
      </c>
      <c r="J885" t="s">
        <v>20</v>
      </c>
      <c r="K885" t="s">
        <v>1449</v>
      </c>
      <c r="L885" t="s">
        <v>908</v>
      </c>
      <c r="M885" t="s">
        <v>59</v>
      </c>
      <c r="N885">
        <v>2</v>
      </c>
      <c r="O885">
        <v>94.7</v>
      </c>
    </row>
    <row r="886" spans="1:15">
      <c r="A886">
        <v>885</v>
      </c>
      <c r="B886" t="s">
        <v>2201</v>
      </c>
      <c r="C886" t="s">
        <v>32</v>
      </c>
      <c r="D886" t="s">
        <v>40</v>
      </c>
      <c r="E886">
        <v>39.200000000000003</v>
      </c>
      <c r="F886" t="s">
        <v>41</v>
      </c>
      <c r="G886">
        <v>656</v>
      </c>
      <c r="H886" t="s">
        <v>27</v>
      </c>
      <c r="I886">
        <v>68507</v>
      </c>
      <c r="J886" t="s">
        <v>20</v>
      </c>
      <c r="K886" t="s">
        <v>2202</v>
      </c>
      <c r="L886" t="s">
        <v>1415</v>
      </c>
      <c r="M886" t="s">
        <v>121</v>
      </c>
      <c r="N886">
        <v>12</v>
      </c>
      <c r="O886">
        <v>97.1</v>
      </c>
    </row>
    <row r="887" spans="1:15">
      <c r="A887">
        <v>886</v>
      </c>
      <c r="B887" t="s">
        <v>2203</v>
      </c>
      <c r="C887" t="s">
        <v>158</v>
      </c>
      <c r="D887" t="s">
        <v>114</v>
      </c>
      <c r="E887">
        <v>9.1999999999999993</v>
      </c>
      <c r="F887" t="s">
        <v>56</v>
      </c>
      <c r="G887">
        <v>439</v>
      </c>
      <c r="H887" t="s">
        <v>27</v>
      </c>
      <c r="I887">
        <v>106857</v>
      </c>
      <c r="J887" t="s">
        <v>20</v>
      </c>
      <c r="K887" t="s">
        <v>2204</v>
      </c>
      <c r="L887" t="s">
        <v>1013</v>
      </c>
      <c r="M887" t="s">
        <v>441</v>
      </c>
      <c r="N887">
        <v>5</v>
      </c>
      <c r="O887">
        <v>25.7</v>
      </c>
    </row>
    <row r="888" spans="1:15">
      <c r="A888">
        <v>887</v>
      </c>
      <c r="B888" t="s">
        <v>1292</v>
      </c>
      <c r="C888" t="s">
        <v>25</v>
      </c>
      <c r="D888" t="s">
        <v>40</v>
      </c>
      <c r="E888">
        <v>95.7</v>
      </c>
      <c r="F888" t="s">
        <v>26</v>
      </c>
      <c r="G888">
        <v>478</v>
      </c>
      <c r="H888" t="s">
        <v>27</v>
      </c>
      <c r="I888">
        <v>42117</v>
      </c>
      <c r="J888" t="s">
        <v>20</v>
      </c>
      <c r="K888" t="s">
        <v>2205</v>
      </c>
      <c r="L888" t="s">
        <v>1581</v>
      </c>
      <c r="M888" t="s">
        <v>121</v>
      </c>
      <c r="N888">
        <v>19</v>
      </c>
      <c r="O888">
        <v>213.3</v>
      </c>
    </row>
    <row r="889" spans="1:15">
      <c r="A889">
        <v>888</v>
      </c>
      <c r="B889" t="s">
        <v>2206</v>
      </c>
      <c r="C889" t="s">
        <v>133</v>
      </c>
      <c r="D889" t="s">
        <v>17</v>
      </c>
      <c r="E889">
        <v>91.4</v>
      </c>
      <c r="F889" t="s">
        <v>56</v>
      </c>
      <c r="G889">
        <v>213</v>
      </c>
      <c r="H889" t="s">
        <v>27</v>
      </c>
      <c r="I889">
        <v>44363</v>
      </c>
      <c r="J889" t="s">
        <v>20</v>
      </c>
      <c r="K889" t="s">
        <v>2207</v>
      </c>
      <c r="L889" t="s">
        <v>2208</v>
      </c>
      <c r="N889">
        <v>8</v>
      </c>
      <c r="O889">
        <v>203.6</v>
      </c>
    </row>
    <row r="890" spans="1:15">
      <c r="A890">
        <v>889</v>
      </c>
      <c r="B890" t="s">
        <v>2209</v>
      </c>
      <c r="C890" t="s">
        <v>50</v>
      </c>
      <c r="D890" t="s">
        <v>17</v>
      </c>
      <c r="E890">
        <v>24</v>
      </c>
      <c r="F890" t="s">
        <v>26</v>
      </c>
      <c r="G890">
        <v>489</v>
      </c>
      <c r="H890" t="s">
        <v>27</v>
      </c>
      <c r="I890">
        <v>54376</v>
      </c>
      <c r="J890" t="s">
        <v>20</v>
      </c>
      <c r="K890" t="s">
        <v>2210</v>
      </c>
      <c r="L890" t="s">
        <v>2211</v>
      </c>
      <c r="M890" t="s">
        <v>86</v>
      </c>
      <c r="N890">
        <v>12</v>
      </c>
      <c r="O890">
        <v>78.3</v>
      </c>
    </row>
    <row r="891" spans="1:15">
      <c r="A891">
        <v>890</v>
      </c>
      <c r="B891" t="s">
        <v>2212</v>
      </c>
      <c r="C891" t="s">
        <v>16</v>
      </c>
      <c r="D891" t="s">
        <v>114</v>
      </c>
      <c r="E891">
        <v>32.5</v>
      </c>
      <c r="F891" t="s">
        <v>41</v>
      </c>
      <c r="G891">
        <v>443</v>
      </c>
      <c r="H891" t="s">
        <v>27</v>
      </c>
      <c r="I891">
        <v>87561</v>
      </c>
      <c r="J891" t="s">
        <v>20</v>
      </c>
      <c r="K891" t="s">
        <v>2213</v>
      </c>
      <c r="L891" t="s">
        <v>392</v>
      </c>
      <c r="M891" t="s">
        <v>48</v>
      </c>
      <c r="N891">
        <v>6</v>
      </c>
      <c r="O891">
        <v>106.2</v>
      </c>
    </row>
    <row r="892" spans="1:15">
      <c r="A892">
        <v>891</v>
      </c>
      <c r="B892" t="s">
        <v>2214</v>
      </c>
      <c r="C892" t="s">
        <v>50</v>
      </c>
      <c r="D892" t="s">
        <v>61</v>
      </c>
      <c r="E892">
        <v>0</v>
      </c>
      <c r="F892" t="s">
        <v>62</v>
      </c>
      <c r="G892">
        <v>443</v>
      </c>
      <c r="H892" t="s">
        <v>19</v>
      </c>
      <c r="I892">
        <v>119185</v>
      </c>
      <c r="J892" t="s">
        <v>20</v>
      </c>
      <c r="K892" t="s">
        <v>721</v>
      </c>
      <c r="L892" t="s">
        <v>1224</v>
      </c>
      <c r="M892" t="s">
        <v>86</v>
      </c>
      <c r="N892">
        <v>16</v>
      </c>
      <c r="O892">
        <v>0</v>
      </c>
    </row>
    <row r="893" spans="1:15">
      <c r="A893">
        <v>892</v>
      </c>
      <c r="B893" t="s">
        <v>2215</v>
      </c>
      <c r="C893" t="s">
        <v>39</v>
      </c>
      <c r="D893" t="s">
        <v>137</v>
      </c>
      <c r="E893">
        <v>88.7</v>
      </c>
      <c r="F893" t="s">
        <v>41</v>
      </c>
      <c r="G893">
        <v>388</v>
      </c>
      <c r="H893" t="s">
        <v>27</v>
      </c>
      <c r="I893">
        <v>14951</v>
      </c>
      <c r="J893" t="s">
        <v>20</v>
      </c>
      <c r="K893" t="s">
        <v>2216</v>
      </c>
      <c r="L893" t="s">
        <v>698</v>
      </c>
      <c r="M893" t="s">
        <v>69</v>
      </c>
      <c r="N893">
        <v>14</v>
      </c>
      <c r="O893">
        <v>223.4</v>
      </c>
    </row>
    <row r="894" spans="1:15">
      <c r="A894">
        <v>893</v>
      </c>
      <c r="B894" t="s">
        <v>2217</v>
      </c>
      <c r="C894" t="s">
        <v>25</v>
      </c>
      <c r="D894" t="s">
        <v>33</v>
      </c>
      <c r="E894">
        <v>62.7</v>
      </c>
      <c r="F894" t="s">
        <v>62</v>
      </c>
      <c r="G894">
        <v>592</v>
      </c>
      <c r="H894" t="s">
        <v>27</v>
      </c>
      <c r="I894">
        <v>69569</v>
      </c>
      <c r="J894" t="s">
        <v>20</v>
      </c>
      <c r="K894" t="s">
        <v>1572</v>
      </c>
      <c r="L894" t="s">
        <v>505</v>
      </c>
      <c r="M894" t="s">
        <v>86</v>
      </c>
      <c r="N894">
        <v>5</v>
      </c>
      <c r="O894">
        <v>162.5</v>
      </c>
    </row>
    <row r="895" spans="1:15">
      <c r="A895">
        <v>894</v>
      </c>
      <c r="B895" t="s">
        <v>2218</v>
      </c>
      <c r="C895" t="s">
        <v>39</v>
      </c>
      <c r="D895" t="s">
        <v>33</v>
      </c>
      <c r="E895">
        <v>40.9</v>
      </c>
      <c r="F895" t="s">
        <v>56</v>
      </c>
      <c r="G895">
        <v>678</v>
      </c>
      <c r="H895" t="s">
        <v>27</v>
      </c>
      <c r="I895">
        <v>70195</v>
      </c>
      <c r="J895" t="s">
        <v>20</v>
      </c>
      <c r="K895" t="s">
        <v>1264</v>
      </c>
      <c r="L895" t="s">
        <v>490</v>
      </c>
      <c r="M895" t="s">
        <v>48</v>
      </c>
      <c r="N895">
        <v>16</v>
      </c>
      <c r="O895">
        <v>123.8</v>
      </c>
    </row>
    <row r="896" spans="1:15">
      <c r="A896">
        <v>895</v>
      </c>
      <c r="B896" t="s">
        <v>2219</v>
      </c>
      <c r="C896" t="s">
        <v>32</v>
      </c>
      <c r="D896" t="s">
        <v>137</v>
      </c>
      <c r="E896">
        <v>43.3</v>
      </c>
      <c r="F896" t="s">
        <v>26</v>
      </c>
      <c r="G896">
        <v>492</v>
      </c>
      <c r="H896" t="s">
        <v>27</v>
      </c>
      <c r="I896">
        <v>78497</v>
      </c>
      <c r="J896" t="s">
        <v>20</v>
      </c>
      <c r="K896" t="s">
        <v>2220</v>
      </c>
      <c r="L896" t="s">
        <v>1488</v>
      </c>
      <c r="M896" t="s">
        <v>69</v>
      </c>
      <c r="N896">
        <v>12</v>
      </c>
      <c r="O896">
        <v>132.19999999999999</v>
      </c>
    </row>
    <row r="897" spans="1:15">
      <c r="A897">
        <v>896</v>
      </c>
      <c r="B897" t="s">
        <v>2221</v>
      </c>
      <c r="C897" t="s">
        <v>50</v>
      </c>
      <c r="D897" t="s">
        <v>40</v>
      </c>
      <c r="E897">
        <v>77.599999999999994</v>
      </c>
      <c r="F897" t="s">
        <v>41</v>
      </c>
      <c r="G897">
        <v>467</v>
      </c>
      <c r="H897" t="s">
        <v>19</v>
      </c>
      <c r="I897">
        <v>112337</v>
      </c>
      <c r="J897" t="s">
        <v>20</v>
      </c>
      <c r="K897" t="s">
        <v>2222</v>
      </c>
      <c r="L897" t="s">
        <v>1602</v>
      </c>
      <c r="M897" t="s">
        <v>441</v>
      </c>
      <c r="N897">
        <v>6</v>
      </c>
      <c r="O897">
        <v>155.6</v>
      </c>
    </row>
    <row r="898" spans="1:15">
      <c r="A898">
        <v>897</v>
      </c>
      <c r="B898" t="s">
        <v>2223</v>
      </c>
      <c r="C898" t="s">
        <v>25</v>
      </c>
      <c r="D898" t="s">
        <v>61</v>
      </c>
      <c r="E898">
        <v>0</v>
      </c>
      <c r="F898" t="s">
        <v>18</v>
      </c>
      <c r="G898">
        <v>584</v>
      </c>
      <c r="H898" t="s">
        <v>19</v>
      </c>
      <c r="I898">
        <v>101491</v>
      </c>
      <c r="J898" t="s">
        <v>20</v>
      </c>
      <c r="K898" t="s">
        <v>2224</v>
      </c>
      <c r="L898" t="s">
        <v>1103</v>
      </c>
      <c r="M898" t="s">
        <v>59</v>
      </c>
      <c r="N898">
        <v>14</v>
      </c>
      <c r="O898">
        <v>0</v>
      </c>
    </row>
    <row r="899" spans="1:15">
      <c r="A899">
        <v>898</v>
      </c>
      <c r="B899" t="s">
        <v>2225</v>
      </c>
      <c r="C899" t="s">
        <v>25</v>
      </c>
      <c r="D899" t="s">
        <v>137</v>
      </c>
      <c r="E899">
        <v>42.6</v>
      </c>
      <c r="F899" t="s">
        <v>56</v>
      </c>
      <c r="G899">
        <v>564</v>
      </c>
      <c r="H899" t="s">
        <v>19</v>
      </c>
      <c r="I899">
        <v>110264</v>
      </c>
      <c r="J899" t="s">
        <v>20</v>
      </c>
      <c r="K899" t="s">
        <v>2226</v>
      </c>
      <c r="L899" t="s">
        <v>2227</v>
      </c>
      <c r="M899" t="s">
        <v>121</v>
      </c>
      <c r="N899">
        <v>9</v>
      </c>
      <c r="O899">
        <v>117.3</v>
      </c>
    </row>
    <row r="900" spans="1:15">
      <c r="A900">
        <v>899</v>
      </c>
      <c r="B900" t="s">
        <v>1756</v>
      </c>
      <c r="C900" t="s">
        <v>158</v>
      </c>
      <c r="D900" t="s">
        <v>114</v>
      </c>
      <c r="E900">
        <v>31.1</v>
      </c>
      <c r="F900" t="s">
        <v>41</v>
      </c>
      <c r="G900">
        <v>526</v>
      </c>
      <c r="H900" t="s">
        <v>19</v>
      </c>
      <c r="I900">
        <v>56712</v>
      </c>
      <c r="J900" t="s">
        <v>20</v>
      </c>
      <c r="K900" t="s">
        <v>1172</v>
      </c>
      <c r="L900" t="s">
        <v>1618</v>
      </c>
      <c r="M900" t="s">
        <v>54</v>
      </c>
      <c r="N900">
        <v>12</v>
      </c>
      <c r="O900">
        <v>79.8</v>
      </c>
    </row>
    <row r="901" spans="1:15">
      <c r="A901">
        <v>900</v>
      </c>
      <c r="B901" t="s">
        <v>2228</v>
      </c>
      <c r="C901" t="s">
        <v>50</v>
      </c>
      <c r="D901" t="s">
        <v>17</v>
      </c>
      <c r="E901">
        <v>89.3</v>
      </c>
      <c r="F901" t="s">
        <v>62</v>
      </c>
      <c r="G901">
        <v>456</v>
      </c>
      <c r="H901" t="s">
        <v>27</v>
      </c>
      <c r="I901">
        <v>36981</v>
      </c>
      <c r="J901" t="s">
        <v>20</v>
      </c>
      <c r="K901" t="s">
        <v>2229</v>
      </c>
      <c r="L901" t="s">
        <v>2009</v>
      </c>
      <c r="M901" t="s">
        <v>86</v>
      </c>
      <c r="N901">
        <v>4</v>
      </c>
      <c r="O901">
        <v>188.8</v>
      </c>
    </row>
    <row r="902" spans="1:15">
      <c r="A902">
        <v>901</v>
      </c>
      <c r="B902" t="s">
        <v>2230</v>
      </c>
      <c r="C902" t="s">
        <v>133</v>
      </c>
      <c r="D902" t="s">
        <v>33</v>
      </c>
      <c r="E902">
        <v>95.5</v>
      </c>
      <c r="F902" t="s">
        <v>41</v>
      </c>
      <c r="G902">
        <v>93</v>
      </c>
      <c r="H902" t="s">
        <v>19</v>
      </c>
      <c r="I902">
        <v>47893</v>
      </c>
      <c r="J902" t="s">
        <v>20</v>
      </c>
      <c r="K902" t="s">
        <v>2231</v>
      </c>
      <c r="L902" t="s">
        <v>652</v>
      </c>
      <c r="M902" t="s">
        <v>69</v>
      </c>
      <c r="N902">
        <v>1</v>
      </c>
      <c r="O902">
        <v>231.2</v>
      </c>
    </row>
    <row r="903" spans="1:15">
      <c r="A903">
        <v>902</v>
      </c>
      <c r="B903" t="s">
        <v>2232</v>
      </c>
      <c r="C903" t="s">
        <v>123</v>
      </c>
      <c r="D903" t="s">
        <v>17</v>
      </c>
      <c r="E903">
        <v>14.6</v>
      </c>
      <c r="F903" t="s">
        <v>62</v>
      </c>
      <c r="G903">
        <v>628</v>
      </c>
      <c r="H903" t="s">
        <v>19</v>
      </c>
      <c r="I903">
        <v>69862</v>
      </c>
      <c r="J903" t="s">
        <v>20</v>
      </c>
      <c r="K903" t="s">
        <v>611</v>
      </c>
      <c r="L903" t="s">
        <v>2233</v>
      </c>
      <c r="M903" t="s">
        <v>59</v>
      </c>
      <c r="N903">
        <v>14</v>
      </c>
      <c r="O903">
        <v>47.8</v>
      </c>
    </row>
    <row r="904" spans="1:15">
      <c r="A904">
        <v>903</v>
      </c>
      <c r="B904" t="s">
        <v>2234</v>
      </c>
      <c r="C904" t="s">
        <v>32</v>
      </c>
      <c r="D904" t="s">
        <v>137</v>
      </c>
      <c r="E904">
        <v>87.2</v>
      </c>
      <c r="F904" t="s">
        <v>62</v>
      </c>
      <c r="G904">
        <v>257</v>
      </c>
      <c r="H904" t="s">
        <v>27</v>
      </c>
      <c r="I904">
        <v>68020</v>
      </c>
      <c r="J904" t="s">
        <v>20</v>
      </c>
      <c r="K904" t="s">
        <v>2235</v>
      </c>
      <c r="L904" t="s">
        <v>1810</v>
      </c>
      <c r="M904" t="s">
        <v>112</v>
      </c>
      <c r="N904">
        <v>3</v>
      </c>
      <c r="O904">
        <v>296.5</v>
      </c>
    </row>
    <row r="905" spans="1:15">
      <c r="A905">
        <v>904</v>
      </c>
      <c r="B905" t="s">
        <v>2236</v>
      </c>
      <c r="C905" t="s">
        <v>25</v>
      </c>
      <c r="D905" t="s">
        <v>17</v>
      </c>
      <c r="E905">
        <v>82.1</v>
      </c>
      <c r="F905" t="s">
        <v>62</v>
      </c>
      <c r="G905">
        <v>561</v>
      </c>
      <c r="H905" t="s">
        <v>27</v>
      </c>
      <c r="I905">
        <v>111032</v>
      </c>
      <c r="J905" t="s">
        <v>20</v>
      </c>
      <c r="K905" t="s">
        <v>2237</v>
      </c>
      <c r="L905" t="s">
        <v>890</v>
      </c>
      <c r="M905" t="s">
        <v>86</v>
      </c>
      <c r="N905">
        <v>11</v>
      </c>
      <c r="O905">
        <v>230.1</v>
      </c>
    </row>
    <row r="906" spans="1:15">
      <c r="A906">
        <v>905</v>
      </c>
      <c r="B906" t="s">
        <v>2238</v>
      </c>
      <c r="C906" t="s">
        <v>123</v>
      </c>
      <c r="D906" t="s">
        <v>40</v>
      </c>
      <c r="E906">
        <v>72.400000000000006</v>
      </c>
      <c r="F906" t="s">
        <v>41</v>
      </c>
      <c r="G906">
        <v>612</v>
      </c>
      <c r="H906" t="s">
        <v>27</v>
      </c>
      <c r="I906">
        <v>54289</v>
      </c>
      <c r="J906" t="s">
        <v>20</v>
      </c>
      <c r="K906" t="s">
        <v>2239</v>
      </c>
      <c r="L906" t="s">
        <v>428</v>
      </c>
      <c r="M906" t="s">
        <v>59</v>
      </c>
      <c r="N906">
        <v>13</v>
      </c>
      <c r="O906">
        <v>157.6</v>
      </c>
    </row>
    <row r="907" spans="1:15">
      <c r="A907">
        <v>906</v>
      </c>
      <c r="B907" t="s">
        <v>2240</v>
      </c>
      <c r="C907" t="s">
        <v>39</v>
      </c>
      <c r="D907" t="s">
        <v>40</v>
      </c>
      <c r="E907">
        <v>99.2</v>
      </c>
      <c r="F907" t="s">
        <v>26</v>
      </c>
      <c r="G907">
        <v>173</v>
      </c>
      <c r="H907" t="s">
        <v>19</v>
      </c>
      <c r="I907">
        <v>111685</v>
      </c>
      <c r="J907" t="s">
        <v>20</v>
      </c>
      <c r="K907" t="s">
        <v>1370</v>
      </c>
      <c r="L907" t="s">
        <v>479</v>
      </c>
      <c r="M907" t="s">
        <v>117</v>
      </c>
      <c r="N907">
        <v>4</v>
      </c>
      <c r="O907">
        <v>224</v>
      </c>
    </row>
    <row r="908" spans="1:15">
      <c r="A908">
        <v>907</v>
      </c>
      <c r="B908" t="s">
        <v>1252</v>
      </c>
      <c r="C908" t="s">
        <v>32</v>
      </c>
      <c r="D908" t="s">
        <v>61</v>
      </c>
      <c r="E908">
        <v>0</v>
      </c>
      <c r="F908" t="s">
        <v>18</v>
      </c>
      <c r="G908">
        <v>226</v>
      </c>
      <c r="H908" t="s">
        <v>27</v>
      </c>
      <c r="I908">
        <v>3900</v>
      </c>
      <c r="J908" t="s">
        <v>20</v>
      </c>
      <c r="K908" t="s">
        <v>2241</v>
      </c>
      <c r="L908" t="s">
        <v>2242</v>
      </c>
      <c r="M908" t="s">
        <v>54</v>
      </c>
      <c r="N908">
        <v>20</v>
      </c>
      <c r="O908">
        <v>0</v>
      </c>
    </row>
    <row r="909" spans="1:15">
      <c r="A909">
        <v>908</v>
      </c>
      <c r="B909" t="s">
        <v>559</v>
      </c>
      <c r="C909" t="s">
        <v>16</v>
      </c>
      <c r="D909" t="s">
        <v>17</v>
      </c>
      <c r="E909">
        <v>36.4</v>
      </c>
      <c r="F909" t="s">
        <v>18</v>
      </c>
      <c r="G909">
        <v>597</v>
      </c>
      <c r="H909" t="s">
        <v>27</v>
      </c>
      <c r="I909">
        <v>64558</v>
      </c>
      <c r="J909" t="s">
        <v>20</v>
      </c>
      <c r="K909" t="s">
        <v>2041</v>
      </c>
      <c r="L909" t="s">
        <v>2243</v>
      </c>
      <c r="M909" t="s">
        <v>112</v>
      </c>
      <c r="N909">
        <v>8</v>
      </c>
      <c r="O909">
        <v>98.6</v>
      </c>
    </row>
    <row r="910" spans="1:15">
      <c r="A910">
        <v>909</v>
      </c>
      <c r="B910" t="s">
        <v>2244</v>
      </c>
      <c r="C910" t="s">
        <v>16</v>
      </c>
      <c r="D910" t="s">
        <v>61</v>
      </c>
      <c r="E910">
        <v>0</v>
      </c>
      <c r="F910" t="s">
        <v>62</v>
      </c>
      <c r="G910">
        <v>603</v>
      </c>
      <c r="H910" t="s">
        <v>27</v>
      </c>
      <c r="I910">
        <v>97026</v>
      </c>
      <c r="J910" t="s">
        <v>20</v>
      </c>
      <c r="K910" t="s">
        <v>71</v>
      </c>
      <c r="L910" t="s">
        <v>1878</v>
      </c>
      <c r="M910" t="s">
        <v>54</v>
      </c>
      <c r="N910">
        <v>17</v>
      </c>
      <c r="O910">
        <v>0</v>
      </c>
    </row>
    <row r="911" spans="1:15">
      <c r="A911">
        <v>910</v>
      </c>
      <c r="B911" t="s">
        <v>2245</v>
      </c>
      <c r="C911" t="s">
        <v>32</v>
      </c>
      <c r="D911" t="s">
        <v>61</v>
      </c>
      <c r="E911">
        <v>0</v>
      </c>
      <c r="F911" t="s">
        <v>26</v>
      </c>
      <c r="G911">
        <v>432</v>
      </c>
      <c r="H911" t="s">
        <v>19</v>
      </c>
      <c r="I911">
        <v>68066</v>
      </c>
      <c r="J911" t="s">
        <v>20</v>
      </c>
      <c r="K911" t="s">
        <v>2246</v>
      </c>
      <c r="L911" t="s">
        <v>1779</v>
      </c>
      <c r="N911">
        <v>1</v>
      </c>
      <c r="O911">
        <v>0</v>
      </c>
    </row>
    <row r="912" spans="1:15">
      <c r="A912">
        <v>911</v>
      </c>
      <c r="B912" t="s">
        <v>2247</v>
      </c>
      <c r="C912" t="s">
        <v>123</v>
      </c>
      <c r="D912" t="s">
        <v>40</v>
      </c>
      <c r="E912">
        <v>38.700000000000003</v>
      </c>
      <c r="F912" t="s">
        <v>41</v>
      </c>
      <c r="G912">
        <v>536</v>
      </c>
      <c r="H912" t="s">
        <v>27</v>
      </c>
      <c r="I912">
        <v>60541</v>
      </c>
      <c r="J912" t="s">
        <v>20</v>
      </c>
      <c r="K912" t="s">
        <v>2248</v>
      </c>
      <c r="L912" t="s">
        <v>2249</v>
      </c>
      <c r="N912">
        <v>7</v>
      </c>
      <c r="O912">
        <v>86.8</v>
      </c>
    </row>
    <row r="913" spans="1:15">
      <c r="A913">
        <v>912</v>
      </c>
      <c r="B913" t="s">
        <v>845</v>
      </c>
      <c r="C913" t="s">
        <v>123</v>
      </c>
      <c r="D913" t="s">
        <v>40</v>
      </c>
      <c r="E913">
        <v>75.599999999999994</v>
      </c>
      <c r="F913" t="s">
        <v>41</v>
      </c>
      <c r="G913">
        <v>515</v>
      </c>
      <c r="H913" t="s">
        <v>19</v>
      </c>
      <c r="I913">
        <v>9527</v>
      </c>
      <c r="J913" t="s">
        <v>20</v>
      </c>
      <c r="K913" t="s">
        <v>2250</v>
      </c>
      <c r="L913" t="s">
        <v>1886</v>
      </c>
      <c r="M913" t="s">
        <v>69</v>
      </c>
      <c r="N913">
        <v>9</v>
      </c>
      <c r="O913">
        <v>224</v>
      </c>
    </row>
    <row r="914" spans="1:15">
      <c r="A914">
        <v>913</v>
      </c>
      <c r="B914" t="s">
        <v>2251</v>
      </c>
      <c r="C914" t="s">
        <v>39</v>
      </c>
      <c r="D914" t="s">
        <v>33</v>
      </c>
      <c r="E914">
        <v>93.3</v>
      </c>
      <c r="F914" t="s">
        <v>18</v>
      </c>
      <c r="G914">
        <v>181</v>
      </c>
      <c r="H914" t="s">
        <v>27</v>
      </c>
      <c r="I914">
        <v>83747</v>
      </c>
      <c r="J914" t="s">
        <v>20</v>
      </c>
      <c r="K914" t="s">
        <v>2252</v>
      </c>
      <c r="L914" t="s">
        <v>1126</v>
      </c>
      <c r="M914" t="s">
        <v>48</v>
      </c>
      <c r="N914">
        <v>12</v>
      </c>
      <c r="O914">
        <v>243.4</v>
      </c>
    </row>
    <row r="915" spans="1:15">
      <c r="A915">
        <v>914</v>
      </c>
      <c r="B915" t="s">
        <v>2253</v>
      </c>
      <c r="C915" t="s">
        <v>123</v>
      </c>
      <c r="D915" t="s">
        <v>40</v>
      </c>
      <c r="E915">
        <v>51.4</v>
      </c>
      <c r="F915" t="s">
        <v>56</v>
      </c>
      <c r="G915">
        <v>663</v>
      </c>
      <c r="H915" t="s">
        <v>19</v>
      </c>
      <c r="I915">
        <v>50527</v>
      </c>
      <c r="J915" t="s">
        <v>20</v>
      </c>
      <c r="K915" t="s">
        <v>2254</v>
      </c>
      <c r="L915" t="s">
        <v>1869</v>
      </c>
      <c r="M915" t="s">
        <v>117</v>
      </c>
      <c r="N915">
        <v>3</v>
      </c>
      <c r="O915">
        <v>121.5</v>
      </c>
    </row>
    <row r="916" spans="1:15">
      <c r="A916">
        <v>915</v>
      </c>
      <c r="B916" t="s">
        <v>2255</v>
      </c>
      <c r="C916" t="s">
        <v>25</v>
      </c>
      <c r="D916" t="s">
        <v>61</v>
      </c>
      <c r="E916">
        <v>0</v>
      </c>
      <c r="F916" t="s">
        <v>56</v>
      </c>
      <c r="G916">
        <v>51</v>
      </c>
      <c r="H916" t="s">
        <v>27</v>
      </c>
      <c r="I916">
        <v>99523</v>
      </c>
      <c r="J916" t="s">
        <v>20</v>
      </c>
      <c r="K916" t="s">
        <v>214</v>
      </c>
      <c r="L916" t="s">
        <v>1121</v>
      </c>
      <c r="M916" t="s">
        <v>112</v>
      </c>
      <c r="N916">
        <v>14</v>
      </c>
      <c r="O916">
        <v>0</v>
      </c>
    </row>
    <row r="917" spans="1:15">
      <c r="A917">
        <v>916</v>
      </c>
      <c r="B917" t="s">
        <v>2256</v>
      </c>
      <c r="C917" t="s">
        <v>25</v>
      </c>
      <c r="D917" t="s">
        <v>137</v>
      </c>
      <c r="E917">
        <v>69.8</v>
      </c>
      <c r="F917" t="s">
        <v>41</v>
      </c>
      <c r="G917">
        <v>224</v>
      </c>
      <c r="H917" t="s">
        <v>27</v>
      </c>
      <c r="I917">
        <v>39048</v>
      </c>
      <c r="J917" t="s">
        <v>20</v>
      </c>
      <c r="K917" t="s">
        <v>2257</v>
      </c>
      <c r="L917" t="s">
        <v>2258</v>
      </c>
      <c r="M917" t="s">
        <v>69</v>
      </c>
      <c r="N917">
        <v>14</v>
      </c>
      <c r="O917">
        <v>205.1</v>
      </c>
    </row>
    <row r="918" spans="1:15">
      <c r="A918">
        <v>917</v>
      </c>
      <c r="B918" t="s">
        <v>161</v>
      </c>
      <c r="C918" t="s">
        <v>123</v>
      </c>
      <c r="D918" t="s">
        <v>114</v>
      </c>
      <c r="E918">
        <v>3.1</v>
      </c>
      <c r="F918" t="s">
        <v>18</v>
      </c>
      <c r="G918">
        <v>103</v>
      </c>
      <c r="H918" t="s">
        <v>19</v>
      </c>
      <c r="I918">
        <v>9663</v>
      </c>
      <c r="J918" t="s">
        <v>20</v>
      </c>
      <c r="K918" t="s">
        <v>2259</v>
      </c>
      <c r="L918" t="s">
        <v>2260</v>
      </c>
      <c r="M918" t="s">
        <v>441</v>
      </c>
      <c r="N918">
        <v>18</v>
      </c>
      <c r="O918">
        <v>7.7</v>
      </c>
    </row>
    <row r="919" spans="1:15">
      <c r="A919">
        <v>918</v>
      </c>
      <c r="B919" t="s">
        <v>2261</v>
      </c>
      <c r="C919" t="s">
        <v>39</v>
      </c>
      <c r="D919" t="s">
        <v>33</v>
      </c>
      <c r="E919">
        <v>59.5</v>
      </c>
      <c r="F919" t="s">
        <v>62</v>
      </c>
      <c r="G919">
        <v>276</v>
      </c>
      <c r="H919" t="s">
        <v>19</v>
      </c>
      <c r="I919">
        <v>78183</v>
      </c>
      <c r="J919" t="s">
        <v>20</v>
      </c>
      <c r="K919" t="s">
        <v>2262</v>
      </c>
      <c r="L919" t="s">
        <v>1548</v>
      </c>
      <c r="M919" t="s">
        <v>441</v>
      </c>
      <c r="N919">
        <v>8</v>
      </c>
      <c r="O919">
        <v>196.8</v>
      </c>
    </row>
    <row r="920" spans="1:15">
      <c r="A920">
        <v>919</v>
      </c>
      <c r="B920" t="s">
        <v>2040</v>
      </c>
      <c r="C920" t="s">
        <v>32</v>
      </c>
      <c r="D920" t="s">
        <v>137</v>
      </c>
      <c r="E920">
        <v>73.900000000000006</v>
      </c>
      <c r="F920" t="s">
        <v>41</v>
      </c>
      <c r="G920">
        <v>253</v>
      </c>
      <c r="H920" t="s">
        <v>19</v>
      </c>
      <c r="I920">
        <v>47187</v>
      </c>
      <c r="J920" t="s">
        <v>20</v>
      </c>
      <c r="K920" t="s">
        <v>1533</v>
      </c>
      <c r="L920" t="s">
        <v>2263</v>
      </c>
      <c r="N920">
        <v>19</v>
      </c>
      <c r="O920">
        <v>258.2</v>
      </c>
    </row>
    <row r="921" spans="1:15">
      <c r="A921">
        <v>920</v>
      </c>
      <c r="B921" t="s">
        <v>2264</v>
      </c>
      <c r="C921" t="s">
        <v>133</v>
      </c>
      <c r="D921" t="s">
        <v>40</v>
      </c>
      <c r="E921">
        <v>47.6</v>
      </c>
      <c r="F921" t="s">
        <v>18</v>
      </c>
      <c r="G921">
        <v>581</v>
      </c>
      <c r="H921" t="s">
        <v>19</v>
      </c>
      <c r="I921">
        <v>63633</v>
      </c>
      <c r="J921" t="s">
        <v>20</v>
      </c>
      <c r="K921" t="s">
        <v>2265</v>
      </c>
      <c r="L921" t="s">
        <v>2266</v>
      </c>
      <c r="M921" t="s">
        <v>112</v>
      </c>
      <c r="N921">
        <v>5</v>
      </c>
      <c r="O921">
        <v>166.3</v>
      </c>
    </row>
    <row r="922" spans="1:15">
      <c r="A922">
        <v>921</v>
      </c>
      <c r="B922" t="s">
        <v>587</v>
      </c>
      <c r="C922" t="s">
        <v>32</v>
      </c>
      <c r="D922" t="s">
        <v>61</v>
      </c>
      <c r="E922">
        <v>0</v>
      </c>
      <c r="F922" t="s">
        <v>41</v>
      </c>
      <c r="G922">
        <v>263</v>
      </c>
      <c r="H922" t="s">
        <v>27</v>
      </c>
      <c r="I922">
        <v>81815</v>
      </c>
      <c r="J922" t="s">
        <v>20</v>
      </c>
      <c r="K922" t="s">
        <v>2267</v>
      </c>
      <c r="L922" t="s">
        <v>933</v>
      </c>
      <c r="M922" t="s">
        <v>117</v>
      </c>
      <c r="N922">
        <v>13</v>
      </c>
      <c r="O922">
        <v>0</v>
      </c>
    </row>
    <row r="923" spans="1:15">
      <c r="A923">
        <v>922</v>
      </c>
      <c r="B923" t="s">
        <v>2268</v>
      </c>
      <c r="C923" t="s">
        <v>133</v>
      </c>
      <c r="D923" t="s">
        <v>114</v>
      </c>
      <c r="E923">
        <v>33.200000000000003</v>
      </c>
      <c r="F923" t="s">
        <v>62</v>
      </c>
      <c r="G923">
        <v>241</v>
      </c>
      <c r="H923" t="s">
        <v>27</v>
      </c>
      <c r="I923">
        <v>25153</v>
      </c>
      <c r="J923" t="s">
        <v>20</v>
      </c>
      <c r="K923" t="s">
        <v>2269</v>
      </c>
      <c r="L923" t="s">
        <v>2270</v>
      </c>
      <c r="M923" t="s">
        <v>117</v>
      </c>
      <c r="N923">
        <v>10</v>
      </c>
      <c r="O923">
        <v>74.599999999999994</v>
      </c>
    </row>
    <row r="924" spans="1:15">
      <c r="A924">
        <v>923</v>
      </c>
      <c r="B924" t="s">
        <v>2271</v>
      </c>
      <c r="C924" t="s">
        <v>133</v>
      </c>
      <c r="D924" t="s">
        <v>114</v>
      </c>
      <c r="E924">
        <v>96.3</v>
      </c>
      <c r="F924" t="s">
        <v>18</v>
      </c>
      <c r="G924">
        <v>653</v>
      </c>
      <c r="H924" t="s">
        <v>27</v>
      </c>
      <c r="I924">
        <v>80857</v>
      </c>
      <c r="J924" t="s">
        <v>20</v>
      </c>
      <c r="K924" t="s">
        <v>2272</v>
      </c>
      <c r="L924" t="s">
        <v>586</v>
      </c>
      <c r="M924" t="s">
        <v>59</v>
      </c>
      <c r="N924">
        <v>8</v>
      </c>
      <c r="O924">
        <v>334.9</v>
      </c>
    </row>
    <row r="925" spans="1:15">
      <c r="A925">
        <v>924</v>
      </c>
      <c r="B925" t="s">
        <v>2273</v>
      </c>
      <c r="C925" t="s">
        <v>133</v>
      </c>
      <c r="D925" t="s">
        <v>114</v>
      </c>
      <c r="E925">
        <v>76.099999999999994</v>
      </c>
      <c r="F925" t="s">
        <v>62</v>
      </c>
      <c r="G925">
        <v>677</v>
      </c>
      <c r="H925" t="s">
        <v>27</v>
      </c>
      <c r="I925">
        <v>89038</v>
      </c>
      <c r="J925" t="s">
        <v>20</v>
      </c>
      <c r="K925" t="s">
        <v>2274</v>
      </c>
      <c r="L925" t="s">
        <v>2131</v>
      </c>
      <c r="M925" t="s">
        <v>59</v>
      </c>
      <c r="N925">
        <v>9</v>
      </c>
      <c r="O925">
        <v>164.1</v>
      </c>
    </row>
    <row r="926" spans="1:15">
      <c r="A926">
        <v>925</v>
      </c>
      <c r="B926" t="s">
        <v>2158</v>
      </c>
      <c r="C926" t="s">
        <v>16</v>
      </c>
      <c r="D926" t="s">
        <v>137</v>
      </c>
      <c r="E926">
        <v>76.599999999999994</v>
      </c>
      <c r="F926" t="s">
        <v>56</v>
      </c>
      <c r="G926">
        <v>618</v>
      </c>
      <c r="H926" t="s">
        <v>19</v>
      </c>
      <c r="I926">
        <v>109998</v>
      </c>
      <c r="J926" t="s">
        <v>20</v>
      </c>
      <c r="K926" t="s">
        <v>955</v>
      </c>
      <c r="L926" t="s">
        <v>1149</v>
      </c>
      <c r="M926" t="s">
        <v>112</v>
      </c>
      <c r="N926">
        <v>17</v>
      </c>
      <c r="O926">
        <v>253.5</v>
      </c>
    </row>
    <row r="927" spans="1:15">
      <c r="A927">
        <v>926</v>
      </c>
      <c r="B927" t="s">
        <v>2275</v>
      </c>
      <c r="C927" t="s">
        <v>123</v>
      </c>
      <c r="D927" t="s">
        <v>17</v>
      </c>
      <c r="E927">
        <v>29.7</v>
      </c>
      <c r="F927" t="s">
        <v>26</v>
      </c>
      <c r="G927">
        <v>208</v>
      </c>
      <c r="H927" t="s">
        <v>19</v>
      </c>
      <c r="I927">
        <v>75778</v>
      </c>
      <c r="J927" t="s">
        <v>20</v>
      </c>
      <c r="K927" t="s">
        <v>169</v>
      </c>
      <c r="L927" t="s">
        <v>918</v>
      </c>
      <c r="M927" t="s">
        <v>121</v>
      </c>
      <c r="N927">
        <v>8</v>
      </c>
      <c r="O927">
        <v>94</v>
      </c>
    </row>
    <row r="928" spans="1:15">
      <c r="A928">
        <v>927</v>
      </c>
      <c r="B928" t="s">
        <v>388</v>
      </c>
      <c r="C928" t="s">
        <v>158</v>
      </c>
      <c r="D928" t="s">
        <v>61</v>
      </c>
      <c r="E928">
        <v>0</v>
      </c>
      <c r="F928" t="s">
        <v>62</v>
      </c>
      <c r="G928">
        <v>592</v>
      </c>
      <c r="H928" t="s">
        <v>27</v>
      </c>
      <c r="I928">
        <v>48883</v>
      </c>
      <c r="J928" t="s">
        <v>20</v>
      </c>
      <c r="K928" t="s">
        <v>2276</v>
      </c>
      <c r="L928" t="s">
        <v>2277</v>
      </c>
      <c r="N928">
        <v>20</v>
      </c>
      <c r="O928">
        <v>0</v>
      </c>
    </row>
    <row r="929" spans="1:15">
      <c r="A929">
        <v>928</v>
      </c>
      <c r="B929" t="s">
        <v>2278</v>
      </c>
      <c r="C929" t="s">
        <v>50</v>
      </c>
      <c r="D929" t="s">
        <v>40</v>
      </c>
      <c r="E929">
        <v>36.9</v>
      </c>
      <c r="F929" t="s">
        <v>62</v>
      </c>
      <c r="G929">
        <v>477</v>
      </c>
      <c r="H929" t="s">
        <v>27</v>
      </c>
      <c r="I929">
        <v>90778</v>
      </c>
      <c r="J929" t="s">
        <v>20</v>
      </c>
      <c r="K929" t="s">
        <v>2279</v>
      </c>
      <c r="L929" t="s">
        <v>2280</v>
      </c>
      <c r="M929" t="s">
        <v>117</v>
      </c>
      <c r="N929">
        <v>12</v>
      </c>
      <c r="O929">
        <v>115</v>
      </c>
    </row>
    <row r="930" spans="1:15">
      <c r="A930">
        <v>929</v>
      </c>
      <c r="B930" t="s">
        <v>1820</v>
      </c>
      <c r="C930" t="s">
        <v>133</v>
      </c>
      <c r="D930" t="s">
        <v>114</v>
      </c>
      <c r="E930">
        <v>38.4</v>
      </c>
      <c r="F930" t="s">
        <v>56</v>
      </c>
      <c r="G930">
        <v>250</v>
      </c>
      <c r="H930" t="s">
        <v>19</v>
      </c>
      <c r="I930">
        <v>20031</v>
      </c>
      <c r="J930" t="s">
        <v>20</v>
      </c>
      <c r="K930" t="s">
        <v>2281</v>
      </c>
      <c r="L930" t="s">
        <v>2282</v>
      </c>
      <c r="M930" t="s">
        <v>112</v>
      </c>
      <c r="N930">
        <v>12</v>
      </c>
      <c r="O930">
        <v>92.6</v>
      </c>
    </row>
    <row r="931" spans="1:15">
      <c r="A931">
        <v>930</v>
      </c>
      <c r="B931" t="s">
        <v>2283</v>
      </c>
      <c r="C931" t="s">
        <v>16</v>
      </c>
      <c r="D931" t="s">
        <v>137</v>
      </c>
      <c r="E931">
        <v>41.9</v>
      </c>
      <c r="F931" t="s">
        <v>62</v>
      </c>
      <c r="G931">
        <v>43</v>
      </c>
      <c r="H931" t="s">
        <v>27</v>
      </c>
      <c r="I931">
        <v>65838</v>
      </c>
      <c r="J931" t="s">
        <v>20</v>
      </c>
      <c r="K931" t="s">
        <v>2284</v>
      </c>
      <c r="L931" t="s">
        <v>1100</v>
      </c>
      <c r="M931" t="s">
        <v>54</v>
      </c>
      <c r="N931">
        <v>2</v>
      </c>
      <c r="O931">
        <v>106.1</v>
      </c>
    </row>
    <row r="932" spans="1:15">
      <c r="A932">
        <v>931</v>
      </c>
      <c r="B932" t="s">
        <v>2285</v>
      </c>
      <c r="C932" t="s">
        <v>158</v>
      </c>
      <c r="D932" t="s">
        <v>137</v>
      </c>
      <c r="E932">
        <v>57</v>
      </c>
      <c r="F932" t="s">
        <v>26</v>
      </c>
      <c r="G932">
        <v>559</v>
      </c>
      <c r="H932" t="s">
        <v>27</v>
      </c>
      <c r="I932">
        <v>113467</v>
      </c>
      <c r="J932" t="s">
        <v>20</v>
      </c>
      <c r="K932" t="s">
        <v>2286</v>
      </c>
      <c r="L932" t="s">
        <v>2287</v>
      </c>
      <c r="M932" t="s">
        <v>117</v>
      </c>
      <c r="N932">
        <v>11</v>
      </c>
      <c r="O932">
        <v>152.6</v>
      </c>
    </row>
    <row r="933" spans="1:15">
      <c r="A933">
        <v>932</v>
      </c>
      <c r="B933" t="s">
        <v>2288</v>
      </c>
      <c r="C933" t="s">
        <v>50</v>
      </c>
      <c r="D933" t="s">
        <v>137</v>
      </c>
      <c r="E933">
        <v>92.8</v>
      </c>
      <c r="F933" t="s">
        <v>41</v>
      </c>
      <c r="G933">
        <v>283</v>
      </c>
      <c r="H933" t="s">
        <v>27</v>
      </c>
      <c r="I933">
        <v>45607</v>
      </c>
      <c r="J933" t="s">
        <v>20</v>
      </c>
      <c r="K933" t="s">
        <v>2289</v>
      </c>
      <c r="L933" t="s">
        <v>1280</v>
      </c>
      <c r="M933" t="s">
        <v>121</v>
      </c>
      <c r="N933">
        <v>4</v>
      </c>
      <c r="O933">
        <v>210.8</v>
      </c>
    </row>
    <row r="934" spans="1:15">
      <c r="A934">
        <v>933</v>
      </c>
      <c r="B934" t="s">
        <v>2290</v>
      </c>
      <c r="C934" t="s">
        <v>50</v>
      </c>
      <c r="D934" t="s">
        <v>40</v>
      </c>
      <c r="E934">
        <v>48.9</v>
      </c>
      <c r="F934" t="s">
        <v>56</v>
      </c>
      <c r="G934">
        <v>506</v>
      </c>
      <c r="H934" t="s">
        <v>27</v>
      </c>
      <c r="I934">
        <v>2495</v>
      </c>
      <c r="J934" t="s">
        <v>20</v>
      </c>
      <c r="K934" t="s">
        <v>2291</v>
      </c>
      <c r="L934" t="s">
        <v>1218</v>
      </c>
      <c r="M934" t="s">
        <v>86</v>
      </c>
      <c r="N934">
        <v>11</v>
      </c>
      <c r="O934">
        <v>123.9</v>
      </c>
    </row>
    <row r="935" spans="1:15">
      <c r="A935">
        <v>934</v>
      </c>
      <c r="B935" t="s">
        <v>2292</v>
      </c>
      <c r="C935" t="s">
        <v>25</v>
      </c>
      <c r="D935" t="s">
        <v>114</v>
      </c>
      <c r="E935">
        <v>14.5</v>
      </c>
      <c r="F935" t="s">
        <v>56</v>
      </c>
      <c r="G935">
        <v>258</v>
      </c>
      <c r="H935" t="s">
        <v>19</v>
      </c>
      <c r="I935">
        <v>115908</v>
      </c>
      <c r="J935" t="s">
        <v>20</v>
      </c>
      <c r="K935" t="s">
        <v>2293</v>
      </c>
      <c r="L935" t="s">
        <v>943</v>
      </c>
      <c r="M935" t="s">
        <v>86</v>
      </c>
      <c r="N935">
        <v>11</v>
      </c>
      <c r="O935">
        <v>42.3</v>
      </c>
    </row>
    <row r="936" spans="1:15">
      <c r="A936">
        <v>935</v>
      </c>
      <c r="B936" t="s">
        <v>2294</v>
      </c>
      <c r="C936" t="s">
        <v>133</v>
      </c>
      <c r="D936" t="s">
        <v>61</v>
      </c>
      <c r="E936">
        <v>0</v>
      </c>
      <c r="F936" t="s">
        <v>62</v>
      </c>
      <c r="G936">
        <v>445</v>
      </c>
      <c r="H936" t="s">
        <v>19</v>
      </c>
      <c r="I936">
        <v>9238</v>
      </c>
      <c r="J936" t="s">
        <v>20</v>
      </c>
      <c r="K936" t="s">
        <v>547</v>
      </c>
      <c r="L936" t="s">
        <v>1055</v>
      </c>
      <c r="M936" t="s">
        <v>69</v>
      </c>
      <c r="N936">
        <v>7</v>
      </c>
      <c r="O936">
        <v>0</v>
      </c>
    </row>
    <row r="937" spans="1:15">
      <c r="A937">
        <v>936</v>
      </c>
      <c r="B937" t="s">
        <v>2295</v>
      </c>
      <c r="C937" t="s">
        <v>158</v>
      </c>
      <c r="D937" t="s">
        <v>61</v>
      </c>
      <c r="E937">
        <v>0</v>
      </c>
      <c r="F937" t="s">
        <v>56</v>
      </c>
      <c r="G937">
        <v>349</v>
      </c>
      <c r="H937" t="s">
        <v>27</v>
      </c>
      <c r="I937">
        <v>118667</v>
      </c>
      <c r="J937" t="s">
        <v>20</v>
      </c>
      <c r="K937" t="s">
        <v>2296</v>
      </c>
      <c r="L937" t="s">
        <v>1242</v>
      </c>
      <c r="M937" t="s">
        <v>54</v>
      </c>
      <c r="N937">
        <v>10</v>
      </c>
      <c r="O937">
        <v>0</v>
      </c>
    </row>
    <row r="938" spans="1:15">
      <c r="A938">
        <v>937</v>
      </c>
      <c r="B938" t="s">
        <v>2297</v>
      </c>
      <c r="C938" t="s">
        <v>123</v>
      </c>
      <c r="D938" t="s">
        <v>114</v>
      </c>
      <c r="E938">
        <v>20.9</v>
      </c>
      <c r="F938" t="s">
        <v>62</v>
      </c>
      <c r="G938">
        <v>693</v>
      </c>
      <c r="H938" t="s">
        <v>27</v>
      </c>
      <c r="I938">
        <v>80265</v>
      </c>
      <c r="J938" t="s">
        <v>20</v>
      </c>
      <c r="K938" t="s">
        <v>2298</v>
      </c>
      <c r="L938" t="s">
        <v>2299</v>
      </c>
      <c r="M938" t="s">
        <v>69</v>
      </c>
      <c r="N938">
        <v>14</v>
      </c>
      <c r="O938">
        <v>51</v>
      </c>
    </row>
    <row r="939" spans="1:15">
      <c r="A939">
        <v>938</v>
      </c>
      <c r="B939" t="s">
        <v>2300</v>
      </c>
      <c r="C939" t="s">
        <v>50</v>
      </c>
      <c r="D939" t="s">
        <v>61</v>
      </c>
      <c r="E939">
        <v>0</v>
      </c>
      <c r="F939" t="s">
        <v>62</v>
      </c>
      <c r="G939">
        <v>232</v>
      </c>
      <c r="H939" t="s">
        <v>27</v>
      </c>
      <c r="I939">
        <v>68545</v>
      </c>
      <c r="J939" t="s">
        <v>20</v>
      </c>
      <c r="K939" t="s">
        <v>2301</v>
      </c>
      <c r="L939" t="s">
        <v>2302</v>
      </c>
      <c r="M939" t="s">
        <v>121</v>
      </c>
      <c r="N939">
        <v>10</v>
      </c>
      <c r="O939">
        <v>0</v>
      </c>
    </row>
    <row r="940" spans="1:15">
      <c r="A940">
        <v>939</v>
      </c>
      <c r="B940" t="s">
        <v>2303</v>
      </c>
      <c r="C940" t="s">
        <v>123</v>
      </c>
      <c r="D940" t="s">
        <v>137</v>
      </c>
      <c r="E940">
        <v>8.5</v>
      </c>
      <c r="F940" t="s">
        <v>41</v>
      </c>
      <c r="G940">
        <v>435</v>
      </c>
      <c r="H940" t="s">
        <v>27</v>
      </c>
      <c r="I940">
        <v>47488</v>
      </c>
      <c r="J940" t="s">
        <v>20</v>
      </c>
      <c r="K940" t="s">
        <v>2304</v>
      </c>
      <c r="L940" t="s">
        <v>1090</v>
      </c>
      <c r="M940" t="s">
        <v>48</v>
      </c>
      <c r="N940">
        <v>18</v>
      </c>
      <c r="O940">
        <v>28.8</v>
      </c>
    </row>
    <row r="941" spans="1:15">
      <c r="A941">
        <v>940</v>
      </c>
      <c r="B941" t="s">
        <v>2305</v>
      </c>
      <c r="C941" t="s">
        <v>133</v>
      </c>
      <c r="D941" t="s">
        <v>114</v>
      </c>
      <c r="E941">
        <v>50.8</v>
      </c>
      <c r="F941" t="s">
        <v>62</v>
      </c>
      <c r="G941">
        <v>341</v>
      </c>
      <c r="H941" t="s">
        <v>27</v>
      </c>
      <c r="I941">
        <v>46040</v>
      </c>
      <c r="J941" t="s">
        <v>20</v>
      </c>
      <c r="K941" t="s">
        <v>2306</v>
      </c>
      <c r="L941" t="s">
        <v>1181</v>
      </c>
      <c r="M941" t="s">
        <v>441</v>
      </c>
      <c r="N941">
        <v>11</v>
      </c>
      <c r="O941">
        <v>158</v>
      </c>
    </row>
    <row r="942" spans="1:15">
      <c r="A942">
        <v>941</v>
      </c>
      <c r="B942" t="s">
        <v>2307</v>
      </c>
      <c r="C942" t="s">
        <v>123</v>
      </c>
      <c r="D942" t="s">
        <v>137</v>
      </c>
      <c r="E942">
        <v>77.3</v>
      </c>
      <c r="F942" t="s">
        <v>62</v>
      </c>
      <c r="G942">
        <v>259</v>
      </c>
      <c r="H942" t="s">
        <v>19</v>
      </c>
      <c r="I942">
        <v>50941</v>
      </c>
      <c r="J942" t="s">
        <v>20</v>
      </c>
      <c r="K942" t="s">
        <v>2308</v>
      </c>
      <c r="L942" t="s">
        <v>2309</v>
      </c>
      <c r="M942" t="s">
        <v>48</v>
      </c>
      <c r="N942">
        <v>15</v>
      </c>
      <c r="O942">
        <v>211.4</v>
      </c>
    </row>
    <row r="943" spans="1:15">
      <c r="A943">
        <v>942</v>
      </c>
      <c r="B943" t="s">
        <v>2310</v>
      </c>
      <c r="C943" t="s">
        <v>16</v>
      </c>
      <c r="D943" t="s">
        <v>33</v>
      </c>
      <c r="E943">
        <v>63.5</v>
      </c>
      <c r="F943" t="s">
        <v>41</v>
      </c>
      <c r="G943">
        <v>682</v>
      </c>
      <c r="H943" t="s">
        <v>27</v>
      </c>
      <c r="I943">
        <v>66441</v>
      </c>
      <c r="J943" t="s">
        <v>20</v>
      </c>
      <c r="K943" t="s">
        <v>2311</v>
      </c>
      <c r="L943" t="s">
        <v>2312</v>
      </c>
      <c r="M943" t="s">
        <v>441</v>
      </c>
      <c r="N943">
        <v>2</v>
      </c>
      <c r="O943">
        <v>135.6</v>
      </c>
    </row>
    <row r="944" spans="1:15">
      <c r="A944">
        <v>943</v>
      </c>
      <c r="B944" t="s">
        <v>2313</v>
      </c>
      <c r="C944" t="s">
        <v>39</v>
      </c>
      <c r="D944" t="s">
        <v>33</v>
      </c>
      <c r="E944">
        <v>71.5</v>
      </c>
      <c r="F944" t="s">
        <v>26</v>
      </c>
      <c r="G944">
        <v>527</v>
      </c>
      <c r="H944" t="s">
        <v>27</v>
      </c>
      <c r="I944">
        <v>19612</v>
      </c>
      <c r="J944" t="s">
        <v>20</v>
      </c>
      <c r="K944" t="s">
        <v>2314</v>
      </c>
      <c r="L944" t="s">
        <v>627</v>
      </c>
      <c r="M944" t="s">
        <v>117</v>
      </c>
      <c r="N944">
        <v>17</v>
      </c>
      <c r="O944">
        <v>243.6</v>
      </c>
    </row>
    <row r="945" spans="1:15">
      <c r="A945">
        <v>944</v>
      </c>
      <c r="B945" t="s">
        <v>1072</v>
      </c>
      <c r="C945" t="s">
        <v>16</v>
      </c>
      <c r="D945" t="s">
        <v>40</v>
      </c>
      <c r="E945">
        <v>19.399999999999999</v>
      </c>
      <c r="F945" t="s">
        <v>26</v>
      </c>
      <c r="G945">
        <v>104</v>
      </c>
      <c r="H945" t="s">
        <v>27</v>
      </c>
      <c r="I945">
        <v>87598</v>
      </c>
      <c r="J945" t="s">
        <v>20</v>
      </c>
      <c r="K945" t="s">
        <v>721</v>
      </c>
      <c r="L945" t="s">
        <v>844</v>
      </c>
      <c r="M945" t="s">
        <v>69</v>
      </c>
      <c r="N945">
        <v>16</v>
      </c>
      <c r="O945">
        <v>55.5</v>
      </c>
    </row>
    <row r="946" spans="1:15">
      <c r="A946">
        <v>945</v>
      </c>
      <c r="B946" t="s">
        <v>2315</v>
      </c>
      <c r="C946" t="s">
        <v>25</v>
      </c>
      <c r="D946" t="s">
        <v>33</v>
      </c>
      <c r="E946">
        <v>13.1</v>
      </c>
      <c r="F946" t="s">
        <v>56</v>
      </c>
      <c r="G946">
        <v>268</v>
      </c>
      <c r="H946" t="s">
        <v>19</v>
      </c>
      <c r="I946">
        <v>12706</v>
      </c>
      <c r="J946" t="s">
        <v>20</v>
      </c>
      <c r="K946" t="s">
        <v>2316</v>
      </c>
      <c r="L946" t="s">
        <v>2317</v>
      </c>
      <c r="M946" t="s">
        <v>48</v>
      </c>
      <c r="N946">
        <v>9</v>
      </c>
      <c r="O946">
        <v>26.5</v>
      </c>
    </row>
    <row r="947" spans="1:15">
      <c r="A947">
        <v>946</v>
      </c>
      <c r="B947" t="s">
        <v>2059</v>
      </c>
      <c r="C947" t="s">
        <v>39</v>
      </c>
      <c r="D947" t="s">
        <v>33</v>
      </c>
      <c r="E947">
        <v>15.9</v>
      </c>
      <c r="F947" t="s">
        <v>41</v>
      </c>
      <c r="G947">
        <v>504</v>
      </c>
      <c r="H947" t="s">
        <v>19</v>
      </c>
      <c r="I947">
        <v>78809</v>
      </c>
      <c r="J947" t="s">
        <v>20</v>
      </c>
      <c r="K947" t="s">
        <v>1888</v>
      </c>
      <c r="L947" t="s">
        <v>2318</v>
      </c>
      <c r="M947" t="s">
        <v>54</v>
      </c>
      <c r="N947">
        <v>11</v>
      </c>
      <c r="O947">
        <v>43.3</v>
      </c>
    </row>
    <row r="948" spans="1:15">
      <c r="A948">
        <v>947</v>
      </c>
      <c r="B948" t="s">
        <v>1130</v>
      </c>
      <c r="C948" t="s">
        <v>123</v>
      </c>
      <c r="D948" t="s">
        <v>40</v>
      </c>
      <c r="E948">
        <v>73</v>
      </c>
      <c r="F948" t="s">
        <v>62</v>
      </c>
      <c r="G948">
        <v>421</v>
      </c>
      <c r="H948" t="s">
        <v>27</v>
      </c>
      <c r="I948">
        <v>114022</v>
      </c>
      <c r="J948" t="s">
        <v>20</v>
      </c>
      <c r="K948" t="s">
        <v>2101</v>
      </c>
      <c r="L948" t="s">
        <v>980</v>
      </c>
      <c r="M948" t="s">
        <v>69</v>
      </c>
      <c r="N948">
        <v>11</v>
      </c>
      <c r="O948">
        <v>198.5</v>
      </c>
    </row>
    <row r="949" spans="1:15">
      <c r="A949">
        <v>948</v>
      </c>
      <c r="B949" t="s">
        <v>2319</v>
      </c>
      <c r="C949" t="s">
        <v>123</v>
      </c>
      <c r="D949" t="s">
        <v>33</v>
      </c>
      <c r="E949">
        <v>10.199999999999999</v>
      </c>
      <c r="F949" t="s">
        <v>56</v>
      </c>
      <c r="G949">
        <v>429</v>
      </c>
      <c r="H949" t="s">
        <v>19</v>
      </c>
      <c r="I949">
        <v>35688</v>
      </c>
      <c r="J949" t="s">
        <v>20</v>
      </c>
      <c r="K949" t="s">
        <v>2320</v>
      </c>
      <c r="L949" t="s">
        <v>1805</v>
      </c>
      <c r="M949" t="s">
        <v>59</v>
      </c>
      <c r="N949">
        <v>7</v>
      </c>
      <c r="O949">
        <v>32.299999999999997</v>
      </c>
    </row>
    <row r="950" spans="1:15">
      <c r="A950">
        <v>949</v>
      </c>
      <c r="B950" t="s">
        <v>1508</v>
      </c>
      <c r="C950" t="s">
        <v>50</v>
      </c>
      <c r="D950" t="s">
        <v>33</v>
      </c>
      <c r="E950">
        <v>77.900000000000006</v>
      </c>
      <c r="F950" t="s">
        <v>18</v>
      </c>
      <c r="G950">
        <v>192</v>
      </c>
      <c r="H950" t="s">
        <v>19</v>
      </c>
      <c r="I950">
        <v>95344</v>
      </c>
      <c r="J950" t="s">
        <v>20</v>
      </c>
      <c r="K950" t="s">
        <v>2321</v>
      </c>
      <c r="L950" t="s">
        <v>395</v>
      </c>
      <c r="M950" t="s">
        <v>441</v>
      </c>
      <c r="N950">
        <v>11</v>
      </c>
      <c r="O950">
        <v>238.6</v>
      </c>
    </row>
    <row r="951" spans="1:15">
      <c r="A951">
        <v>950</v>
      </c>
      <c r="B951" t="s">
        <v>2322</v>
      </c>
      <c r="C951" t="s">
        <v>32</v>
      </c>
      <c r="D951" t="s">
        <v>33</v>
      </c>
      <c r="E951">
        <v>92.8</v>
      </c>
      <c r="F951" t="s">
        <v>26</v>
      </c>
      <c r="G951">
        <v>343</v>
      </c>
      <c r="H951" t="s">
        <v>19</v>
      </c>
      <c r="I951">
        <v>20460</v>
      </c>
      <c r="J951" t="s">
        <v>20</v>
      </c>
      <c r="K951" t="s">
        <v>2323</v>
      </c>
      <c r="L951" t="s">
        <v>467</v>
      </c>
      <c r="M951" t="s">
        <v>121</v>
      </c>
      <c r="N951">
        <v>9</v>
      </c>
      <c r="O951">
        <v>276.5</v>
      </c>
    </row>
    <row r="952" spans="1:15">
      <c r="A952">
        <v>951</v>
      </c>
      <c r="B952" t="s">
        <v>2324</v>
      </c>
      <c r="C952" t="s">
        <v>50</v>
      </c>
      <c r="D952" t="s">
        <v>40</v>
      </c>
      <c r="E952">
        <v>87</v>
      </c>
      <c r="F952" t="s">
        <v>26</v>
      </c>
      <c r="G952">
        <v>694</v>
      </c>
      <c r="H952" t="s">
        <v>27</v>
      </c>
      <c r="I952">
        <v>79021</v>
      </c>
      <c r="J952" t="s">
        <v>20</v>
      </c>
      <c r="K952" t="s">
        <v>588</v>
      </c>
      <c r="L952" t="s">
        <v>1513</v>
      </c>
      <c r="M952" t="s">
        <v>117</v>
      </c>
      <c r="N952">
        <v>19</v>
      </c>
      <c r="O952">
        <v>250.8</v>
      </c>
    </row>
    <row r="953" spans="1:15">
      <c r="A953">
        <v>952</v>
      </c>
      <c r="B953" t="s">
        <v>2325</v>
      </c>
      <c r="C953" t="s">
        <v>123</v>
      </c>
      <c r="D953" t="s">
        <v>114</v>
      </c>
      <c r="E953">
        <v>37.9</v>
      </c>
      <c r="F953" t="s">
        <v>26</v>
      </c>
      <c r="G953">
        <v>135</v>
      </c>
      <c r="H953" t="s">
        <v>27</v>
      </c>
      <c r="I953">
        <v>23891</v>
      </c>
      <c r="J953" t="s">
        <v>20</v>
      </c>
      <c r="K953" t="s">
        <v>2326</v>
      </c>
      <c r="L953" t="s">
        <v>2327</v>
      </c>
      <c r="M953" t="s">
        <v>59</v>
      </c>
      <c r="N953">
        <v>3</v>
      </c>
      <c r="O953">
        <v>123.6</v>
      </c>
    </row>
    <row r="954" spans="1:15">
      <c r="A954">
        <v>953</v>
      </c>
      <c r="B954" t="s">
        <v>2328</v>
      </c>
      <c r="C954" t="s">
        <v>39</v>
      </c>
      <c r="D954" t="s">
        <v>17</v>
      </c>
      <c r="E954">
        <v>27.3</v>
      </c>
      <c r="F954" t="s">
        <v>62</v>
      </c>
      <c r="G954">
        <v>589</v>
      </c>
      <c r="H954" t="s">
        <v>27</v>
      </c>
      <c r="I954">
        <v>52770</v>
      </c>
      <c r="J954" t="s">
        <v>20</v>
      </c>
      <c r="K954" t="s">
        <v>406</v>
      </c>
      <c r="L954" t="s">
        <v>1315</v>
      </c>
      <c r="M954" t="s">
        <v>441</v>
      </c>
      <c r="N954">
        <v>1</v>
      </c>
      <c r="O954">
        <v>63.5</v>
      </c>
    </row>
    <row r="955" spans="1:15">
      <c r="A955">
        <v>954</v>
      </c>
      <c r="B955" t="s">
        <v>2329</v>
      </c>
      <c r="C955" t="s">
        <v>32</v>
      </c>
      <c r="D955" t="s">
        <v>17</v>
      </c>
      <c r="E955">
        <v>53.6</v>
      </c>
      <c r="F955" t="s">
        <v>41</v>
      </c>
      <c r="G955">
        <v>310</v>
      </c>
      <c r="H955" t="s">
        <v>27</v>
      </c>
      <c r="I955">
        <v>73653</v>
      </c>
      <c r="J955" t="s">
        <v>20</v>
      </c>
      <c r="K955" t="s">
        <v>2330</v>
      </c>
      <c r="L955" t="s">
        <v>2331</v>
      </c>
      <c r="N955">
        <v>20</v>
      </c>
      <c r="O955">
        <v>115.3</v>
      </c>
    </row>
    <row r="956" spans="1:15">
      <c r="A956">
        <v>955</v>
      </c>
      <c r="B956" t="s">
        <v>2332</v>
      </c>
      <c r="C956" t="s">
        <v>158</v>
      </c>
      <c r="D956" t="s">
        <v>33</v>
      </c>
      <c r="E956">
        <v>92.3</v>
      </c>
      <c r="F956" t="s">
        <v>41</v>
      </c>
      <c r="G956">
        <v>521</v>
      </c>
      <c r="H956" t="s">
        <v>19</v>
      </c>
      <c r="I956">
        <v>109722</v>
      </c>
      <c r="J956" t="s">
        <v>20</v>
      </c>
      <c r="K956" t="s">
        <v>2333</v>
      </c>
      <c r="L956" t="s">
        <v>956</v>
      </c>
      <c r="M956" t="s">
        <v>48</v>
      </c>
      <c r="N956">
        <v>10</v>
      </c>
      <c r="O956">
        <v>312.7</v>
      </c>
    </row>
    <row r="957" spans="1:15">
      <c r="A957">
        <v>956</v>
      </c>
      <c r="B957" t="s">
        <v>1666</v>
      </c>
      <c r="C957" t="s">
        <v>133</v>
      </c>
      <c r="D957" t="s">
        <v>137</v>
      </c>
      <c r="E957">
        <v>89</v>
      </c>
      <c r="F957" t="s">
        <v>18</v>
      </c>
      <c r="G957">
        <v>398</v>
      </c>
      <c r="H957" t="s">
        <v>19</v>
      </c>
      <c r="I957">
        <v>43186</v>
      </c>
      <c r="J957" t="s">
        <v>20</v>
      </c>
      <c r="K957" t="s">
        <v>2334</v>
      </c>
      <c r="L957" t="s">
        <v>1415</v>
      </c>
      <c r="M957" t="s">
        <v>86</v>
      </c>
      <c r="N957">
        <v>6</v>
      </c>
      <c r="O957">
        <v>221</v>
      </c>
    </row>
    <row r="958" spans="1:15">
      <c r="A958">
        <v>957</v>
      </c>
      <c r="B958" t="s">
        <v>2335</v>
      </c>
      <c r="C958" t="s">
        <v>32</v>
      </c>
      <c r="D958" t="s">
        <v>61</v>
      </c>
      <c r="E958">
        <v>0</v>
      </c>
      <c r="F958" t="s">
        <v>41</v>
      </c>
      <c r="G958">
        <v>397</v>
      </c>
      <c r="H958" t="s">
        <v>27</v>
      </c>
      <c r="I958">
        <v>15561</v>
      </c>
      <c r="J958" t="s">
        <v>20</v>
      </c>
      <c r="K958" t="s">
        <v>2146</v>
      </c>
      <c r="L958" t="s">
        <v>1184</v>
      </c>
      <c r="M958" t="s">
        <v>69</v>
      </c>
      <c r="N958">
        <v>1</v>
      </c>
      <c r="O958">
        <v>0</v>
      </c>
    </row>
    <row r="959" spans="1:15">
      <c r="A959">
        <v>958</v>
      </c>
      <c r="B959" t="s">
        <v>707</v>
      </c>
      <c r="C959" t="s">
        <v>25</v>
      </c>
      <c r="D959" t="s">
        <v>40</v>
      </c>
      <c r="E959">
        <v>56.2</v>
      </c>
      <c r="F959" t="s">
        <v>62</v>
      </c>
      <c r="G959">
        <v>560</v>
      </c>
      <c r="H959" t="s">
        <v>27</v>
      </c>
      <c r="I959">
        <v>63653</v>
      </c>
      <c r="J959" t="s">
        <v>20</v>
      </c>
      <c r="K959" t="s">
        <v>2336</v>
      </c>
      <c r="L959" t="s">
        <v>1961</v>
      </c>
      <c r="M959" t="s">
        <v>117</v>
      </c>
      <c r="N959">
        <v>11</v>
      </c>
      <c r="O959">
        <v>175.3</v>
      </c>
    </row>
    <row r="960" spans="1:15">
      <c r="A960">
        <v>959</v>
      </c>
      <c r="B960" t="s">
        <v>2337</v>
      </c>
      <c r="C960" t="s">
        <v>32</v>
      </c>
      <c r="D960" t="s">
        <v>114</v>
      </c>
      <c r="E960">
        <v>40.700000000000003</v>
      </c>
      <c r="F960" t="s">
        <v>56</v>
      </c>
      <c r="G960">
        <v>510</v>
      </c>
      <c r="H960" t="s">
        <v>19</v>
      </c>
      <c r="I960">
        <v>28101</v>
      </c>
      <c r="J960" t="s">
        <v>20</v>
      </c>
      <c r="K960" t="s">
        <v>1938</v>
      </c>
      <c r="L960" t="s">
        <v>487</v>
      </c>
      <c r="M960" t="s">
        <v>69</v>
      </c>
      <c r="N960">
        <v>16</v>
      </c>
      <c r="O960">
        <v>115</v>
      </c>
    </row>
    <row r="961" spans="1:15">
      <c r="A961">
        <v>960</v>
      </c>
      <c r="B961" t="s">
        <v>2127</v>
      </c>
      <c r="C961" t="s">
        <v>25</v>
      </c>
      <c r="D961" t="s">
        <v>114</v>
      </c>
      <c r="E961">
        <v>81.400000000000006</v>
      </c>
      <c r="F961" t="s">
        <v>62</v>
      </c>
      <c r="G961">
        <v>308</v>
      </c>
      <c r="H961" t="s">
        <v>19</v>
      </c>
      <c r="I961">
        <v>78711</v>
      </c>
      <c r="J961" t="s">
        <v>20</v>
      </c>
      <c r="K961" t="s">
        <v>2338</v>
      </c>
      <c r="L961" t="s">
        <v>467</v>
      </c>
      <c r="M961" t="s">
        <v>121</v>
      </c>
      <c r="N961">
        <v>11</v>
      </c>
      <c r="O961">
        <v>241.3</v>
      </c>
    </row>
    <row r="962" spans="1:15">
      <c r="A962">
        <v>961</v>
      </c>
      <c r="B962" t="s">
        <v>2339</v>
      </c>
      <c r="C962" t="s">
        <v>32</v>
      </c>
      <c r="D962" t="s">
        <v>61</v>
      </c>
      <c r="E962">
        <v>0</v>
      </c>
      <c r="F962" t="s">
        <v>26</v>
      </c>
      <c r="G962">
        <v>306</v>
      </c>
      <c r="H962" t="s">
        <v>27</v>
      </c>
      <c r="I962">
        <v>110538</v>
      </c>
      <c r="J962" t="s">
        <v>20</v>
      </c>
      <c r="K962" t="s">
        <v>2340</v>
      </c>
      <c r="L962" t="s">
        <v>539</v>
      </c>
      <c r="N962">
        <v>19</v>
      </c>
      <c r="O962">
        <v>0</v>
      </c>
    </row>
    <row r="963" spans="1:15">
      <c r="A963">
        <v>962</v>
      </c>
      <c r="B963" t="s">
        <v>2341</v>
      </c>
      <c r="C963" t="s">
        <v>133</v>
      </c>
      <c r="D963" t="s">
        <v>33</v>
      </c>
      <c r="E963">
        <v>50.4</v>
      </c>
      <c r="F963" t="s">
        <v>62</v>
      </c>
      <c r="G963">
        <v>517</v>
      </c>
      <c r="H963" t="s">
        <v>19</v>
      </c>
      <c r="I963">
        <v>98254</v>
      </c>
      <c r="J963" t="s">
        <v>20</v>
      </c>
      <c r="K963" t="s">
        <v>1115</v>
      </c>
      <c r="L963" t="s">
        <v>2318</v>
      </c>
      <c r="M963" t="s">
        <v>54</v>
      </c>
      <c r="N963">
        <v>6</v>
      </c>
      <c r="O963">
        <v>152.5</v>
      </c>
    </row>
    <row r="964" spans="1:15">
      <c r="A964">
        <v>963</v>
      </c>
      <c r="B964" t="s">
        <v>2342</v>
      </c>
      <c r="C964" t="s">
        <v>133</v>
      </c>
      <c r="D964" t="s">
        <v>137</v>
      </c>
      <c r="E964">
        <v>59.7</v>
      </c>
      <c r="F964" t="s">
        <v>56</v>
      </c>
      <c r="G964">
        <v>474</v>
      </c>
      <c r="H964" t="s">
        <v>19</v>
      </c>
      <c r="I964">
        <v>87193</v>
      </c>
      <c r="J964" t="s">
        <v>20</v>
      </c>
      <c r="K964" t="s">
        <v>1322</v>
      </c>
      <c r="L964" t="s">
        <v>2343</v>
      </c>
      <c r="M964" t="s">
        <v>59</v>
      </c>
      <c r="N964">
        <v>5</v>
      </c>
      <c r="O964">
        <v>122.4</v>
      </c>
    </row>
    <row r="965" spans="1:15">
      <c r="A965">
        <v>964</v>
      </c>
      <c r="B965" t="s">
        <v>2344</v>
      </c>
      <c r="C965" t="s">
        <v>50</v>
      </c>
      <c r="D965" t="s">
        <v>114</v>
      </c>
      <c r="E965">
        <v>64.7</v>
      </c>
      <c r="F965" t="s">
        <v>41</v>
      </c>
      <c r="G965">
        <v>544</v>
      </c>
      <c r="H965" t="s">
        <v>27</v>
      </c>
      <c r="I965">
        <v>34011</v>
      </c>
      <c r="J965" t="s">
        <v>20</v>
      </c>
      <c r="K965" t="s">
        <v>2345</v>
      </c>
      <c r="L965" t="s">
        <v>770</v>
      </c>
      <c r="M965" t="s">
        <v>112</v>
      </c>
      <c r="N965">
        <v>4</v>
      </c>
      <c r="O965">
        <v>133</v>
      </c>
    </row>
    <row r="966" spans="1:15">
      <c r="A966">
        <v>965</v>
      </c>
      <c r="B966" t="s">
        <v>2346</v>
      </c>
      <c r="C966" t="s">
        <v>39</v>
      </c>
      <c r="D966" t="s">
        <v>40</v>
      </c>
      <c r="E966">
        <v>83.3</v>
      </c>
      <c r="F966" t="s">
        <v>18</v>
      </c>
      <c r="G966">
        <v>295</v>
      </c>
      <c r="H966" t="s">
        <v>19</v>
      </c>
      <c r="I966">
        <v>8277</v>
      </c>
      <c r="J966" t="s">
        <v>20</v>
      </c>
      <c r="K966" t="s">
        <v>2347</v>
      </c>
      <c r="L966" t="s">
        <v>983</v>
      </c>
      <c r="M966" t="s">
        <v>441</v>
      </c>
      <c r="N966">
        <v>18</v>
      </c>
      <c r="O966">
        <v>277.89999999999998</v>
      </c>
    </row>
    <row r="967" spans="1:15">
      <c r="A967">
        <v>966</v>
      </c>
      <c r="B967" t="s">
        <v>2348</v>
      </c>
      <c r="C967" t="s">
        <v>158</v>
      </c>
      <c r="D967" t="s">
        <v>33</v>
      </c>
      <c r="E967">
        <v>31.4</v>
      </c>
      <c r="F967" t="s">
        <v>41</v>
      </c>
      <c r="G967">
        <v>535</v>
      </c>
      <c r="H967" t="s">
        <v>27</v>
      </c>
      <c r="I967">
        <v>36222</v>
      </c>
      <c r="J967" t="s">
        <v>20</v>
      </c>
      <c r="K967" t="s">
        <v>2349</v>
      </c>
      <c r="L967" t="s">
        <v>928</v>
      </c>
      <c r="M967" t="s">
        <v>121</v>
      </c>
      <c r="N967">
        <v>15</v>
      </c>
      <c r="O967">
        <v>65</v>
      </c>
    </row>
    <row r="968" spans="1:15">
      <c r="A968">
        <v>967</v>
      </c>
      <c r="B968" t="s">
        <v>2350</v>
      </c>
      <c r="C968" t="s">
        <v>32</v>
      </c>
      <c r="D968" t="s">
        <v>17</v>
      </c>
      <c r="E968">
        <v>52</v>
      </c>
      <c r="F968" t="s">
        <v>62</v>
      </c>
      <c r="G968">
        <v>606</v>
      </c>
      <c r="H968" t="s">
        <v>27</v>
      </c>
      <c r="I968">
        <v>50643</v>
      </c>
      <c r="J968" t="s">
        <v>20</v>
      </c>
      <c r="K968" t="s">
        <v>2351</v>
      </c>
      <c r="L968" t="s">
        <v>2352</v>
      </c>
      <c r="M968" t="s">
        <v>48</v>
      </c>
      <c r="N968">
        <v>12</v>
      </c>
      <c r="O968">
        <v>150</v>
      </c>
    </row>
    <row r="969" spans="1:15">
      <c r="A969">
        <v>968</v>
      </c>
      <c r="B969" t="s">
        <v>2147</v>
      </c>
      <c r="C969" t="s">
        <v>158</v>
      </c>
      <c r="D969" t="s">
        <v>61</v>
      </c>
      <c r="E969">
        <v>0</v>
      </c>
      <c r="F969" t="s">
        <v>41</v>
      </c>
      <c r="G969">
        <v>392</v>
      </c>
      <c r="H969" t="s">
        <v>19</v>
      </c>
      <c r="I969">
        <v>36266</v>
      </c>
      <c r="J969" t="s">
        <v>20</v>
      </c>
      <c r="K969" t="s">
        <v>2353</v>
      </c>
      <c r="L969" t="s">
        <v>452</v>
      </c>
      <c r="M969" t="s">
        <v>117</v>
      </c>
      <c r="N969">
        <v>6</v>
      </c>
      <c r="O969">
        <v>0</v>
      </c>
    </row>
    <row r="970" spans="1:15">
      <c r="A970">
        <v>969</v>
      </c>
      <c r="B970" t="s">
        <v>2354</v>
      </c>
      <c r="C970" t="s">
        <v>158</v>
      </c>
      <c r="D970" t="s">
        <v>61</v>
      </c>
      <c r="E970">
        <v>0</v>
      </c>
      <c r="F970" t="s">
        <v>62</v>
      </c>
      <c r="G970">
        <v>295</v>
      </c>
      <c r="H970" t="s">
        <v>19</v>
      </c>
      <c r="I970">
        <v>19907</v>
      </c>
      <c r="J970" t="s">
        <v>20</v>
      </c>
      <c r="K970" t="s">
        <v>2355</v>
      </c>
      <c r="L970" t="s">
        <v>2173</v>
      </c>
      <c r="M970" t="s">
        <v>69</v>
      </c>
      <c r="N970">
        <v>17</v>
      </c>
      <c r="O970">
        <v>0</v>
      </c>
    </row>
    <row r="971" spans="1:15">
      <c r="A971">
        <v>970</v>
      </c>
      <c r="B971" t="s">
        <v>2356</v>
      </c>
      <c r="C971" t="s">
        <v>158</v>
      </c>
      <c r="D971" t="s">
        <v>137</v>
      </c>
      <c r="E971">
        <v>35.4</v>
      </c>
      <c r="F971" t="s">
        <v>18</v>
      </c>
      <c r="G971">
        <v>111</v>
      </c>
      <c r="H971" t="s">
        <v>27</v>
      </c>
      <c r="I971">
        <v>31296</v>
      </c>
      <c r="J971" t="s">
        <v>20</v>
      </c>
      <c r="K971" t="s">
        <v>2357</v>
      </c>
      <c r="L971" t="s">
        <v>2263</v>
      </c>
      <c r="M971" t="s">
        <v>112</v>
      </c>
      <c r="N971">
        <v>17</v>
      </c>
      <c r="O971">
        <v>114.6</v>
      </c>
    </row>
    <row r="972" spans="1:15">
      <c r="A972">
        <v>971</v>
      </c>
      <c r="B972" t="s">
        <v>2358</v>
      </c>
      <c r="C972" t="s">
        <v>39</v>
      </c>
      <c r="D972" t="s">
        <v>137</v>
      </c>
      <c r="E972">
        <v>86.5</v>
      </c>
      <c r="F972" t="s">
        <v>18</v>
      </c>
      <c r="G972">
        <v>548</v>
      </c>
      <c r="H972" t="s">
        <v>27</v>
      </c>
      <c r="I972">
        <v>8480</v>
      </c>
      <c r="J972" t="s">
        <v>20</v>
      </c>
      <c r="K972" t="s">
        <v>2359</v>
      </c>
      <c r="L972" t="s">
        <v>773</v>
      </c>
      <c r="M972" t="s">
        <v>86</v>
      </c>
      <c r="N972">
        <v>15</v>
      </c>
      <c r="O972">
        <v>225.8</v>
      </c>
    </row>
    <row r="973" spans="1:15">
      <c r="A973">
        <v>972</v>
      </c>
      <c r="B973" t="s">
        <v>2360</v>
      </c>
      <c r="C973" t="s">
        <v>32</v>
      </c>
      <c r="D973" t="s">
        <v>137</v>
      </c>
      <c r="E973">
        <v>86.8</v>
      </c>
      <c r="F973" t="s">
        <v>56</v>
      </c>
      <c r="G973">
        <v>273</v>
      </c>
      <c r="H973" t="s">
        <v>27</v>
      </c>
      <c r="I973">
        <v>16383</v>
      </c>
      <c r="J973" t="s">
        <v>20</v>
      </c>
      <c r="K973" t="s">
        <v>2361</v>
      </c>
      <c r="L973" t="s">
        <v>2362</v>
      </c>
      <c r="N973">
        <v>16</v>
      </c>
      <c r="O973">
        <v>200.6</v>
      </c>
    </row>
    <row r="974" spans="1:15">
      <c r="A974">
        <v>973</v>
      </c>
      <c r="B974" t="s">
        <v>2363</v>
      </c>
      <c r="C974" t="s">
        <v>158</v>
      </c>
      <c r="D974" t="s">
        <v>114</v>
      </c>
      <c r="E974">
        <v>42</v>
      </c>
      <c r="F974" t="s">
        <v>18</v>
      </c>
      <c r="G974">
        <v>418</v>
      </c>
      <c r="H974" t="s">
        <v>19</v>
      </c>
      <c r="I974">
        <v>21390</v>
      </c>
      <c r="J974" t="s">
        <v>20</v>
      </c>
      <c r="K974" t="s">
        <v>2364</v>
      </c>
      <c r="L974" t="s">
        <v>1779</v>
      </c>
      <c r="M974" t="s">
        <v>441</v>
      </c>
      <c r="N974">
        <v>14</v>
      </c>
      <c r="O974">
        <v>129.30000000000001</v>
      </c>
    </row>
    <row r="975" spans="1:15">
      <c r="A975">
        <v>974</v>
      </c>
      <c r="B975" t="s">
        <v>2365</v>
      </c>
      <c r="C975" t="s">
        <v>123</v>
      </c>
      <c r="D975" t="s">
        <v>114</v>
      </c>
      <c r="E975">
        <v>89.1</v>
      </c>
      <c r="F975" t="s">
        <v>18</v>
      </c>
      <c r="G975">
        <v>536</v>
      </c>
      <c r="H975" t="s">
        <v>19</v>
      </c>
      <c r="I975">
        <v>52589</v>
      </c>
      <c r="J975" t="s">
        <v>20</v>
      </c>
      <c r="K975" t="s">
        <v>1784</v>
      </c>
      <c r="L975" t="s">
        <v>2282</v>
      </c>
      <c r="M975" t="s">
        <v>121</v>
      </c>
      <c r="N975">
        <v>8</v>
      </c>
      <c r="O975">
        <v>232.2</v>
      </c>
    </row>
    <row r="976" spans="1:15">
      <c r="A976">
        <v>975</v>
      </c>
      <c r="B976" t="s">
        <v>471</v>
      </c>
      <c r="C976" t="s">
        <v>158</v>
      </c>
      <c r="D976" t="s">
        <v>17</v>
      </c>
      <c r="E976">
        <v>49.3</v>
      </c>
      <c r="F976" t="s">
        <v>26</v>
      </c>
      <c r="G976">
        <v>521</v>
      </c>
      <c r="H976" t="s">
        <v>19</v>
      </c>
      <c r="I976">
        <v>86105</v>
      </c>
      <c r="J976" t="s">
        <v>20</v>
      </c>
      <c r="K976" t="s">
        <v>1722</v>
      </c>
      <c r="L976" t="s">
        <v>2062</v>
      </c>
      <c r="M976" t="s">
        <v>86</v>
      </c>
      <c r="N976">
        <v>10</v>
      </c>
      <c r="O976">
        <v>117.8</v>
      </c>
    </row>
    <row r="977" spans="1:15">
      <c r="A977">
        <v>976</v>
      </c>
      <c r="B977" t="s">
        <v>317</v>
      </c>
      <c r="C977" t="s">
        <v>158</v>
      </c>
      <c r="D977" t="s">
        <v>114</v>
      </c>
      <c r="E977">
        <v>40.799999999999997</v>
      </c>
      <c r="F977" t="s">
        <v>26</v>
      </c>
      <c r="G977">
        <v>379</v>
      </c>
      <c r="H977" t="s">
        <v>19</v>
      </c>
      <c r="I977">
        <v>35113</v>
      </c>
      <c r="J977" t="s">
        <v>20</v>
      </c>
      <c r="K977" t="s">
        <v>2366</v>
      </c>
      <c r="L977" t="s">
        <v>896</v>
      </c>
      <c r="M977" t="s">
        <v>112</v>
      </c>
      <c r="N977">
        <v>3</v>
      </c>
      <c r="O977">
        <v>102.4</v>
      </c>
    </row>
    <row r="978" spans="1:15">
      <c r="A978">
        <v>977</v>
      </c>
      <c r="B978" t="s">
        <v>2367</v>
      </c>
      <c r="C978" t="s">
        <v>25</v>
      </c>
      <c r="D978" t="s">
        <v>114</v>
      </c>
      <c r="E978">
        <v>90.8</v>
      </c>
      <c r="F978" t="s">
        <v>62</v>
      </c>
      <c r="G978">
        <v>566</v>
      </c>
      <c r="H978" t="s">
        <v>19</v>
      </c>
      <c r="I978">
        <v>91685</v>
      </c>
      <c r="J978" t="s">
        <v>20</v>
      </c>
      <c r="K978" t="s">
        <v>2368</v>
      </c>
      <c r="L978" t="s">
        <v>2369</v>
      </c>
      <c r="M978" t="s">
        <v>121</v>
      </c>
      <c r="N978">
        <v>18</v>
      </c>
      <c r="O978">
        <v>267.39999999999998</v>
      </c>
    </row>
    <row r="979" spans="1:15">
      <c r="A979">
        <v>978</v>
      </c>
      <c r="B979" t="s">
        <v>2370</v>
      </c>
      <c r="C979" t="s">
        <v>32</v>
      </c>
      <c r="D979" t="s">
        <v>114</v>
      </c>
      <c r="E979">
        <v>13.9</v>
      </c>
      <c r="F979" t="s">
        <v>18</v>
      </c>
      <c r="G979">
        <v>432</v>
      </c>
      <c r="H979" t="s">
        <v>27</v>
      </c>
      <c r="I979">
        <v>110786</v>
      </c>
      <c r="J979" t="s">
        <v>20</v>
      </c>
      <c r="K979" t="s">
        <v>2371</v>
      </c>
      <c r="L979" t="s">
        <v>499</v>
      </c>
      <c r="M979" t="s">
        <v>121</v>
      </c>
      <c r="N979">
        <v>17</v>
      </c>
      <c r="O979">
        <v>38</v>
      </c>
    </row>
    <row r="980" spans="1:15">
      <c r="A980">
        <v>979</v>
      </c>
      <c r="B980" t="s">
        <v>2372</v>
      </c>
      <c r="C980" t="s">
        <v>32</v>
      </c>
      <c r="D980" t="s">
        <v>61</v>
      </c>
      <c r="E980">
        <v>0</v>
      </c>
      <c r="F980" t="s">
        <v>18</v>
      </c>
      <c r="G980">
        <v>432</v>
      </c>
      <c r="H980" t="s">
        <v>27</v>
      </c>
      <c r="I980">
        <v>26109</v>
      </c>
      <c r="J980" t="s">
        <v>20</v>
      </c>
      <c r="K980" t="s">
        <v>2191</v>
      </c>
      <c r="L980" t="s">
        <v>1434</v>
      </c>
      <c r="M980" t="s">
        <v>112</v>
      </c>
      <c r="N980">
        <v>19</v>
      </c>
      <c r="O980">
        <v>0</v>
      </c>
    </row>
    <row r="981" spans="1:15">
      <c r="A981">
        <v>980</v>
      </c>
      <c r="B981" t="s">
        <v>2373</v>
      </c>
      <c r="C981" t="s">
        <v>133</v>
      </c>
      <c r="D981" t="s">
        <v>137</v>
      </c>
      <c r="E981">
        <v>36.5</v>
      </c>
      <c r="F981" t="s">
        <v>62</v>
      </c>
      <c r="G981">
        <v>696</v>
      </c>
      <c r="H981" t="s">
        <v>27</v>
      </c>
      <c r="I981">
        <v>119197</v>
      </c>
      <c r="J981" t="s">
        <v>20</v>
      </c>
      <c r="K981" t="s">
        <v>2374</v>
      </c>
      <c r="L981" t="s">
        <v>2375</v>
      </c>
      <c r="M981" t="s">
        <v>86</v>
      </c>
      <c r="N981">
        <v>5</v>
      </c>
      <c r="O981">
        <v>109.7</v>
      </c>
    </row>
    <row r="982" spans="1:15">
      <c r="A982">
        <v>981</v>
      </c>
      <c r="B982" t="s">
        <v>2376</v>
      </c>
      <c r="C982" t="s">
        <v>32</v>
      </c>
      <c r="D982" t="s">
        <v>33</v>
      </c>
      <c r="E982">
        <v>53.2</v>
      </c>
      <c r="F982" t="s">
        <v>62</v>
      </c>
      <c r="G982">
        <v>41</v>
      </c>
      <c r="H982" t="s">
        <v>19</v>
      </c>
      <c r="I982">
        <v>42909</v>
      </c>
      <c r="J982" t="s">
        <v>20</v>
      </c>
      <c r="K982" t="s">
        <v>2377</v>
      </c>
      <c r="L982" t="s">
        <v>1918</v>
      </c>
      <c r="M982" t="s">
        <v>69</v>
      </c>
      <c r="N982">
        <v>20</v>
      </c>
      <c r="O982">
        <v>176.4</v>
      </c>
    </row>
    <row r="983" spans="1:15">
      <c r="A983">
        <v>982</v>
      </c>
      <c r="B983" t="s">
        <v>2378</v>
      </c>
      <c r="C983" t="s">
        <v>32</v>
      </c>
      <c r="D983" t="s">
        <v>40</v>
      </c>
      <c r="E983">
        <v>58.5</v>
      </c>
      <c r="F983" t="s">
        <v>56</v>
      </c>
      <c r="G983">
        <v>655</v>
      </c>
      <c r="H983" t="s">
        <v>19</v>
      </c>
      <c r="I983">
        <v>21751</v>
      </c>
      <c r="J983" t="s">
        <v>20</v>
      </c>
      <c r="K983" t="s">
        <v>2379</v>
      </c>
      <c r="L983" t="s">
        <v>959</v>
      </c>
      <c r="M983" t="s">
        <v>117</v>
      </c>
      <c r="N983">
        <v>1</v>
      </c>
      <c r="O983">
        <v>201.1</v>
      </c>
    </row>
    <row r="984" spans="1:15">
      <c r="A984">
        <v>983</v>
      </c>
      <c r="B984" t="s">
        <v>2380</v>
      </c>
      <c r="C984" t="s">
        <v>158</v>
      </c>
      <c r="D984" t="s">
        <v>137</v>
      </c>
      <c r="E984">
        <v>18.3</v>
      </c>
      <c r="F984" t="s">
        <v>26</v>
      </c>
      <c r="G984">
        <v>461</v>
      </c>
      <c r="H984" t="s">
        <v>19</v>
      </c>
      <c r="I984">
        <v>106834</v>
      </c>
      <c r="J984" t="s">
        <v>20</v>
      </c>
      <c r="K984" t="s">
        <v>2381</v>
      </c>
      <c r="L984" t="s">
        <v>764</v>
      </c>
      <c r="M984" t="s">
        <v>48</v>
      </c>
      <c r="N984">
        <v>2</v>
      </c>
      <c r="O984">
        <v>38.5</v>
      </c>
    </row>
    <row r="985" spans="1:15">
      <c r="A985">
        <v>984</v>
      </c>
      <c r="B985" t="s">
        <v>2382</v>
      </c>
      <c r="C985" t="s">
        <v>32</v>
      </c>
      <c r="D985" t="s">
        <v>114</v>
      </c>
      <c r="E985">
        <v>21.6</v>
      </c>
      <c r="F985" t="s">
        <v>41</v>
      </c>
      <c r="G985">
        <v>669</v>
      </c>
      <c r="H985" t="s">
        <v>27</v>
      </c>
      <c r="I985">
        <v>63090</v>
      </c>
      <c r="J985" t="s">
        <v>20</v>
      </c>
      <c r="K985" t="s">
        <v>2383</v>
      </c>
      <c r="L985" t="s">
        <v>2384</v>
      </c>
      <c r="M985" t="s">
        <v>441</v>
      </c>
      <c r="N985">
        <v>17</v>
      </c>
      <c r="O985">
        <v>50.8</v>
      </c>
    </row>
    <row r="986" spans="1:15">
      <c r="A986">
        <v>985</v>
      </c>
      <c r="B986" t="s">
        <v>2385</v>
      </c>
      <c r="C986" t="s">
        <v>16</v>
      </c>
      <c r="D986" t="s">
        <v>33</v>
      </c>
      <c r="E986">
        <v>22</v>
      </c>
      <c r="F986" t="s">
        <v>41</v>
      </c>
      <c r="G986">
        <v>368</v>
      </c>
      <c r="H986" t="s">
        <v>19</v>
      </c>
      <c r="I986">
        <v>82329</v>
      </c>
      <c r="J986" t="s">
        <v>20</v>
      </c>
      <c r="K986" t="s">
        <v>2386</v>
      </c>
      <c r="L986" t="s">
        <v>2387</v>
      </c>
      <c r="M986" t="s">
        <v>112</v>
      </c>
      <c r="N986">
        <v>19</v>
      </c>
      <c r="O986">
        <v>54.7</v>
      </c>
    </row>
    <row r="987" spans="1:15">
      <c r="A987">
        <v>986</v>
      </c>
      <c r="B987" t="s">
        <v>2388</v>
      </c>
      <c r="C987" t="s">
        <v>158</v>
      </c>
      <c r="D987" t="s">
        <v>33</v>
      </c>
      <c r="E987">
        <v>27.3</v>
      </c>
      <c r="F987" t="s">
        <v>26</v>
      </c>
      <c r="G987">
        <v>394</v>
      </c>
      <c r="H987" t="s">
        <v>27</v>
      </c>
      <c r="I987">
        <v>17620</v>
      </c>
      <c r="J987" t="s">
        <v>20</v>
      </c>
      <c r="K987" t="s">
        <v>2389</v>
      </c>
      <c r="L987" t="s">
        <v>1291</v>
      </c>
      <c r="M987" t="s">
        <v>112</v>
      </c>
      <c r="N987">
        <v>8</v>
      </c>
      <c r="O987">
        <v>68.8</v>
      </c>
    </row>
    <row r="988" spans="1:15">
      <c r="A988">
        <v>987</v>
      </c>
      <c r="B988" t="s">
        <v>2390</v>
      </c>
      <c r="C988" t="s">
        <v>50</v>
      </c>
      <c r="D988" t="s">
        <v>137</v>
      </c>
      <c r="E988">
        <v>14</v>
      </c>
      <c r="F988" t="s">
        <v>26</v>
      </c>
      <c r="G988">
        <v>143</v>
      </c>
      <c r="H988" t="s">
        <v>27</v>
      </c>
      <c r="I988">
        <v>36781</v>
      </c>
      <c r="J988" t="s">
        <v>20</v>
      </c>
      <c r="K988" t="s">
        <v>532</v>
      </c>
      <c r="L988" t="s">
        <v>1767</v>
      </c>
      <c r="N988">
        <v>7</v>
      </c>
      <c r="O988">
        <v>36.1</v>
      </c>
    </row>
    <row r="989" spans="1:15">
      <c r="A989">
        <v>988</v>
      </c>
      <c r="B989" t="s">
        <v>2391</v>
      </c>
      <c r="C989" t="s">
        <v>39</v>
      </c>
      <c r="D989" t="s">
        <v>40</v>
      </c>
      <c r="E989">
        <v>3</v>
      </c>
      <c r="F989" t="s">
        <v>41</v>
      </c>
      <c r="G989">
        <v>163</v>
      </c>
      <c r="H989" t="s">
        <v>19</v>
      </c>
      <c r="I989">
        <v>34705</v>
      </c>
      <c r="J989" t="s">
        <v>20</v>
      </c>
      <c r="K989" t="s">
        <v>2392</v>
      </c>
      <c r="L989" t="s">
        <v>487</v>
      </c>
      <c r="M989" t="s">
        <v>441</v>
      </c>
      <c r="N989">
        <v>10</v>
      </c>
      <c r="O989">
        <v>10.4</v>
      </c>
    </row>
    <row r="990" spans="1:15">
      <c r="A990">
        <v>989</v>
      </c>
      <c r="B990" t="s">
        <v>2393</v>
      </c>
      <c r="C990" t="s">
        <v>133</v>
      </c>
      <c r="D990" t="s">
        <v>33</v>
      </c>
      <c r="E990">
        <v>29.9</v>
      </c>
      <c r="F990" t="s">
        <v>18</v>
      </c>
      <c r="G990">
        <v>568</v>
      </c>
      <c r="H990" t="s">
        <v>19</v>
      </c>
      <c r="I990">
        <v>18389</v>
      </c>
      <c r="J990" t="s">
        <v>20</v>
      </c>
      <c r="K990" t="s">
        <v>2394</v>
      </c>
      <c r="L990" t="s">
        <v>2317</v>
      </c>
      <c r="M990" t="s">
        <v>112</v>
      </c>
      <c r="N990">
        <v>12</v>
      </c>
      <c r="O990">
        <v>66.599999999999994</v>
      </c>
    </row>
    <row r="991" spans="1:15">
      <c r="A991">
        <v>990</v>
      </c>
      <c r="B991" t="s">
        <v>2395</v>
      </c>
      <c r="C991" t="s">
        <v>39</v>
      </c>
      <c r="D991" t="s">
        <v>17</v>
      </c>
      <c r="E991">
        <v>91.1</v>
      </c>
      <c r="F991" t="s">
        <v>56</v>
      </c>
      <c r="G991">
        <v>678</v>
      </c>
      <c r="H991" t="s">
        <v>27</v>
      </c>
      <c r="I991">
        <v>106019</v>
      </c>
      <c r="J991" t="s">
        <v>20</v>
      </c>
      <c r="K991" t="s">
        <v>2396</v>
      </c>
      <c r="L991" t="s">
        <v>555</v>
      </c>
      <c r="M991" t="s">
        <v>117</v>
      </c>
      <c r="N991">
        <v>2</v>
      </c>
      <c r="O991">
        <v>185.6</v>
      </c>
    </row>
    <row r="992" spans="1:15">
      <c r="A992">
        <v>991</v>
      </c>
      <c r="B992" t="s">
        <v>2214</v>
      </c>
      <c r="C992" t="s">
        <v>123</v>
      </c>
      <c r="D992" t="s">
        <v>17</v>
      </c>
      <c r="E992">
        <v>67.900000000000006</v>
      </c>
      <c r="F992" t="s">
        <v>56</v>
      </c>
      <c r="G992">
        <v>459</v>
      </c>
      <c r="H992" t="s">
        <v>27</v>
      </c>
      <c r="I992">
        <v>26771</v>
      </c>
      <c r="J992" t="s">
        <v>20</v>
      </c>
      <c r="K992" t="s">
        <v>2397</v>
      </c>
      <c r="L992" t="s">
        <v>719</v>
      </c>
      <c r="N992">
        <v>17</v>
      </c>
      <c r="O992">
        <v>199</v>
      </c>
    </row>
    <row r="993" spans="1:15">
      <c r="A993">
        <v>992</v>
      </c>
      <c r="B993" t="s">
        <v>2398</v>
      </c>
      <c r="C993" t="s">
        <v>133</v>
      </c>
      <c r="D993" t="s">
        <v>137</v>
      </c>
      <c r="E993">
        <v>40.5</v>
      </c>
      <c r="F993" t="s">
        <v>41</v>
      </c>
      <c r="G993">
        <v>83</v>
      </c>
      <c r="H993" t="s">
        <v>19</v>
      </c>
      <c r="I993">
        <v>11467</v>
      </c>
      <c r="J993" t="s">
        <v>20</v>
      </c>
      <c r="K993" t="s">
        <v>1841</v>
      </c>
      <c r="L993" t="s">
        <v>1218</v>
      </c>
      <c r="M993" t="s">
        <v>69</v>
      </c>
      <c r="N993">
        <v>10</v>
      </c>
      <c r="O993">
        <v>103.2</v>
      </c>
    </row>
    <row r="994" spans="1:15">
      <c r="A994">
        <v>993</v>
      </c>
      <c r="B994" t="s">
        <v>2399</v>
      </c>
      <c r="C994" t="s">
        <v>50</v>
      </c>
      <c r="D994" t="s">
        <v>33</v>
      </c>
      <c r="E994">
        <v>84.6</v>
      </c>
      <c r="F994" t="s">
        <v>41</v>
      </c>
      <c r="G994">
        <v>358</v>
      </c>
      <c r="H994" t="s">
        <v>19</v>
      </c>
      <c r="I994">
        <v>55373</v>
      </c>
      <c r="J994" t="s">
        <v>20</v>
      </c>
      <c r="K994" t="s">
        <v>2400</v>
      </c>
      <c r="L994" t="s">
        <v>419</v>
      </c>
      <c r="M994" t="s">
        <v>59</v>
      </c>
      <c r="N994">
        <v>15</v>
      </c>
      <c r="O994">
        <v>178</v>
      </c>
    </row>
    <row r="995" spans="1:15">
      <c r="A995">
        <v>994</v>
      </c>
      <c r="B995" t="s">
        <v>2401</v>
      </c>
      <c r="C995" t="s">
        <v>158</v>
      </c>
      <c r="D995" t="s">
        <v>17</v>
      </c>
      <c r="E995">
        <v>71.5</v>
      </c>
      <c r="F995" t="s">
        <v>41</v>
      </c>
      <c r="G995">
        <v>105</v>
      </c>
      <c r="H995" t="s">
        <v>19</v>
      </c>
      <c r="I995">
        <v>89013</v>
      </c>
      <c r="J995" t="s">
        <v>20</v>
      </c>
      <c r="K995" t="s">
        <v>2402</v>
      </c>
      <c r="L995" t="s">
        <v>906</v>
      </c>
      <c r="M995" t="s">
        <v>121</v>
      </c>
      <c r="N995">
        <v>12</v>
      </c>
      <c r="O995">
        <v>160.5</v>
      </c>
    </row>
    <row r="996" spans="1:15">
      <c r="A996">
        <v>995</v>
      </c>
      <c r="B996" t="s">
        <v>2403</v>
      </c>
      <c r="C996" t="s">
        <v>133</v>
      </c>
      <c r="D996" t="s">
        <v>114</v>
      </c>
      <c r="E996">
        <v>40.799999999999997</v>
      </c>
      <c r="F996" t="s">
        <v>26</v>
      </c>
      <c r="G996">
        <v>473</v>
      </c>
      <c r="H996" t="s">
        <v>27</v>
      </c>
      <c r="I996">
        <v>90547</v>
      </c>
      <c r="J996" t="s">
        <v>20</v>
      </c>
      <c r="K996" t="s">
        <v>2404</v>
      </c>
      <c r="L996" t="s">
        <v>2405</v>
      </c>
      <c r="M996" t="s">
        <v>48</v>
      </c>
      <c r="N996">
        <v>8</v>
      </c>
      <c r="O996">
        <v>110</v>
      </c>
    </row>
    <row r="997" spans="1:15">
      <c r="A997">
        <v>996</v>
      </c>
      <c r="B997" t="s">
        <v>2406</v>
      </c>
      <c r="C997" t="s">
        <v>16</v>
      </c>
      <c r="D997" t="s">
        <v>33</v>
      </c>
      <c r="E997">
        <v>88.7</v>
      </c>
      <c r="F997" t="s">
        <v>56</v>
      </c>
      <c r="G997">
        <v>515</v>
      </c>
      <c r="H997" t="s">
        <v>19</v>
      </c>
      <c r="I997">
        <v>93402</v>
      </c>
      <c r="J997" t="s">
        <v>20</v>
      </c>
      <c r="K997" t="s">
        <v>2407</v>
      </c>
      <c r="L997" t="s">
        <v>754</v>
      </c>
      <c r="M997" t="s">
        <v>441</v>
      </c>
      <c r="N997">
        <v>1</v>
      </c>
      <c r="O997">
        <v>289.3</v>
      </c>
    </row>
    <row r="998" spans="1:15">
      <c r="A998">
        <v>997</v>
      </c>
      <c r="B998" t="s">
        <v>2408</v>
      </c>
      <c r="C998" t="s">
        <v>32</v>
      </c>
      <c r="D998" t="s">
        <v>17</v>
      </c>
      <c r="E998">
        <v>74.900000000000006</v>
      </c>
      <c r="F998" t="s">
        <v>56</v>
      </c>
      <c r="G998">
        <v>650</v>
      </c>
      <c r="H998" t="s">
        <v>27</v>
      </c>
      <c r="I998">
        <v>42323</v>
      </c>
      <c r="J998" t="s">
        <v>20</v>
      </c>
      <c r="K998" t="s">
        <v>2409</v>
      </c>
      <c r="L998" t="s">
        <v>2410</v>
      </c>
      <c r="N998">
        <v>9</v>
      </c>
      <c r="O998">
        <v>177.1</v>
      </c>
    </row>
    <row r="999" spans="1:15">
      <c r="A999">
        <v>998</v>
      </c>
      <c r="B999" t="s">
        <v>2411</v>
      </c>
      <c r="C999" t="s">
        <v>133</v>
      </c>
      <c r="D999" t="s">
        <v>137</v>
      </c>
      <c r="E999">
        <v>36.6</v>
      </c>
      <c r="F999" t="s">
        <v>41</v>
      </c>
      <c r="G999">
        <v>287</v>
      </c>
      <c r="H999" t="s">
        <v>19</v>
      </c>
      <c r="I999">
        <v>33629</v>
      </c>
      <c r="J999" t="s">
        <v>20</v>
      </c>
      <c r="K999" t="s">
        <v>2412</v>
      </c>
      <c r="L999" t="s">
        <v>1499</v>
      </c>
      <c r="M999" t="s">
        <v>59</v>
      </c>
      <c r="N999">
        <v>9</v>
      </c>
      <c r="O999">
        <v>125.2</v>
      </c>
    </row>
    <row r="1000" spans="1:15">
      <c r="A1000">
        <v>999</v>
      </c>
      <c r="B1000" t="s">
        <v>2413</v>
      </c>
      <c r="C1000" t="s">
        <v>133</v>
      </c>
      <c r="D1000" t="s">
        <v>40</v>
      </c>
      <c r="E1000">
        <v>29.2</v>
      </c>
      <c r="F1000" t="s">
        <v>62</v>
      </c>
      <c r="G1000">
        <v>22</v>
      </c>
      <c r="H1000" t="s">
        <v>19</v>
      </c>
      <c r="I1000">
        <v>13074</v>
      </c>
      <c r="J1000" t="s">
        <v>20</v>
      </c>
      <c r="K1000" t="s">
        <v>2414</v>
      </c>
      <c r="L1000" t="s">
        <v>2415</v>
      </c>
      <c r="N1000">
        <v>20</v>
      </c>
      <c r="O1000">
        <v>78.2</v>
      </c>
    </row>
    <row r="1001" spans="1:15">
      <c r="A1001">
        <v>1000</v>
      </c>
      <c r="B1001" t="s">
        <v>2416</v>
      </c>
      <c r="C1001" t="s">
        <v>32</v>
      </c>
      <c r="D1001" t="s">
        <v>17</v>
      </c>
      <c r="E1001">
        <v>99.3</v>
      </c>
      <c r="F1001" t="s">
        <v>18</v>
      </c>
      <c r="G1001">
        <v>618</v>
      </c>
      <c r="H1001" t="s">
        <v>19</v>
      </c>
      <c r="I1001">
        <v>86185</v>
      </c>
      <c r="J1001" t="s">
        <v>20</v>
      </c>
      <c r="K1001" t="s">
        <v>2417</v>
      </c>
      <c r="L1001" t="s">
        <v>111</v>
      </c>
      <c r="N1001">
        <v>19</v>
      </c>
      <c r="O1001">
        <v>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/>
  <dimension ref="A1:X1122"/>
  <sheetViews>
    <sheetView tabSelected="1" topLeftCell="M1" zoomScale="85" zoomScaleNormal="85" workbookViewId="0">
      <selection activeCell="U1" sqref="U1:U1048576"/>
    </sheetView>
  </sheetViews>
  <sheetFormatPr defaultRowHeight="15"/>
  <cols>
    <col min="1" max="1" width="10.140625" style="3" customWidth="1"/>
    <col min="2" max="2" width="11.140625" style="3" customWidth="1"/>
    <col min="3" max="3" width="15.140625" style="3" customWidth="1"/>
    <col min="4" max="4" width="10" style="3" customWidth="1"/>
    <col min="5" max="5" width="14.85546875" style="4" customWidth="1"/>
    <col min="6" max="6" width="10.7109375" style="3" customWidth="1"/>
    <col min="7" max="7" width="10.5703125" style="3" customWidth="1"/>
    <col min="8" max="8" width="17.140625" style="5" customWidth="1"/>
    <col min="9" max="9" width="13.140625" style="3" customWidth="1"/>
    <col min="10" max="10" width="9.5703125" style="4" bestFit="1" customWidth="1"/>
    <col min="11" max="11" width="13.85546875" style="4" customWidth="1"/>
    <col min="12" max="12" width="9.140625" style="3"/>
    <col min="13" max="13" width="11" style="6" customWidth="1"/>
    <col min="14" max="14" width="20.140625" style="6" customWidth="1"/>
    <col min="15" max="15" width="19.7109375" style="3" customWidth="1"/>
    <col min="16" max="16" width="20.28515625" style="3" customWidth="1"/>
    <col min="17" max="17" width="12.5703125" style="3" customWidth="1"/>
    <col min="18" max="18" width="19.28515625" style="3" customWidth="1"/>
    <col min="19" max="19" width="23.7109375" style="3" customWidth="1"/>
    <col min="20" max="20" width="16.140625" style="4" customWidth="1"/>
    <col min="21" max="21" width="19.85546875" style="3" customWidth="1"/>
    <col min="22" max="22" width="15.7109375" style="4" customWidth="1"/>
    <col min="23" max="23" width="18" style="4" customWidth="1"/>
    <col min="24" max="24" width="24.140625" style="4" customWidth="1"/>
    <col min="25" max="16384" width="9.140625" style="3"/>
  </cols>
  <sheetData>
    <row r="1" spans="1:24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7" t="s">
        <v>2651</v>
      </c>
      <c r="G1" s="7" t="s">
        <v>2650</v>
      </c>
      <c r="H1" s="9" t="s">
        <v>6</v>
      </c>
      <c r="I1" s="7" t="s">
        <v>7</v>
      </c>
      <c r="J1" s="8" t="s">
        <v>8</v>
      </c>
      <c r="K1" s="8" t="s">
        <v>2649</v>
      </c>
      <c r="L1" s="7" t="s">
        <v>9</v>
      </c>
      <c r="M1" s="10" t="s">
        <v>10</v>
      </c>
      <c r="N1" s="10" t="s">
        <v>2658</v>
      </c>
      <c r="O1" s="10" t="s">
        <v>2645</v>
      </c>
      <c r="P1" s="7" t="s">
        <v>11</v>
      </c>
      <c r="Q1" s="7" t="s">
        <v>12</v>
      </c>
      <c r="R1" s="8" t="s">
        <v>2652</v>
      </c>
      <c r="S1" s="8" t="s">
        <v>2653</v>
      </c>
      <c r="T1" s="8" t="s">
        <v>2644</v>
      </c>
      <c r="U1" s="8" t="s">
        <v>2657</v>
      </c>
      <c r="V1" s="15" t="s">
        <v>2654</v>
      </c>
      <c r="W1" s="12" t="s">
        <v>2655</v>
      </c>
      <c r="X1" s="15" t="s">
        <v>2656</v>
      </c>
    </row>
    <row r="2" spans="1:24">
      <c r="A2" s="11">
        <v>1</v>
      </c>
      <c r="B2" s="11" t="s">
        <v>15</v>
      </c>
      <c r="C2" s="11" t="s">
        <v>16</v>
      </c>
      <c r="D2" s="11" t="s">
        <v>17</v>
      </c>
      <c r="E2" s="12">
        <v>45</v>
      </c>
      <c r="F2" s="11" t="s">
        <v>2643</v>
      </c>
      <c r="G2" s="11" t="str">
        <f t="shared" ref="G2:G65" si="0">IF(OR(F2="L",F2="ltrs",F2="liters"),"Litres",F2)</f>
        <v>Litres</v>
      </c>
      <c r="H2" s="13">
        <v>320</v>
      </c>
      <c r="I2" s="11" t="s">
        <v>19</v>
      </c>
      <c r="J2" s="12">
        <v>42000</v>
      </c>
      <c r="K2" s="12" t="str">
        <f>IF(J2&lt;18000,"Very Low",IF(J2&lt;36000,"Low",IF(J2&lt;54000,"Medium",IF(J2&lt;72000,"Moderate",IF(J2&lt;90000,"High",IF(J2&lt;108000,"Very High","Extreme"))))))</f>
        <v>Medium</v>
      </c>
      <c r="L2" s="11" t="s">
        <v>20</v>
      </c>
      <c r="M2" s="14">
        <v>45413</v>
      </c>
      <c r="N2" s="14" t="str">
        <f>TEXT(M2,"dd/mm/yyyy")</f>
        <v>01/05/2024</v>
      </c>
      <c r="O2" s="14" t="str">
        <f>TEXT(M2,"yyyy")</f>
        <v>2024</v>
      </c>
      <c r="P2" s="11" t="s">
        <v>22</v>
      </c>
      <c r="Q2" s="11" t="s">
        <v>23</v>
      </c>
      <c r="R2" s="11">
        <v>8</v>
      </c>
      <c r="S2" s="11" t="str">
        <f>IF(R2&lt;=4,"0 - 4 yrs",IF(R2&lt;=8,"5 - 8 yrs",IF(R2&lt;=12,"9 - 12 yrs",IF(R2&lt;=16,"13 - 16 yrs","17 + yrs"))))</f>
        <v>5 - 8 yrs</v>
      </c>
      <c r="T2" s="12">
        <v>120</v>
      </c>
      <c r="U2" s="11" t="str">
        <f>IF(T2&lt;=50,"(0 - 50)",IF(T2&lt;=100,"(51 - 100)",IF(T2&lt;=150,"(101 - 150)",IF(T2&lt;=200,"(151 - 200)",IF(T2&lt;=250,"(201 - 250)",IF(T2&lt;=300,"(251 - 300)","(301 - 350)"))))))</f>
        <v>(101 - 150)</v>
      </c>
      <c r="V2" s="12">
        <f>H2/E2</f>
        <v>7.1111111111111107</v>
      </c>
      <c r="W2" s="12">
        <f>J2/H2</f>
        <v>131.25</v>
      </c>
      <c r="X2" s="12">
        <f>T2/H2</f>
        <v>0.375</v>
      </c>
    </row>
    <row r="3" spans="1:24">
      <c r="A3" s="11">
        <v>2</v>
      </c>
      <c r="B3" s="11" t="s">
        <v>24</v>
      </c>
      <c r="C3" s="11" t="s">
        <v>16</v>
      </c>
      <c r="D3" s="11" t="s">
        <v>17</v>
      </c>
      <c r="E3" s="12">
        <v>38</v>
      </c>
      <c r="F3" s="11" t="s">
        <v>26</v>
      </c>
      <c r="G3" s="11" t="str">
        <f t="shared" si="0"/>
        <v>Litres</v>
      </c>
      <c r="H3" s="13">
        <v>280</v>
      </c>
      <c r="I3" s="11" t="s">
        <v>19</v>
      </c>
      <c r="J3" s="12">
        <v>39000</v>
      </c>
      <c r="K3" s="12" t="str">
        <f t="shared" ref="K3:K8" si="1">IF(J3&lt;18000,"Very Low",IF(J3&lt;36000,"Low",IF(J3&lt;54000,"Medium",IF(J3&lt;72000,"Moderate",IF(J3&lt;90000,"High",IF(J3&lt;108000,"Very High","Extreme"))))))</f>
        <v>Medium</v>
      </c>
      <c r="L3" s="11" t="s">
        <v>20</v>
      </c>
      <c r="M3" s="14">
        <v>45296</v>
      </c>
      <c r="N3" s="14" t="str">
        <f t="shared" ref="N3:N8" si="2">TEXT(M3,"dd/mm/yyyy")</f>
        <v>05/01/2024</v>
      </c>
      <c r="O3" s="14" t="str">
        <f t="shared" ref="O3:O8" si="3">TEXT(M3,"yyyy")</f>
        <v>2024</v>
      </c>
      <c r="P3" s="11" t="s">
        <v>22</v>
      </c>
      <c r="Q3" s="11" t="s">
        <v>30</v>
      </c>
      <c r="R3" s="11">
        <v>10</v>
      </c>
      <c r="S3" s="11" t="str">
        <f t="shared" ref="S3:S8" si="4">IF(R3&lt;=4,"0 - 4 yrs",IF(R3&lt;=8,"5 - 8 yrs",IF(R3&lt;=12,"9 - 12 yrs",IF(R3&lt;=16,"13 - 16 yrs","17 + yrs"))))</f>
        <v>9 - 12 yrs</v>
      </c>
      <c r="T3" s="12">
        <v>110</v>
      </c>
      <c r="U3" s="11" t="str">
        <f t="shared" ref="U3:U8" si="5">IF(T3&lt;=50,"(0 - 50)",IF(T3&lt;=100,"(51 - 100)",IF(T3&lt;=150,"(101 - 150)",IF(T3&lt;=200,"(151 - 200)",IF(T3&lt;=250,"(201 - 250)",IF(T3&lt;=300,"(251 - 300)","(301 - 350)"))))))</f>
        <v>(101 - 150)</v>
      </c>
      <c r="V3" s="12">
        <f t="shared" ref="V3:V8" si="6">H3/E3</f>
        <v>7.3684210526315788</v>
      </c>
      <c r="W3" s="12">
        <f t="shared" ref="W3:W8" si="7">J3/H3</f>
        <v>139.28571428571428</v>
      </c>
      <c r="X3" s="12">
        <f t="shared" ref="X3:X8" si="8">T3/H3</f>
        <v>0.39285714285714285</v>
      </c>
    </row>
    <row r="4" spans="1:24">
      <c r="A4" s="11">
        <v>3</v>
      </c>
      <c r="B4" s="11" t="s">
        <v>2419</v>
      </c>
      <c r="C4" s="11" t="s">
        <v>32</v>
      </c>
      <c r="D4" s="11" t="s">
        <v>33</v>
      </c>
      <c r="E4" s="12">
        <v>25</v>
      </c>
      <c r="F4" s="11" t="s">
        <v>34</v>
      </c>
      <c r="G4" s="11" t="str">
        <f t="shared" si="0"/>
        <v>Litres</v>
      </c>
      <c r="H4" s="13">
        <v>150</v>
      </c>
      <c r="I4" s="11" t="s">
        <v>19</v>
      </c>
      <c r="J4" s="12">
        <v>18000</v>
      </c>
      <c r="K4" s="12" t="str">
        <f t="shared" si="1"/>
        <v>Low</v>
      </c>
      <c r="L4" s="11" t="s">
        <v>20</v>
      </c>
      <c r="M4" s="14">
        <v>45444</v>
      </c>
      <c r="N4" s="14" t="str">
        <f t="shared" si="2"/>
        <v>01/06/2024</v>
      </c>
      <c r="O4" s="14" t="str">
        <f t="shared" si="3"/>
        <v>2024</v>
      </c>
      <c r="P4" s="11" t="s">
        <v>36</v>
      </c>
      <c r="Q4" s="11" t="s">
        <v>37</v>
      </c>
      <c r="R4" s="11">
        <v>5</v>
      </c>
      <c r="S4" s="11" t="str">
        <f t="shared" si="4"/>
        <v>5 - 8 yrs</v>
      </c>
      <c r="T4" s="12">
        <v>85</v>
      </c>
      <c r="U4" s="11" t="str">
        <f t="shared" si="5"/>
        <v>(51 - 100)</v>
      </c>
      <c r="V4" s="12">
        <f t="shared" si="6"/>
        <v>6</v>
      </c>
      <c r="W4" s="12">
        <f t="shared" si="7"/>
        <v>120</v>
      </c>
      <c r="X4" s="12">
        <f t="shared" si="8"/>
        <v>0.56666666666666665</v>
      </c>
    </row>
    <row r="5" spans="1:24">
      <c r="A5" s="11">
        <v>4</v>
      </c>
      <c r="B5" s="11" t="s">
        <v>38</v>
      </c>
      <c r="C5" s="11" t="s">
        <v>39</v>
      </c>
      <c r="D5" s="11" t="s">
        <v>33</v>
      </c>
      <c r="E5" s="12">
        <v>12</v>
      </c>
      <c r="F5" s="11" t="s">
        <v>41</v>
      </c>
      <c r="G5" s="11" t="str">
        <f t="shared" si="0"/>
        <v>Litres</v>
      </c>
      <c r="H5" s="13">
        <v>95</v>
      </c>
      <c r="I5" s="11" t="s">
        <v>19</v>
      </c>
      <c r="J5" s="12">
        <v>9500</v>
      </c>
      <c r="K5" s="12" t="str">
        <f t="shared" si="1"/>
        <v>Very Low</v>
      </c>
      <c r="L5" s="11" t="s">
        <v>20</v>
      </c>
      <c r="M5" s="14">
        <v>45297</v>
      </c>
      <c r="N5" s="14" t="str">
        <f t="shared" si="2"/>
        <v>06/01/2024</v>
      </c>
      <c r="O5" s="14" t="str">
        <f t="shared" si="3"/>
        <v>2024</v>
      </c>
      <c r="P5" s="11" t="s">
        <v>43</v>
      </c>
      <c r="Q5" s="11" t="s">
        <v>44</v>
      </c>
      <c r="R5" s="11">
        <v>3</v>
      </c>
      <c r="S5" s="11" t="str">
        <f t="shared" si="4"/>
        <v>0 - 4 yrs</v>
      </c>
      <c r="T5" s="12">
        <v>45</v>
      </c>
      <c r="U5" s="11" t="str">
        <f t="shared" si="5"/>
        <v>(0 - 50)</v>
      </c>
      <c r="V5" s="12">
        <f t="shared" si="6"/>
        <v>7.916666666666667</v>
      </c>
      <c r="W5" s="12">
        <f t="shared" si="7"/>
        <v>100</v>
      </c>
      <c r="X5" s="12">
        <f t="shared" si="8"/>
        <v>0.47368421052631576</v>
      </c>
    </row>
    <row r="6" spans="1:24">
      <c r="A6" s="11">
        <v>5</v>
      </c>
      <c r="B6" s="11" t="s">
        <v>45</v>
      </c>
      <c r="C6" s="11" t="s">
        <v>16</v>
      </c>
      <c r="D6" s="11" t="s">
        <v>17</v>
      </c>
      <c r="E6" s="12">
        <f>AVERAGE(E1001)</f>
        <v>99.3</v>
      </c>
      <c r="F6" s="11" t="s">
        <v>2643</v>
      </c>
      <c r="G6" s="11" t="str">
        <f t="shared" si="0"/>
        <v>Litres</v>
      </c>
      <c r="H6" s="13">
        <v>410</v>
      </c>
      <c r="I6" s="11" t="s">
        <v>19</v>
      </c>
      <c r="J6" s="12">
        <v>55000</v>
      </c>
      <c r="K6" s="12" t="str">
        <f t="shared" si="1"/>
        <v>Moderate</v>
      </c>
      <c r="L6" s="11" t="s">
        <v>20</v>
      </c>
      <c r="M6" s="14">
        <v>45474</v>
      </c>
      <c r="N6" s="14" t="str">
        <f t="shared" si="2"/>
        <v>01/07/2024</v>
      </c>
      <c r="O6" s="14" t="str">
        <f t="shared" si="3"/>
        <v>2024</v>
      </c>
      <c r="P6" s="11" t="s">
        <v>47</v>
      </c>
      <c r="Q6" s="11" t="s">
        <v>48</v>
      </c>
      <c r="R6" s="11">
        <v>12</v>
      </c>
      <c r="S6" s="11" t="str">
        <f t="shared" si="4"/>
        <v>9 - 12 yrs</v>
      </c>
      <c r="T6" s="12">
        <v>140</v>
      </c>
      <c r="U6" s="11" t="str">
        <f t="shared" si="5"/>
        <v>(101 - 150)</v>
      </c>
      <c r="V6" s="12">
        <f t="shared" si="6"/>
        <v>4.1289023162134946</v>
      </c>
      <c r="W6" s="12">
        <f t="shared" si="7"/>
        <v>134.14634146341464</v>
      </c>
      <c r="X6" s="12">
        <f t="shared" si="8"/>
        <v>0.34146341463414637</v>
      </c>
    </row>
    <row r="7" spans="1:24">
      <c r="A7" s="11">
        <v>6</v>
      </c>
      <c r="B7" s="11" t="s">
        <v>45</v>
      </c>
      <c r="C7" s="11" t="s">
        <v>16</v>
      </c>
      <c r="D7" s="11" t="s">
        <v>17</v>
      </c>
      <c r="E7" s="12">
        <v>60</v>
      </c>
      <c r="F7" s="11" t="s">
        <v>2643</v>
      </c>
      <c r="G7" s="11" t="str">
        <f t="shared" si="0"/>
        <v>Litres</v>
      </c>
      <c r="H7" s="13">
        <v>410</v>
      </c>
      <c r="I7" s="11" t="s">
        <v>19</v>
      </c>
      <c r="J7" s="12">
        <v>55000</v>
      </c>
      <c r="K7" s="12" t="str">
        <f t="shared" si="1"/>
        <v>Moderate</v>
      </c>
      <c r="L7" s="11" t="s">
        <v>20</v>
      </c>
      <c r="M7" s="14">
        <v>45474</v>
      </c>
      <c r="N7" s="14" t="str">
        <f t="shared" si="2"/>
        <v>01/07/2024</v>
      </c>
      <c r="O7" s="14" t="str">
        <f t="shared" si="3"/>
        <v>2024</v>
      </c>
      <c r="P7" s="11" t="s">
        <v>47</v>
      </c>
      <c r="Q7" s="11" t="s">
        <v>48</v>
      </c>
      <c r="R7" s="11">
        <v>12</v>
      </c>
      <c r="S7" s="11" t="str">
        <f t="shared" si="4"/>
        <v>9 - 12 yrs</v>
      </c>
      <c r="T7" s="12">
        <v>140</v>
      </c>
      <c r="U7" s="11" t="str">
        <f t="shared" si="5"/>
        <v>(101 - 150)</v>
      </c>
      <c r="V7" s="12">
        <f t="shared" si="6"/>
        <v>6.833333333333333</v>
      </c>
      <c r="W7" s="12">
        <f t="shared" si="7"/>
        <v>134.14634146341464</v>
      </c>
      <c r="X7" s="12">
        <f t="shared" si="8"/>
        <v>0.34146341463414637</v>
      </c>
    </row>
    <row r="8" spans="1:24">
      <c r="A8" s="11">
        <v>7</v>
      </c>
      <c r="B8" s="11" t="s">
        <v>49</v>
      </c>
      <c r="C8" s="11" t="s">
        <v>50</v>
      </c>
      <c r="D8" s="11" t="s">
        <v>33</v>
      </c>
      <c r="E8" s="12">
        <v>4</v>
      </c>
      <c r="F8" s="11" t="s">
        <v>51</v>
      </c>
      <c r="G8" s="11" t="str">
        <f t="shared" si="0"/>
        <v>Litres</v>
      </c>
      <c r="H8" s="13">
        <v>40</v>
      </c>
      <c r="I8" s="11" t="s">
        <v>19</v>
      </c>
      <c r="J8" s="12">
        <v>2500</v>
      </c>
      <c r="K8" s="12" t="str">
        <f t="shared" si="1"/>
        <v>Very Low</v>
      </c>
      <c r="L8" s="11" t="s">
        <v>20</v>
      </c>
      <c r="M8" s="14">
        <v>45505</v>
      </c>
      <c r="N8" s="14" t="str">
        <f t="shared" si="2"/>
        <v>01/08/2024</v>
      </c>
      <c r="O8" s="14" t="str">
        <f t="shared" si="3"/>
        <v>2024</v>
      </c>
      <c r="P8" s="11" t="s">
        <v>53</v>
      </c>
      <c r="Q8" s="11" t="s">
        <v>54</v>
      </c>
      <c r="R8" s="11">
        <v>2</v>
      </c>
      <c r="S8" s="11" t="str">
        <f t="shared" si="4"/>
        <v>0 - 4 yrs</v>
      </c>
      <c r="T8" s="12">
        <v>12</v>
      </c>
      <c r="U8" s="11" t="str">
        <f t="shared" si="5"/>
        <v>(0 - 50)</v>
      </c>
      <c r="V8" s="12">
        <f t="shared" si="6"/>
        <v>10</v>
      </c>
      <c r="W8" s="12">
        <f t="shared" si="7"/>
        <v>62.5</v>
      </c>
      <c r="X8" s="12">
        <f t="shared" si="8"/>
        <v>0.3</v>
      </c>
    </row>
    <row r="9" spans="1:24" hidden="1">
      <c r="A9" s="3">
        <v>8</v>
      </c>
      <c r="B9" s="3" t="s">
        <v>2420</v>
      </c>
      <c r="C9" s="3" t="s">
        <v>32</v>
      </c>
      <c r="D9" s="3" t="s">
        <v>17</v>
      </c>
      <c r="E9" s="4">
        <v>30</v>
      </c>
      <c r="F9" s="3" t="s">
        <v>56</v>
      </c>
      <c r="G9" s="3" t="str">
        <f t="shared" si="0"/>
        <v>Litres</v>
      </c>
      <c r="H9" s="5">
        <v>180</v>
      </c>
      <c r="I9" s="3" t="s">
        <v>19</v>
      </c>
      <c r="J9" s="4">
        <v>30000</v>
      </c>
      <c r="L9" s="3" t="s">
        <v>20</v>
      </c>
      <c r="M9" s="6">
        <v>39471</v>
      </c>
      <c r="O9" s="6"/>
      <c r="P9" s="3" t="s">
        <v>58</v>
      </c>
      <c r="Q9" s="3" t="s">
        <v>59</v>
      </c>
      <c r="R9" s="3">
        <v>7</v>
      </c>
      <c r="T9" s="3">
        <v>95</v>
      </c>
      <c r="V9" s="3"/>
      <c r="W9" s="3"/>
      <c r="X9" s="3"/>
    </row>
    <row r="10" spans="1:24">
      <c r="A10" s="11">
        <v>9</v>
      </c>
      <c r="B10" s="11" t="s">
        <v>60</v>
      </c>
      <c r="C10" s="11" t="s">
        <v>39</v>
      </c>
      <c r="D10" s="11" t="s">
        <v>61</v>
      </c>
      <c r="E10" s="12">
        <v>45</v>
      </c>
      <c r="F10" s="11" t="s">
        <v>62</v>
      </c>
      <c r="G10" s="11" t="str">
        <f t="shared" si="0"/>
        <v>kWh</v>
      </c>
      <c r="H10" s="13">
        <v>120</v>
      </c>
      <c r="I10" s="11" t="s">
        <v>19</v>
      </c>
      <c r="J10" s="12">
        <v>4000</v>
      </c>
      <c r="K10" s="12" t="str">
        <f>IF(J10&lt;18000,"Very Low",IF(J10&lt;36000,"Low",IF(J10&lt;54000,"Medium",IF(J10&lt;72000,"Moderate",IF(J10&lt;90000,"High",IF(J10&lt;108000,"Very High","Extreme"))))))</f>
        <v>Very Low</v>
      </c>
      <c r="L10" s="11" t="s">
        <v>20</v>
      </c>
      <c r="M10" s="14">
        <v>45536</v>
      </c>
      <c r="N10" s="14" t="str">
        <f>TEXT(M10,"dd/mm/yyyy")</f>
        <v>01/09/2024</v>
      </c>
      <c r="O10" s="14" t="str">
        <f>TEXT(M10,"yyyy")</f>
        <v>2024</v>
      </c>
      <c r="P10" s="11" t="s">
        <v>928</v>
      </c>
      <c r="Q10" s="11" t="s">
        <v>65</v>
      </c>
      <c r="R10" s="11">
        <v>1</v>
      </c>
      <c r="S10" s="11" t="str">
        <f>IF(R10&lt;=4,"0 - 4 yrs",IF(R10&lt;=8,"5 - 8 yrs",IF(R10&lt;=12,"9 - 12 yrs",IF(R10&lt;=16,"13 - 16 yrs","17 + yrs"))))</f>
        <v>0 - 4 yrs</v>
      </c>
      <c r="T10" s="12">
        <v>0</v>
      </c>
      <c r="U10" s="11" t="str">
        <f>IF(T10&lt;=50,"(0 - 50)",IF(T10&lt;=100,"(51 - 100)",IF(T10&lt;=150,"(101 - 150)",IF(T10&lt;=200,"(151 - 200)",IF(T10&lt;=250,"(201 - 250)",IF(T10&lt;=300,"(251 - 300)","(301 - 350)"))))))</f>
        <v>(0 - 50)</v>
      </c>
      <c r="V10" s="12">
        <f>H10/E10</f>
        <v>2.6666666666666665</v>
      </c>
      <c r="W10" s="12">
        <f>J10/H10</f>
        <v>33.333333333333336</v>
      </c>
      <c r="X10" s="12">
        <f>T10/H10</f>
        <v>0</v>
      </c>
    </row>
    <row r="11" spans="1:24" hidden="1">
      <c r="A11" s="3">
        <v>10</v>
      </c>
      <c r="B11" s="3" t="s">
        <v>66</v>
      </c>
      <c r="C11" s="3" t="s">
        <v>16</v>
      </c>
      <c r="D11" s="3" t="s">
        <v>17</v>
      </c>
      <c r="E11" s="4">
        <v>52</v>
      </c>
      <c r="F11" s="3" t="s">
        <v>2643</v>
      </c>
      <c r="G11" s="3" t="str">
        <f t="shared" si="0"/>
        <v>Litres</v>
      </c>
      <c r="H11" s="5">
        <v>380</v>
      </c>
      <c r="I11" s="3" t="s">
        <v>19</v>
      </c>
      <c r="J11" s="4">
        <v>48000</v>
      </c>
      <c r="L11" s="3" t="s">
        <v>20</v>
      </c>
      <c r="M11" s="6" t="s">
        <v>67</v>
      </c>
      <c r="N11" s="3"/>
      <c r="P11" s="3" t="s">
        <v>68</v>
      </c>
      <c r="Q11" s="3" t="s">
        <v>69</v>
      </c>
      <c r="R11" s="3">
        <v>9</v>
      </c>
      <c r="T11" s="3">
        <v>130</v>
      </c>
      <c r="V11" s="3"/>
      <c r="W11" s="3"/>
      <c r="X11" s="3"/>
    </row>
    <row r="12" spans="1:24">
      <c r="A12" s="11">
        <v>11</v>
      </c>
      <c r="B12" s="11" t="s">
        <v>70</v>
      </c>
      <c r="C12" s="11" t="s">
        <v>16</v>
      </c>
      <c r="D12" s="11" t="s">
        <v>17</v>
      </c>
      <c r="E12" s="12">
        <v>49</v>
      </c>
      <c r="F12" s="11" t="s">
        <v>2643</v>
      </c>
      <c r="G12" s="11" t="str">
        <f t="shared" si="0"/>
        <v>Litres</v>
      </c>
      <c r="H12" s="13">
        <v>360</v>
      </c>
      <c r="I12" s="11" t="s">
        <v>19</v>
      </c>
      <c r="J12" s="12">
        <v>47000</v>
      </c>
      <c r="K12" s="12" t="str">
        <f t="shared" ref="K12:K26" si="9">IF(J12&lt;18000,"Very Low",IF(J12&lt;36000,"Low",IF(J12&lt;54000,"Medium",IF(J12&lt;72000,"Moderate",IF(J12&lt;90000,"High",IF(J12&lt;108000,"Very High","Extreme"))))))</f>
        <v>Medium</v>
      </c>
      <c r="L12" s="11" t="s">
        <v>20</v>
      </c>
      <c r="M12" s="14">
        <v>45597</v>
      </c>
      <c r="N12" s="14" t="str">
        <f t="shared" ref="N12:N26" si="10">TEXT(M12,"dd/mm/yyyy")</f>
        <v>01/11/2024</v>
      </c>
      <c r="O12" s="14" t="str">
        <f t="shared" ref="O12:O26" si="11">TEXT(M12,"yyyy")</f>
        <v>2024</v>
      </c>
      <c r="P12" s="11" t="s">
        <v>68</v>
      </c>
      <c r="Q12" s="11" t="s">
        <v>69</v>
      </c>
      <c r="R12" s="11">
        <v>9</v>
      </c>
      <c r="S12" s="11" t="str">
        <f t="shared" ref="S12:S26" si="12">IF(R12&lt;=4,"0 - 4 yrs",IF(R12&lt;=8,"5 - 8 yrs",IF(R12&lt;=12,"9 - 12 yrs",IF(R12&lt;=16,"13 - 16 yrs","17 + yrs"))))</f>
        <v>9 - 12 yrs</v>
      </c>
      <c r="T12" s="12">
        <v>128</v>
      </c>
      <c r="U12" s="11" t="str">
        <f t="shared" ref="U12:U26" si="13">IF(T12&lt;=50,"(0 - 50)",IF(T12&lt;=100,"(51 - 100)",IF(T12&lt;=150,"(101 - 150)",IF(T12&lt;=200,"(151 - 200)",IF(T12&lt;=250,"(201 - 250)",IF(T12&lt;=300,"(251 - 300)","(301 - 350)"))))))</f>
        <v>(101 - 150)</v>
      </c>
      <c r="V12" s="12">
        <f t="shared" ref="V12:V26" si="14">H12/E12</f>
        <v>7.3469387755102042</v>
      </c>
      <c r="W12" s="12">
        <f t="shared" ref="W12:W26" si="15">J12/H12</f>
        <v>130.55555555555554</v>
      </c>
      <c r="X12" s="12">
        <f t="shared" ref="X12:X26" si="16">T12/H12</f>
        <v>0.35555555555555557</v>
      </c>
    </row>
    <row r="13" spans="1:24">
      <c r="A13" s="11">
        <v>12</v>
      </c>
      <c r="B13" s="11" t="s">
        <v>72</v>
      </c>
      <c r="C13" s="11" t="s">
        <v>39</v>
      </c>
      <c r="D13" s="11" t="s">
        <v>33</v>
      </c>
      <c r="E13" s="12">
        <v>10</v>
      </c>
      <c r="F13" s="11" t="s">
        <v>26</v>
      </c>
      <c r="G13" s="11" t="str">
        <f t="shared" si="0"/>
        <v>Litres</v>
      </c>
      <c r="H13" s="13">
        <v>85</v>
      </c>
      <c r="I13" s="11" t="s">
        <v>19</v>
      </c>
      <c r="J13" s="12">
        <v>8800</v>
      </c>
      <c r="K13" s="12" t="str">
        <f t="shared" si="9"/>
        <v>Very Low</v>
      </c>
      <c r="L13" s="11" t="s">
        <v>20</v>
      </c>
      <c r="M13" s="14">
        <v>45302</v>
      </c>
      <c r="N13" s="14" t="str">
        <f t="shared" si="10"/>
        <v>11/01/2024</v>
      </c>
      <c r="O13" s="14" t="str">
        <f t="shared" si="11"/>
        <v>2024</v>
      </c>
      <c r="P13" s="11" t="s">
        <v>74</v>
      </c>
      <c r="Q13" s="11" t="s">
        <v>75</v>
      </c>
      <c r="R13" s="11">
        <v>4</v>
      </c>
      <c r="S13" s="11" t="str">
        <f t="shared" si="12"/>
        <v>0 - 4 yrs</v>
      </c>
      <c r="T13" s="12">
        <v>40</v>
      </c>
      <c r="U13" s="11" t="str">
        <f t="shared" si="13"/>
        <v>(0 - 50)</v>
      </c>
      <c r="V13" s="12">
        <f t="shared" si="14"/>
        <v>8.5</v>
      </c>
      <c r="W13" s="12">
        <f t="shared" si="15"/>
        <v>103.52941176470588</v>
      </c>
      <c r="X13" s="12">
        <f t="shared" si="16"/>
        <v>0.47058823529411764</v>
      </c>
    </row>
    <row r="14" spans="1:24">
      <c r="A14" s="11">
        <v>13</v>
      </c>
      <c r="B14" s="11" t="s">
        <v>2421</v>
      </c>
      <c r="C14" s="11" t="s">
        <v>32</v>
      </c>
      <c r="D14" s="11" t="s">
        <v>17</v>
      </c>
      <c r="E14" s="12">
        <v>35</v>
      </c>
      <c r="F14" s="11" t="s">
        <v>2643</v>
      </c>
      <c r="G14" s="11" t="str">
        <f t="shared" si="0"/>
        <v>Litres</v>
      </c>
      <c r="H14" s="13">
        <v>200</v>
      </c>
      <c r="I14" s="11" t="s">
        <v>19</v>
      </c>
      <c r="J14" s="12">
        <v>32000</v>
      </c>
      <c r="K14" s="12" t="str">
        <f t="shared" si="9"/>
        <v>Low</v>
      </c>
      <c r="L14" s="11" t="s">
        <v>20</v>
      </c>
      <c r="M14" s="14">
        <v>45627</v>
      </c>
      <c r="N14" s="14" t="str">
        <f t="shared" si="10"/>
        <v>01/12/2024</v>
      </c>
      <c r="O14" s="14" t="str">
        <f t="shared" si="11"/>
        <v>2024</v>
      </c>
      <c r="P14" s="11" t="s">
        <v>78</v>
      </c>
      <c r="Q14" s="11" t="s">
        <v>2418</v>
      </c>
      <c r="R14" s="11">
        <v>6</v>
      </c>
      <c r="S14" s="11" t="str">
        <f t="shared" si="12"/>
        <v>5 - 8 yrs</v>
      </c>
      <c r="T14" s="12">
        <v>100</v>
      </c>
      <c r="U14" s="11" t="str">
        <f t="shared" si="13"/>
        <v>(51 - 100)</v>
      </c>
      <c r="V14" s="12">
        <f t="shared" si="14"/>
        <v>5.7142857142857144</v>
      </c>
      <c r="W14" s="12">
        <f t="shared" si="15"/>
        <v>160</v>
      </c>
      <c r="X14" s="12">
        <f t="shared" si="16"/>
        <v>0.5</v>
      </c>
    </row>
    <row r="15" spans="1:24">
      <c r="A15" s="11">
        <v>14</v>
      </c>
      <c r="B15" s="11" t="s">
        <v>79</v>
      </c>
      <c r="C15" s="11" t="s">
        <v>16</v>
      </c>
      <c r="D15" s="11" t="s">
        <v>17</v>
      </c>
      <c r="E15" s="12">
        <v>70</v>
      </c>
      <c r="F15" s="11" t="s">
        <v>2643</v>
      </c>
      <c r="G15" s="11" t="str">
        <f t="shared" si="0"/>
        <v>Litres</v>
      </c>
      <c r="H15" s="13">
        <v>500</v>
      </c>
      <c r="I15" s="11" t="s">
        <v>19</v>
      </c>
      <c r="J15" s="12">
        <v>75000</v>
      </c>
      <c r="K15" s="12" t="str">
        <f t="shared" si="9"/>
        <v>High</v>
      </c>
      <c r="L15" s="11" t="s">
        <v>20</v>
      </c>
      <c r="M15" s="14">
        <v>45304</v>
      </c>
      <c r="N15" s="14" t="str">
        <f t="shared" si="10"/>
        <v>13/01/2024</v>
      </c>
      <c r="O15" s="14" t="str">
        <f t="shared" si="11"/>
        <v>2024</v>
      </c>
      <c r="P15" s="11" t="s">
        <v>81</v>
      </c>
      <c r="Q15" s="11" t="s">
        <v>82</v>
      </c>
      <c r="R15" s="11">
        <v>15</v>
      </c>
      <c r="S15" s="11" t="str">
        <f t="shared" si="12"/>
        <v>13 - 16 yrs</v>
      </c>
      <c r="T15" s="12">
        <v>190</v>
      </c>
      <c r="U15" s="11" t="str">
        <f t="shared" si="13"/>
        <v>(151 - 200)</v>
      </c>
      <c r="V15" s="12">
        <f t="shared" si="14"/>
        <v>7.1428571428571432</v>
      </c>
      <c r="W15" s="12">
        <f t="shared" si="15"/>
        <v>150</v>
      </c>
      <c r="X15" s="12">
        <f t="shared" si="16"/>
        <v>0.38</v>
      </c>
    </row>
    <row r="16" spans="1:24">
      <c r="A16" s="11">
        <v>15</v>
      </c>
      <c r="B16" s="11" t="s">
        <v>83</v>
      </c>
      <c r="C16" s="11" t="s">
        <v>39</v>
      </c>
      <c r="D16" s="11" t="s">
        <v>33</v>
      </c>
      <c r="E16" s="12">
        <v>8</v>
      </c>
      <c r="F16" s="11" t="s">
        <v>2643</v>
      </c>
      <c r="G16" s="11" t="str">
        <f t="shared" si="0"/>
        <v>Litres</v>
      </c>
      <c r="H16" s="13">
        <v>70</v>
      </c>
      <c r="I16" s="11" t="s">
        <v>19</v>
      </c>
      <c r="J16" s="12">
        <v>7200</v>
      </c>
      <c r="K16" s="12" t="str">
        <f t="shared" si="9"/>
        <v>Very Low</v>
      </c>
      <c r="L16" s="11" t="s">
        <v>20</v>
      </c>
      <c r="M16" s="14">
        <v>45305</v>
      </c>
      <c r="N16" s="14" t="str">
        <f t="shared" si="10"/>
        <v>14/01/2024</v>
      </c>
      <c r="O16" s="14" t="str">
        <f t="shared" si="11"/>
        <v>2024</v>
      </c>
      <c r="P16" s="11" t="s">
        <v>85</v>
      </c>
      <c r="Q16" s="11" t="s">
        <v>86</v>
      </c>
      <c r="R16" s="11">
        <v>2</v>
      </c>
      <c r="S16" s="11" t="str">
        <f t="shared" si="12"/>
        <v>0 - 4 yrs</v>
      </c>
      <c r="T16" s="12">
        <v>35</v>
      </c>
      <c r="U16" s="11" t="str">
        <f t="shared" si="13"/>
        <v>(0 - 50)</v>
      </c>
      <c r="V16" s="12">
        <f t="shared" si="14"/>
        <v>8.75</v>
      </c>
      <c r="W16" s="12">
        <f t="shared" si="15"/>
        <v>102.85714285714286</v>
      </c>
      <c r="X16" s="12">
        <f t="shared" si="16"/>
        <v>0.5</v>
      </c>
    </row>
    <row r="17" spans="1:24">
      <c r="A17" s="11">
        <v>16</v>
      </c>
      <c r="B17" s="11" t="s">
        <v>2422</v>
      </c>
      <c r="C17" s="11" t="s">
        <v>32</v>
      </c>
      <c r="D17" s="11" t="s">
        <v>17</v>
      </c>
      <c r="E17" s="12">
        <v>32</v>
      </c>
      <c r="F17" s="11" t="s">
        <v>2643</v>
      </c>
      <c r="G17" s="11" t="str">
        <f t="shared" si="0"/>
        <v>Litres</v>
      </c>
      <c r="H17" s="13">
        <v>190</v>
      </c>
      <c r="I17" s="11" t="s">
        <v>19</v>
      </c>
      <c r="J17" s="12">
        <v>31000</v>
      </c>
      <c r="K17" s="12" t="str">
        <f t="shared" si="9"/>
        <v>Low</v>
      </c>
      <c r="L17" s="11" t="s">
        <v>20</v>
      </c>
      <c r="M17" s="14">
        <v>45306</v>
      </c>
      <c r="N17" s="14" t="str">
        <f t="shared" si="10"/>
        <v>15/01/2024</v>
      </c>
      <c r="O17" s="14" t="str">
        <f t="shared" si="11"/>
        <v>2024</v>
      </c>
      <c r="P17" s="11" t="s">
        <v>89</v>
      </c>
      <c r="Q17" s="11" t="s">
        <v>90</v>
      </c>
      <c r="R17" s="11">
        <v>6</v>
      </c>
      <c r="S17" s="11" t="str">
        <f t="shared" si="12"/>
        <v>5 - 8 yrs</v>
      </c>
      <c r="T17" s="12">
        <v>98</v>
      </c>
      <c r="U17" s="11" t="str">
        <f t="shared" si="13"/>
        <v>(51 - 100)</v>
      </c>
      <c r="V17" s="12">
        <f t="shared" si="14"/>
        <v>5.9375</v>
      </c>
      <c r="W17" s="12">
        <f t="shared" si="15"/>
        <v>163.15789473684211</v>
      </c>
      <c r="X17" s="12">
        <f t="shared" si="16"/>
        <v>0.51578947368421058</v>
      </c>
    </row>
    <row r="18" spans="1:24">
      <c r="A18" s="11">
        <v>17</v>
      </c>
      <c r="B18" s="11" t="s">
        <v>91</v>
      </c>
      <c r="C18" s="11" t="s">
        <v>16</v>
      </c>
      <c r="D18" s="11" t="s">
        <v>17</v>
      </c>
      <c r="E18" s="12">
        <v>90</v>
      </c>
      <c r="F18" s="11" t="s">
        <v>2643</v>
      </c>
      <c r="G18" s="11" t="str">
        <f t="shared" si="0"/>
        <v>Litres</v>
      </c>
      <c r="H18" s="13">
        <v>620</v>
      </c>
      <c r="I18" s="11" t="s">
        <v>19</v>
      </c>
      <c r="J18" s="12">
        <v>91000</v>
      </c>
      <c r="K18" s="12" t="str">
        <f t="shared" si="9"/>
        <v>Very High</v>
      </c>
      <c r="L18" s="11" t="s">
        <v>20</v>
      </c>
      <c r="M18" s="14">
        <v>45307</v>
      </c>
      <c r="N18" s="14" t="str">
        <f t="shared" si="10"/>
        <v>16/01/2024</v>
      </c>
      <c r="O18" s="14" t="str">
        <f t="shared" si="11"/>
        <v>2024</v>
      </c>
      <c r="P18" s="11" t="s">
        <v>93</v>
      </c>
      <c r="Q18" s="11" t="s">
        <v>94</v>
      </c>
      <c r="R18" s="11">
        <v>18</v>
      </c>
      <c r="S18" s="11" t="str">
        <f t="shared" si="12"/>
        <v>17 + yrs</v>
      </c>
      <c r="T18" s="12">
        <v>240</v>
      </c>
      <c r="U18" s="11" t="str">
        <f t="shared" si="13"/>
        <v>(201 - 250)</v>
      </c>
      <c r="V18" s="12">
        <f t="shared" si="14"/>
        <v>6.8888888888888893</v>
      </c>
      <c r="W18" s="12">
        <f t="shared" si="15"/>
        <v>146.7741935483871</v>
      </c>
      <c r="X18" s="12">
        <f t="shared" si="16"/>
        <v>0.38709677419354838</v>
      </c>
    </row>
    <row r="19" spans="1:24">
      <c r="A19" s="11">
        <v>18</v>
      </c>
      <c r="B19" s="11" t="s">
        <v>95</v>
      </c>
      <c r="C19" s="11" t="s">
        <v>39</v>
      </c>
      <c r="D19" s="11" t="s">
        <v>33</v>
      </c>
      <c r="E19" s="12">
        <v>11</v>
      </c>
      <c r="F19" s="11" t="s">
        <v>26</v>
      </c>
      <c r="G19" s="11" t="str">
        <f t="shared" si="0"/>
        <v>Litres</v>
      </c>
      <c r="H19" s="13">
        <v>92</v>
      </c>
      <c r="I19" s="11" t="s">
        <v>19</v>
      </c>
      <c r="J19" s="12">
        <v>9100</v>
      </c>
      <c r="K19" s="12" t="str">
        <f t="shared" si="9"/>
        <v>Very Low</v>
      </c>
      <c r="L19" s="11" t="s">
        <v>20</v>
      </c>
      <c r="M19" s="14">
        <v>45308</v>
      </c>
      <c r="N19" s="14" t="str">
        <f t="shared" si="10"/>
        <v>17/01/2024</v>
      </c>
      <c r="O19" s="14" t="str">
        <f t="shared" si="11"/>
        <v>2024</v>
      </c>
      <c r="P19" s="11" t="s">
        <v>1422</v>
      </c>
      <c r="Q19" s="11" t="s">
        <v>98</v>
      </c>
      <c r="R19" s="11">
        <v>5</v>
      </c>
      <c r="S19" s="11" t="str">
        <f t="shared" si="12"/>
        <v>5 - 8 yrs</v>
      </c>
      <c r="T19" s="12">
        <v>42</v>
      </c>
      <c r="U19" s="11" t="str">
        <f t="shared" si="13"/>
        <v>(0 - 50)</v>
      </c>
      <c r="V19" s="12">
        <f t="shared" si="14"/>
        <v>8.3636363636363633</v>
      </c>
      <c r="W19" s="12">
        <f t="shared" si="15"/>
        <v>98.913043478260875</v>
      </c>
      <c r="X19" s="12">
        <f t="shared" si="16"/>
        <v>0.45652173913043476</v>
      </c>
    </row>
    <row r="20" spans="1:24">
      <c r="A20" s="11">
        <v>19</v>
      </c>
      <c r="B20" s="11" t="s">
        <v>99</v>
      </c>
      <c r="C20" s="11" t="s">
        <v>50</v>
      </c>
      <c r="D20" s="11" t="s">
        <v>33</v>
      </c>
      <c r="E20" s="12">
        <v>3.5</v>
      </c>
      <c r="F20" s="11" t="s">
        <v>41</v>
      </c>
      <c r="G20" s="11" t="str">
        <f t="shared" si="0"/>
        <v>Litres</v>
      </c>
      <c r="H20" s="13">
        <v>35</v>
      </c>
      <c r="I20" s="11" t="s">
        <v>19</v>
      </c>
      <c r="J20" s="12">
        <v>2200</v>
      </c>
      <c r="K20" s="12" t="str">
        <f t="shared" si="9"/>
        <v>Very Low</v>
      </c>
      <c r="L20" s="11" t="s">
        <v>20</v>
      </c>
      <c r="M20" s="14">
        <v>45308</v>
      </c>
      <c r="N20" s="14" t="str">
        <f t="shared" si="10"/>
        <v>17/01/2024</v>
      </c>
      <c r="O20" s="14" t="str">
        <f t="shared" si="11"/>
        <v>2024</v>
      </c>
      <c r="P20" s="11" t="s">
        <v>53</v>
      </c>
      <c r="Q20" s="11" t="s">
        <v>54</v>
      </c>
      <c r="R20" s="11">
        <v>2</v>
      </c>
      <c r="S20" s="11" t="str">
        <f t="shared" si="12"/>
        <v>0 - 4 yrs</v>
      </c>
      <c r="T20" s="12">
        <v>10</v>
      </c>
      <c r="U20" s="11" t="str">
        <f t="shared" si="13"/>
        <v>(0 - 50)</v>
      </c>
      <c r="V20" s="12">
        <f t="shared" si="14"/>
        <v>10</v>
      </c>
      <c r="W20" s="12">
        <f t="shared" si="15"/>
        <v>62.857142857142854</v>
      </c>
      <c r="X20" s="12">
        <f t="shared" si="16"/>
        <v>0.2857142857142857</v>
      </c>
    </row>
    <row r="21" spans="1:24">
      <c r="A21" s="11">
        <v>20</v>
      </c>
      <c r="B21" s="11" t="s">
        <v>2423</v>
      </c>
      <c r="C21" s="11" t="s">
        <v>32</v>
      </c>
      <c r="D21" s="11" t="s">
        <v>17</v>
      </c>
      <c r="E21" s="12">
        <v>29</v>
      </c>
      <c r="F21" s="11" t="s">
        <v>26</v>
      </c>
      <c r="G21" s="11" t="str">
        <f t="shared" si="0"/>
        <v>Litres</v>
      </c>
      <c r="H21" s="13">
        <v>175</v>
      </c>
      <c r="I21" s="11" t="s">
        <v>19</v>
      </c>
      <c r="J21" s="12">
        <v>29500</v>
      </c>
      <c r="K21" s="12" t="str">
        <f t="shared" si="9"/>
        <v>Low</v>
      </c>
      <c r="L21" s="11" t="s">
        <v>20</v>
      </c>
      <c r="M21" s="14">
        <v>45309</v>
      </c>
      <c r="N21" s="14" t="str">
        <f t="shared" si="10"/>
        <v>18/01/2024</v>
      </c>
      <c r="O21" s="14" t="str">
        <f t="shared" si="11"/>
        <v>2024</v>
      </c>
      <c r="P21" s="11" t="s">
        <v>103</v>
      </c>
      <c r="Q21" s="11" t="s">
        <v>104</v>
      </c>
      <c r="R21" s="11">
        <v>8</v>
      </c>
      <c r="S21" s="11" t="str">
        <f t="shared" si="12"/>
        <v>5 - 8 yrs</v>
      </c>
      <c r="T21" s="12">
        <v>92</v>
      </c>
      <c r="U21" s="11" t="str">
        <f t="shared" si="13"/>
        <v>(51 - 100)</v>
      </c>
      <c r="V21" s="12">
        <f t="shared" si="14"/>
        <v>6.0344827586206895</v>
      </c>
      <c r="W21" s="12">
        <f t="shared" si="15"/>
        <v>168.57142857142858</v>
      </c>
      <c r="X21" s="12">
        <f t="shared" si="16"/>
        <v>0.52571428571428569</v>
      </c>
    </row>
    <row r="22" spans="1:24">
      <c r="A22" s="11">
        <v>21</v>
      </c>
      <c r="B22" s="11" t="s">
        <v>105</v>
      </c>
      <c r="C22" s="11" t="s">
        <v>39</v>
      </c>
      <c r="D22" s="11" t="s">
        <v>33</v>
      </c>
      <c r="E22" s="12">
        <v>9</v>
      </c>
      <c r="F22" s="11" t="s">
        <v>2643</v>
      </c>
      <c r="G22" s="11" t="str">
        <f t="shared" si="0"/>
        <v>Litres</v>
      </c>
      <c r="H22" s="13">
        <v>80</v>
      </c>
      <c r="I22" s="11" t="s">
        <v>19</v>
      </c>
      <c r="J22" s="12">
        <v>8200</v>
      </c>
      <c r="K22" s="12" t="str">
        <f t="shared" si="9"/>
        <v>Very Low</v>
      </c>
      <c r="L22" s="11" t="s">
        <v>20</v>
      </c>
      <c r="M22" s="14">
        <v>45310</v>
      </c>
      <c r="N22" s="14" t="str">
        <f t="shared" si="10"/>
        <v>19/01/2024</v>
      </c>
      <c r="O22" s="14" t="str">
        <f t="shared" si="11"/>
        <v>2024</v>
      </c>
      <c r="P22" s="11" t="s">
        <v>107</v>
      </c>
      <c r="Q22" s="11" t="s">
        <v>108</v>
      </c>
      <c r="R22" s="11">
        <v>4</v>
      </c>
      <c r="S22" s="11" t="str">
        <f t="shared" si="12"/>
        <v>0 - 4 yrs</v>
      </c>
      <c r="T22" s="12">
        <v>38</v>
      </c>
      <c r="U22" s="11" t="str">
        <f t="shared" si="13"/>
        <v>(0 - 50)</v>
      </c>
      <c r="V22" s="12">
        <f t="shared" si="14"/>
        <v>8.8888888888888893</v>
      </c>
      <c r="W22" s="12">
        <f t="shared" si="15"/>
        <v>102.5</v>
      </c>
      <c r="X22" s="12">
        <f t="shared" si="16"/>
        <v>0.47499999999999998</v>
      </c>
    </row>
    <row r="23" spans="1:24">
      <c r="A23" s="11">
        <v>22</v>
      </c>
      <c r="B23" s="11" t="s">
        <v>109</v>
      </c>
      <c r="C23" s="11" t="s">
        <v>16</v>
      </c>
      <c r="D23" s="11" t="s">
        <v>17</v>
      </c>
      <c r="E23" s="12">
        <v>65</v>
      </c>
      <c r="F23" s="11" t="s">
        <v>2643</v>
      </c>
      <c r="G23" s="11" t="str">
        <f t="shared" si="0"/>
        <v>Litres</v>
      </c>
      <c r="H23" s="13">
        <v>450</v>
      </c>
      <c r="I23" s="11" t="s">
        <v>19</v>
      </c>
      <c r="J23" s="12">
        <v>68000</v>
      </c>
      <c r="K23" s="12" t="str">
        <f t="shared" si="9"/>
        <v>Moderate</v>
      </c>
      <c r="L23" s="11" t="s">
        <v>20</v>
      </c>
      <c r="M23" s="14">
        <v>45311</v>
      </c>
      <c r="N23" s="14" t="str">
        <f t="shared" si="10"/>
        <v>20/01/2024</v>
      </c>
      <c r="O23" s="14" t="str">
        <f t="shared" si="11"/>
        <v>2024</v>
      </c>
      <c r="P23" s="11" t="s">
        <v>111</v>
      </c>
      <c r="Q23" s="11" t="s">
        <v>112</v>
      </c>
      <c r="R23" s="11">
        <v>11</v>
      </c>
      <c r="S23" s="11" t="str">
        <f t="shared" si="12"/>
        <v>9 - 12 yrs</v>
      </c>
      <c r="T23" s="12">
        <v>170</v>
      </c>
      <c r="U23" s="11" t="str">
        <f t="shared" si="13"/>
        <v>(151 - 200)</v>
      </c>
      <c r="V23" s="12">
        <f t="shared" si="14"/>
        <v>6.9230769230769234</v>
      </c>
      <c r="W23" s="12">
        <f t="shared" si="15"/>
        <v>151.11111111111111</v>
      </c>
      <c r="X23" s="12">
        <f t="shared" si="16"/>
        <v>0.37777777777777777</v>
      </c>
    </row>
    <row r="24" spans="1:24">
      <c r="A24" s="11">
        <v>23</v>
      </c>
      <c r="B24" s="11" t="s">
        <v>109</v>
      </c>
      <c r="C24" s="11" t="s">
        <v>16</v>
      </c>
      <c r="D24" s="11" t="s">
        <v>17</v>
      </c>
      <c r="E24" s="12">
        <v>65</v>
      </c>
      <c r="F24" s="11" t="s">
        <v>2643</v>
      </c>
      <c r="G24" s="11" t="str">
        <f t="shared" si="0"/>
        <v>Litres</v>
      </c>
      <c r="H24" s="13">
        <v>450</v>
      </c>
      <c r="I24" s="11" t="s">
        <v>19</v>
      </c>
      <c r="J24" s="12">
        <v>68000</v>
      </c>
      <c r="K24" s="12" t="str">
        <f t="shared" si="9"/>
        <v>Moderate</v>
      </c>
      <c r="L24" s="11" t="s">
        <v>20</v>
      </c>
      <c r="M24" s="14">
        <v>45311</v>
      </c>
      <c r="N24" s="14" t="str">
        <f t="shared" si="10"/>
        <v>20/01/2024</v>
      </c>
      <c r="O24" s="14" t="str">
        <f t="shared" si="11"/>
        <v>2024</v>
      </c>
      <c r="P24" s="11" t="s">
        <v>111</v>
      </c>
      <c r="Q24" s="11" t="s">
        <v>112</v>
      </c>
      <c r="R24" s="11">
        <v>11</v>
      </c>
      <c r="S24" s="11" t="str">
        <f t="shared" si="12"/>
        <v>9 - 12 yrs</v>
      </c>
      <c r="T24" s="12">
        <v>170</v>
      </c>
      <c r="U24" s="11" t="str">
        <f t="shared" si="13"/>
        <v>(151 - 200)</v>
      </c>
      <c r="V24" s="12">
        <f t="shared" si="14"/>
        <v>6.9230769230769234</v>
      </c>
      <c r="W24" s="12">
        <f t="shared" si="15"/>
        <v>151.11111111111111</v>
      </c>
      <c r="X24" s="12">
        <f t="shared" si="16"/>
        <v>0.37777777777777777</v>
      </c>
    </row>
    <row r="25" spans="1:24">
      <c r="A25" s="11">
        <v>24</v>
      </c>
      <c r="B25" s="11" t="s">
        <v>113</v>
      </c>
      <c r="C25" s="11" t="s">
        <v>39</v>
      </c>
      <c r="D25" s="11" t="s">
        <v>114</v>
      </c>
      <c r="E25" s="12">
        <v>5</v>
      </c>
      <c r="F25" s="11" t="s">
        <v>2643</v>
      </c>
      <c r="G25" s="11" t="str">
        <f t="shared" si="0"/>
        <v>Litres</v>
      </c>
      <c r="H25" s="13">
        <v>110</v>
      </c>
      <c r="I25" s="11" t="s">
        <v>19</v>
      </c>
      <c r="J25" s="12">
        <v>6000</v>
      </c>
      <c r="K25" s="12" t="str">
        <f t="shared" si="9"/>
        <v>Very Low</v>
      </c>
      <c r="L25" s="11" t="s">
        <v>20</v>
      </c>
      <c r="M25" s="14">
        <v>45312</v>
      </c>
      <c r="N25" s="14" t="str">
        <f t="shared" si="10"/>
        <v>21/01/2024</v>
      </c>
      <c r="O25" s="14" t="str">
        <f t="shared" si="11"/>
        <v>2024</v>
      </c>
      <c r="P25" s="11" t="s">
        <v>116</v>
      </c>
      <c r="Q25" s="11" t="s">
        <v>117</v>
      </c>
      <c r="R25" s="11">
        <v>3</v>
      </c>
      <c r="S25" s="11" t="str">
        <f t="shared" si="12"/>
        <v>0 - 4 yrs</v>
      </c>
      <c r="T25" s="12">
        <v>25</v>
      </c>
      <c r="U25" s="11" t="str">
        <f t="shared" si="13"/>
        <v>(0 - 50)</v>
      </c>
      <c r="V25" s="12">
        <f t="shared" si="14"/>
        <v>22</v>
      </c>
      <c r="W25" s="12">
        <f t="shared" si="15"/>
        <v>54.545454545454547</v>
      </c>
      <c r="X25" s="12">
        <f t="shared" si="16"/>
        <v>0.22727272727272727</v>
      </c>
    </row>
    <row r="26" spans="1:24">
      <c r="A26" s="11">
        <v>25</v>
      </c>
      <c r="B26" s="11" t="s">
        <v>2424</v>
      </c>
      <c r="C26" s="11" t="s">
        <v>32</v>
      </c>
      <c r="D26" s="11" t="s">
        <v>17</v>
      </c>
      <c r="E26" s="12">
        <v>40</v>
      </c>
      <c r="F26" s="11" t="s">
        <v>2643</v>
      </c>
      <c r="G26" s="11" t="str">
        <f t="shared" si="0"/>
        <v>Litres</v>
      </c>
      <c r="H26" s="13">
        <v>210</v>
      </c>
      <c r="I26" s="11" t="s">
        <v>19</v>
      </c>
      <c r="J26" s="12">
        <v>35000</v>
      </c>
      <c r="K26" s="12" t="str">
        <f t="shared" si="9"/>
        <v>Low</v>
      </c>
      <c r="L26" s="11" t="s">
        <v>20</v>
      </c>
      <c r="M26" s="14">
        <v>45313</v>
      </c>
      <c r="N26" s="14" t="str">
        <f t="shared" si="10"/>
        <v>22/01/2024</v>
      </c>
      <c r="O26" s="14" t="str">
        <f t="shared" si="11"/>
        <v>2024</v>
      </c>
      <c r="P26" s="11" t="s">
        <v>120</v>
      </c>
      <c r="Q26" s="11" t="s">
        <v>121</v>
      </c>
      <c r="R26" s="11">
        <v>9</v>
      </c>
      <c r="S26" s="11" t="str">
        <f t="shared" si="12"/>
        <v>9 - 12 yrs</v>
      </c>
      <c r="T26" s="12">
        <v>105</v>
      </c>
      <c r="U26" s="11" t="str">
        <f t="shared" si="13"/>
        <v>(101 - 150)</v>
      </c>
      <c r="V26" s="12">
        <f t="shared" si="14"/>
        <v>5.25</v>
      </c>
      <c r="W26" s="12">
        <f t="shared" si="15"/>
        <v>166.66666666666666</v>
      </c>
      <c r="X26" s="12">
        <f t="shared" si="16"/>
        <v>0.5</v>
      </c>
    </row>
    <row r="27" spans="1:24" s="2" customFormat="1" hidden="1">
      <c r="A27" s="3">
        <v>26</v>
      </c>
      <c r="B27" s="3" t="s">
        <v>122</v>
      </c>
      <c r="C27" s="3" t="s">
        <v>32</v>
      </c>
      <c r="D27" s="3" t="s">
        <v>33</v>
      </c>
      <c r="E27" s="4">
        <v>12.6</v>
      </c>
      <c r="F27" s="3" t="s">
        <v>41</v>
      </c>
      <c r="G27" s="3" t="str">
        <f t="shared" si="0"/>
        <v>Litres</v>
      </c>
      <c r="H27" s="3">
        <v>481</v>
      </c>
      <c r="I27" s="3" t="s">
        <v>19</v>
      </c>
      <c r="J27" s="3">
        <v>28890</v>
      </c>
      <c r="K27" s="3"/>
      <c r="L27" s="3" t="s">
        <v>124</v>
      </c>
      <c r="M27" s="6">
        <v>45756</v>
      </c>
      <c r="N27" s="6"/>
      <c r="O27" s="6"/>
      <c r="P27" s="3" t="s">
        <v>126</v>
      </c>
      <c r="Q27" s="3" t="s">
        <v>127</v>
      </c>
      <c r="R27" s="3">
        <v>20</v>
      </c>
      <c r="S27" s="3"/>
      <c r="T27" s="3">
        <v>26.9</v>
      </c>
      <c r="U27" s="3"/>
    </row>
    <row r="28" spans="1:24" s="2" customFormat="1" hidden="1">
      <c r="A28" s="3">
        <v>27</v>
      </c>
      <c r="B28" s="3" t="s">
        <v>128</v>
      </c>
      <c r="C28" s="3" t="s">
        <v>32</v>
      </c>
      <c r="D28" s="3" t="s">
        <v>17</v>
      </c>
      <c r="E28" s="4">
        <v>54</v>
      </c>
      <c r="F28" s="3" t="s">
        <v>26</v>
      </c>
      <c r="G28" s="3" t="str">
        <f t="shared" si="0"/>
        <v>Litres</v>
      </c>
      <c r="H28" s="3">
        <v>356</v>
      </c>
      <c r="I28" s="3" t="s">
        <v>19</v>
      </c>
      <c r="J28" s="3">
        <v>27305</v>
      </c>
      <c r="K28" s="3"/>
      <c r="L28" s="3" t="s">
        <v>124</v>
      </c>
      <c r="M28" s="6">
        <v>45687</v>
      </c>
      <c r="N28" s="3"/>
      <c r="O28" s="3"/>
      <c r="P28" s="3" t="s">
        <v>130</v>
      </c>
      <c r="Q28" s="3" t="s">
        <v>131</v>
      </c>
      <c r="R28" s="3">
        <v>4</v>
      </c>
      <c r="S28" s="3"/>
      <c r="T28" s="3">
        <v>160.69999999999999</v>
      </c>
      <c r="U28" s="3"/>
    </row>
    <row r="29" spans="1:24" s="2" customFormat="1" hidden="1">
      <c r="A29" s="3">
        <v>28</v>
      </c>
      <c r="B29" s="3" t="s">
        <v>2425</v>
      </c>
      <c r="C29" s="3" t="s">
        <v>39</v>
      </c>
      <c r="D29" s="3" t="s">
        <v>114</v>
      </c>
      <c r="E29" s="4">
        <v>72.900000000000006</v>
      </c>
      <c r="F29" s="3" t="s">
        <v>2643</v>
      </c>
      <c r="G29" s="3" t="str">
        <f t="shared" si="0"/>
        <v>Litres</v>
      </c>
      <c r="H29" s="3">
        <v>518</v>
      </c>
      <c r="I29" s="3" t="s">
        <v>19</v>
      </c>
      <c r="J29" s="3">
        <v>25013</v>
      </c>
      <c r="K29" s="3"/>
      <c r="L29" s="3" t="s">
        <v>124</v>
      </c>
      <c r="M29" s="6">
        <v>45967</v>
      </c>
      <c r="N29" s="6"/>
      <c r="O29" s="6"/>
      <c r="P29" s="3" t="s">
        <v>135</v>
      </c>
      <c r="Q29" s="3"/>
      <c r="R29" s="3">
        <v>17</v>
      </c>
      <c r="S29" s="3"/>
      <c r="T29" s="3">
        <v>214</v>
      </c>
      <c r="U29" s="3"/>
    </row>
    <row r="30" spans="1:24" s="2" customFormat="1" hidden="1">
      <c r="A30" s="3">
        <v>29</v>
      </c>
      <c r="B30" s="3" t="s">
        <v>136</v>
      </c>
      <c r="C30" s="3" t="s">
        <v>39</v>
      </c>
      <c r="D30" s="3" t="s">
        <v>17</v>
      </c>
      <c r="E30" s="4">
        <v>82.3</v>
      </c>
      <c r="F30" s="3" t="s">
        <v>26</v>
      </c>
      <c r="G30" s="3" t="str">
        <f t="shared" si="0"/>
        <v>Litres</v>
      </c>
      <c r="H30" s="5">
        <v>393</v>
      </c>
      <c r="I30" s="3" t="s">
        <v>19</v>
      </c>
      <c r="J30" s="4">
        <v>18595</v>
      </c>
      <c r="K30" s="4"/>
      <c r="L30" s="3" t="s">
        <v>20</v>
      </c>
      <c r="M30" s="6">
        <v>45668</v>
      </c>
      <c r="N30" s="6"/>
      <c r="O30" s="6"/>
      <c r="P30" s="3" t="s">
        <v>139</v>
      </c>
      <c r="Q30" s="3" t="s">
        <v>127</v>
      </c>
      <c r="R30" s="3">
        <v>7</v>
      </c>
      <c r="S30" s="3"/>
      <c r="T30" s="3">
        <v>179.6</v>
      </c>
      <c r="U30" s="3"/>
    </row>
    <row r="31" spans="1:24" s="2" customFormat="1" hidden="1">
      <c r="A31" s="3">
        <v>30</v>
      </c>
      <c r="B31" s="3" t="s">
        <v>2426</v>
      </c>
      <c r="C31" s="3" t="s">
        <v>16</v>
      </c>
      <c r="D31" s="3" t="s">
        <v>17</v>
      </c>
      <c r="E31" s="4">
        <v>9.1999999999999993</v>
      </c>
      <c r="F31" s="3" t="s">
        <v>2643</v>
      </c>
      <c r="G31" s="3" t="str">
        <f t="shared" si="0"/>
        <v>Litres</v>
      </c>
      <c r="H31" s="5">
        <v>536</v>
      </c>
      <c r="I31" s="3" t="s">
        <v>19</v>
      </c>
      <c r="J31" s="4">
        <v>93693</v>
      </c>
      <c r="K31" s="4"/>
      <c r="L31" s="3" t="s">
        <v>20</v>
      </c>
      <c r="M31" s="6">
        <v>45689</v>
      </c>
      <c r="N31" s="6"/>
      <c r="O31" s="6"/>
      <c r="P31" s="3" t="s">
        <v>142</v>
      </c>
      <c r="Q31" s="3"/>
      <c r="R31" s="3">
        <v>1</v>
      </c>
      <c r="S31" s="3"/>
      <c r="T31" s="3">
        <v>26.7</v>
      </c>
      <c r="U31" s="3"/>
    </row>
    <row r="32" spans="1:24" s="2" customFormat="1" hidden="1">
      <c r="A32" s="3">
        <v>31</v>
      </c>
      <c r="B32" s="3" t="s">
        <v>143</v>
      </c>
      <c r="C32" s="3" t="s">
        <v>39</v>
      </c>
      <c r="D32" s="3" t="s">
        <v>17</v>
      </c>
      <c r="E32" s="4">
        <v>10.7</v>
      </c>
      <c r="F32" s="3" t="s">
        <v>41</v>
      </c>
      <c r="G32" s="3" t="str">
        <f t="shared" si="0"/>
        <v>Litres</v>
      </c>
      <c r="H32" s="3">
        <v>422</v>
      </c>
      <c r="I32" s="3" t="s">
        <v>19</v>
      </c>
      <c r="J32" s="3">
        <v>47789</v>
      </c>
      <c r="K32" s="3"/>
      <c r="L32" s="3" t="s">
        <v>124</v>
      </c>
      <c r="M32" s="6">
        <v>45387</v>
      </c>
      <c r="N32" s="6"/>
      <c r="O32" s="6"/>
      <c r="P32" s="3" t="s">
        <v>145</v>
      </c>
      <c r="Q32" s="3" t="s">
        <v>146</v>
      </c>
      <c r="R32" s="3">
        <v>20</v>
      </c>
      <c r="S32" s="3"/>
      <c r="T32" s="3">
        <v>28.3</v>
      </c>
      <c r="U32" s="3"/>
    </row>
    <row r="33" spans="1:21" s="2" customFormat="1" hidden="1">
      <c r="A33" s="3">
        <v>32</v>
      </c>
      <c r="B33" s="3" t="s">
        <v>147</v>
      </c>
      <c r="C33" s="3" t="s">
        <v>32</v>
      </c>
      <c r="D33" s="3" t="s">
        <v>17</v>
      </c>
      <c r="E33" s="4">
        <v>58.4</v>
      </c>
      <c r="F33" s="3" t="s">
        <v>2643</v>
      </c>
      <c r="G33" s="3" t="str">
        <f t="shared" si="0"/>
        <v>Litres</v>
      </c>
      <c r="H33" s="3">
        <v>695</v>
      </c>
      <c r="I33" s="3" t="s">
        <v>19</v>
      </c>
      <c r="J33" s="3">
        <v>74022</v>
      </c>
      <c r="K33" s="3"/>
      <c r="L33" s="3" t="s">
        <v>124</v>
      </c>
      <c r="M33" s="6">
        <v>45883</v>
      </c>
      <c r="N33" s="3"/>
      <c r="O33" s="3"/>
      <c r="P33" s="3" t="s">
        <v>149</v>
      </c>
      <c r="Q33" s="3"/>
      <c r="R33" s="3">
        <v>13</v>
      </c>
      <c r="S33" s="3"/>
      <c r="T33" s="3">
        <v>133.69999999999999</v>
      </c>
      <c r="U33" s="3"/>
    </row>
    <row r="34" spans="1:21" s="2" customFormat="1" hidden="1">
      <c r="A34" s="3">
        <v>33</v>
      </c>
      <c r="B34" s="3" t="s">
        <v>2427</v>
      </c>
      <c r="C34" s="3" t="s">
        <v>39</v>
      </c>
      <c r="D34" s="3" t="s">
        <v>33</v>
      </c>
      <c r="E34" s="4">
        <v>78.3</v>
      </c>
      <c r="F34" s="3" t="s">
        <v>56</v>
      </c>
      <c r="G34" s="3" t="str">
        <f t="shared" si="0"/>
        <v>Litres</v>
      </c>
      <c r="H34" s="5">
        <v>218</v>
      </c>
      <c r="I34" s="3" t="s">
        <v>19</v>
      </c>
      <c r="J34" s="4">
        <v>14262</v>
      </c>
      <c r="K34" s="4"/>
      <c r="L34" s="3" t="s">
        <v>20</v>
      </c>
      <c r="M34" s="6">
        <v>45833</v>
      </c>
      <c r="N34" s="3"/>
      <c r="O34" s="3"/>
      <c r="P34" s="3" t="s">
        <v>152</v>
      </c>
      <c r="Q34" s="3" t="s">
        <v>153</v>
      </c>
      <c r="R34" s="3">
        <v>13</v>
      </c>
      <c r="S34" s="3"/>
      <c r="T34" s="3">
        <v>181.1</v>
      </c>
      <c r="U34" s="3"/>
    </row>
    <row r="35" spans="1:21" s="2" customFormat="1" hidden="1">
      <c r="A35" s="3">
        <v>34</v>
      </c>
      <c r="B35" s="3" t="s">
        <v>154</v>
      </c>
      <c r="C35" s="3" t="s">
        <v>16</v>
      </c>
      <c r="D35" s="3" t="s">
        <v>17</v>
      </c>
      <c r="E35" s="4">
        <v>50.6</v>
      </c>
      <c r="F35" s="3" t="s">
        <v>62</v>
      </c>
      <c r="G35" s="3" t="str">
        <f t="shared" si="0"/>
        <v>kWh</v>
      </c>
      <c r="H35" s="5">
        <v>635</v>
      </c>
      <c r="I35" s="3" t="s">
        <v>19</v>
      </c>
      <c r="J35" s="4">
        <v>83159</v>
      </c>
      <c r="K35" s="4"/>
      <c r="L35" s="3" t="s">
        <v>20</v>
      </c>
      <c r="M35" s="6">
        <v>45359</v>
      </c>
      <c r="N35" s="6"/>
      <c r="O35" s="6"/>
      <c r="P35" s="3" t="s">
        <v>156</v>
      </c>
      <c r="Q35" s="3"/>
      <c r="R35" s="3">
        <v>5</v>
      </c>
      <c r="S35" s="3"/>
      <c r="T35" s="3">
        <v>170.6</v>
      </c>
      <c r="U35" s="3"/>
    </row>
    <row r="36" spans="1:21" s="2" customFormat="1" hidden="1">
      <c r="A36" s="3">
        <v>35</v>
      </c>
      <c r="B36" s="3" t="s">
        <v>157</v>
      </c>
      <c r="C36" s="3" t="s">
        <v>50</v>
      </c>
      <c r="D36" s="3" t="s">
        <v>33</v>
      </c>
      <c r="E36" s="4">
        <v>80.3</v>
      </c>
      <c r="F36" s="3" t="s">
        <v>62</v>
      </c>
      <c r="G36" s="3" t="str">
        <f t="shared" si="0"/>
        <v>kWh</v>
      </c>
      <c r="H36" s="5">
        <v>550</v>
      </c>
      <c r="I36" s="3" t="s">
        <v>19</v>
      </c>
      <c r="J36" s="4">
        <v>41098</v>
      </c>
      <c r="K36" s="4"/>
      <c r="L36" s="3" t="s">
        <v>20</v>
      </c>
      <c r="M36" s="6">
        <v>46041</v>
      </c>
      <c r="N36" s="6"/>
      <c r="O36" s="6"/>
      <c r="P36" s="3" t="s">
        <v>160</v>
      </c>
      <c r="Q36" s="3"/>
      <c r="R36" s="3">
        <v>1</v>
      </c>
      <c r="S36" s="3"/>
      <c r="T36" s="3">
        <v>241.2</v>
      </c>
      <c r="U36" s="3"/>
    </row>
    <row r="37" spans="1:21" s="2" customFormat="1" hidden="1">
      <c r="A37" s="3">
        <v>36</v>
      </c>
      <c r="B37" s="3" t="s">
        <v>161</v>
      </c>
      <c r="C37" s="3" t="s">
        <v>32</v>
      </c>
      <c r="D37" s="3" t="s">
        <v>17</v>
      </c>
      <c r="E37" s="4">
        <v>57</v>
      </c>
      <c r="F37" s="3" t="s">
        <v>62</v>
      </c>
      <c r="G37" s="3" t="str">
        <f t="shared" si="0"/>
        <v>kWh</v>
      </c>
      <c r="H37" s="5">
        <v>116</v>
      </c>
      <c r="I37" s="3" t="s">
        <v>19</v>
      </c>
      <c r="J37" s="4">
        <v>40831</v>
      </c>
      <c r="K37" s="4"/>
      <c r="L37" s="3" t="s">
        <v>20</v>
      </c>
      <c r="M37" s="6">
        <v>46003</v>
      </c>
      <c r="N37" s="6"/>
      <c r="O37" s="6"/>
      <c r="P37" s="3" t="s">
        <v>163</v>
      </c>
      <c r="Q37" s="3" t="s">
        <v>164</v>
      </c>
      <c r="R37" s="3">
        <v>9</v>
      </c>
      <c r="S37" s="3"/>
      <c r="T37" s="3">
        <v>161</v>
      </c>
      <c r="U37" s="3"/>
    </row>
    <row r="38" spans="1:21" s="2" customFormat="1" hidden="1">
      <c r="A38" s="3">
        <v>37</v>
      </c>
      <c r="B38" s="3" t="s">
        <v>165</v>
      </c>
      <c r="C38" s="3" t="s">
        <v>32</v>
      </c>
      <c r="D38" s="3" t="s">
        <v>33</v>
      </c>
      <c r="E38" s="4">
        <v>31.3</v>
      </c>
      <c r="F38" s="3" t="s">
        <v>41</v>
      </c>
      <c r="G38" s="3" t="str">
        <f t="shared" si="0"/>
        <v>Litres</v>
      </c>
      <c r="H38" s="3">
        <v>638</v>
      </c>
      <c r="I38" s="3" t="s">
        <v>19</v>
      </c>
      <c r="J38" s="3">
        <v>51901</v>
      </c>
      <c r="K38" s="3"/>
      <c r="L38" s="3" t="s">
        <v>124</v>
      </c>
      <c r="M38" s="6">
        <v>45534</v>
      </c>
      <c r="N38" s="3"/>
      <c r="O38" s="3"/>
      <c r="P38" s="3" t="s">
        <v>167</v>
      </c>
      <c r="Q38" s="3"/>
      <c r="R38" s="3">
        <v>7</v>
      </c>
      <c r="S38" s="3"/>
      <c r="T38" s="3">
        <v>70.400000000000006</v>
      </c>
      <c r="U38" s="3"/>
    </row>
    <row r="39" spans="1:21" s="2" customFormat="1" hidden="1">
      <c r="A39" s="3">
        <v>38</v>
      </c>
      <c r="B39" s="3" t="s">
        <v>2428</v>
      </c>
      <c r="C39" s="3" t="s">
        <v>16</v>
      </c>
      <c r="D39" s="3" t="s">
        <v>61</v>
      </c>
      <c r="E39" s="4">
        <v>0</v>
      </c>
      <c r="F39" s="3" t="s">
        <v>62</v>
      </c>
      <c r="G39" s="3" t="str">
        <f t="shared" si="0"/>
        <v>kWh</v>
      </c>
      <c r="H39" s="3">
        <v>212</v>
      </c>
      <c r="I39" s="3" t="s">
        <v>19</v>
      </c>
      <c r="J39" s="3">
        <v>50947</v>
      </c>
      <c r="K39" s="3"/>
      <c r="L39" s="3" t="s">
        <v>124</v>
      </c>
      <c r="M39" s="6">
        <v>45401</v>
      </c>
      <c r="N39" s="6"/>
      <c r="O39" s="6"/>
      <c r="P39" s="3" t="s">
        <v>170</v>
      </c>
      <c r="Q39" s="3" t="s">
        <v>171</v>
      </c>
      <c r="R39" s="3">
        <v>1</v>
      </c>
      <c r="S39" s="3"/>
      <c r="T39" s="3">
        <v>0</v>
      </c>
      <c r="U39" s="3"/>
    </row>
    <row r="40" spans="1:21" s="2" customFormat="1" hidden="1">
      <c r="A40" s="3">
        <v>39</v>
      </c>
      <c r="B40" s="3" t="s">
        <v>172</v>
      </c>
      <c r="C40" s="3" t="s">
        <v>16</v>
      </c>
      <c r="D40" s="3" t="s">
        <v>61</v>
      </c>
      <c r="E40" s="4">
        <v>0</v>
      </c>
      <c r="F40" s="3" t="s">
        <v>2643</v>
      </c>
      <c r="G40" s="3" t="str">
        <f t="shared" si="0"/>
        <v>Litres</v>
      </c>
      <c r="H40" s="3">
        <v>572</v>
      </c>
      <c r="I40" s="3" t="s">
        <v>19</v>
      </c>
      <c r="J40" s="3">
        <v>65719</v>
      </c>
      <c r="K40" s="3"/>
      <c r="L40" s="3" t="s">
        <v>124</v>
      </c>
      <c r="M40" s="6">
        <v>45829</v>
      </c>
      <c r="N40" s="3"/>
      <c r="O40" s="3"/>
      <c r="P40" s="3" t="s">
        <v>174</v>
      </c>
      <c r="Q40" s="3" t="s">
        <v>127</v>
      </c>
      <c r="R40" s="3">
        <v>6</v>
      </c>
      <c r="S40" s="3"/>
      <c r="T40" s="3">
        <v>0</v>
      </c>
      <c r="U40" s="3"/>
    </row>
    <row r="41" spans="1:21" s="2" customFormat="1" hidden="1">
      <c r="A41" s="3">
        <v>40</v>
      </c>
      <c r="B41" s="3" t="s">
        <v>2429</v>
      </c>
      <c r="C41" s="3" t="s">
        <v>16</v>
      </c>
      <c r="D41" s="3" t="s">
        <v>61</v>
      </c>
      <c r="E41" s="4">
        <v>0</v>
      </c>
      <c r="F41" s="3" t="s">
        <v>26</v>
      </c>
      <c r="G41" s="3" t="str">
        <f t="shared" si="0"/>
        <v>Litres</v>
      </c>
      <c r="H41" s="5">
        <v>104</v>
      </c>
      <c r="I41" s="3" t="s">
        <v>19</v>
      </c>
      <c r="J41" s="4">
        <v>28844</v>
      </c>
      <c r="K41" s="4"/>
      <c r="L41" s="3" t="s">
        <v>20</v>
      </c>
      <c r="M41" s="6">
        <v>45359</v>
      </c>
      <c r="N41" s="6"/>
      <c r="O41" s="6"/>
      <c r="P41" s="3" t="s">
        <v>177</v>
      </c>
      <c r="Q41" s="3" t="s">
        <v>178</v>
      </c>
      <c r="R41" s="3">
        <v>3</v>
      </c>
      <c r="S41" s="3"/>
      <c r="T41" s="3">
        <v>0</v>
      </c>
      <c r="U41" s="3"/>
    </row>
    <row r="42" spans="1:21" s="2" customFormat="1" hidden="1">
      <c r="A42" s="3">
        <v>41</v>
      </c>
      <c r="B42" s="3" t="s">
        <v>179</v>
      </c>
      <c r="C42" s="3" t="s">
        <v>39</v>
      </c>
      <c r="D42" s="3" t="s">
        <v>17</v>
      </c>
      <c r="E42" s="4">
        <v>29.6</v>
      </c>
      <c r="F42" s="3" t="s">
        <v>2643</v>
      </c>
      <c r="G42" s="3" t="str">
        <f t="shared" si="0"/>
        <v>Litres</v>
      </c>
      <c r="H42" s="3">
        <v>674</v>
      </c>
      <c r="I42" s="3" t="s">
        <v>19</v>
      </c>
      <c r="J42" s="3">
        <v>14509</v>
      </c>
      <c r="K42" s="3"/>
      <c r="L42" s="3" t="s">
        <v>124</v>
      </c>
      <c r="M42" s="6">
        <v>45565</v>
      </c>
      <c r="N42" s="6"/>
      <c r="O42" s="6"/>
      <c r="P42" s="3" t="s">
        <v>181</v>
      </c>
      <c r="Q42" s="3" t="s">
        <v>182</v>
      </c>
      <c r="R42" s="3">
        <v>18</v>
      </c>
      <c r="S42" s="3"/>
      <c r="T42" s="3">
        <v>77.900000000000006</v>
      </c>
      <c r="U42" s="3"/>
    </row>
    <row r="43" spans="1:21" s="2" customFormat="1" hidden="1">
      <c r="A43" s="3">
        <v>42</v>
      </c>
      <c r="B43" s="3" t="s">
        <v>2430</v>
      </c>
      <c r="C43" s="3" t="s">
        <v>32</v>
      </c>
      <c r="D43" s="3" t="s">
        <v>17</v>
      </c>
      <c r="E43" s="4">
        <v>10.6</v>
      </c>
      <c r="F43" s="3" t="s">
        <v>56</v>
      </c>
      <c r="G43" s="3" t="str">
        <f t="shared" si="0"/>
        <v>Litres</v>
      </c>
      <c r="H43" s="5">
        <v>546</v>
      </c>
      <c r="I43" s="3" t="s">
        <v>19</v>
      </c>
      <c r="J43" s="4">
        <v>27970</v>
      </c>
      <c r="K43" s="4"/>
      <c r="L43" s="3" t="s">
        <v>20</v>
      </c>
      <c r="M43" s="6">
        <v>45361</v>
      </c>
      <c r="N43" s="6"/>
      <c r="O43" s="6"/>
      <c r="P43" s="3" t="s">
        <v>185</v>
      </c>
      <c r="Q43" s="3" t="s">
        <v>186</v>
      </c>
      <c r="R43" s="3">
        <v>8</v>
      </c>
      <c r="S43" s="3"/>
      <c r="T43" s="3">
        <v>27.9</v>
      </c>
      <c r="U43" s="3"/>
    </row>
    <row r="44" spans="1:21" s="2" customFormat="1" hidden="1">
      <c r="A44" s="3">
        <v>43</v>
      </c>
      <c r="B44" s="3" t="s">
        <v>187</v>
      </c>
      <c r="C44" s="3" t="s">
        <v>32</v>
      </c>
      <c r="D44" s="3" t="s">
        <v>33</v>
      </c>
      <c r="E44" s="4">
        <v>86.8</v>
      </c>
      <c r="F44" s="3" t="s">
        <v>26</v>
      </c>
      <c r="G44" s="3" t="str">
        <f t="shared" si="0"/>
        <v>Litres</v>
      </c>
      <c r="H44" s="5">
        <v>171</v>
      </c>
      <c r="I44" s="3" t="s">
        <v>19</v>
      </c>
      <c r="J44" s="4">
        <v>80305</v>
      </c>
      <c r="K44" s="4"/>
      <c r="L44" s="3" t="s">
        <v>20</v>
      </c>
      <c r="M44" s="6">
        <v>45959</v>
      </c>
      <c r="N44" s="3"/>
      <c r="O44" s="3"/>
      <c r="P44" s="3" t="s">
        <v>189</v>
      </c>
      <c r="Q44" s="3"/>
      <c r="R44" s="3">
        <v>4</v>
      </c>
      <c r="S44" s="3"/>
      <c r="T44" s="3">
        <v>199</v>
      </c>
      <c r="U44" s="3"/>
    </row>
    <row r="45" spans="1:21" s="2" customFormat="1" hidden="1">
      <c r="A45" s="3">
        <v>44</v>
      </c>
      <c r="B45" s="3" t="s">
        <v>190</v>
      </c>
      <c r="C45" s="3" t="s">
        <v>50</v>
      </c>
      <c r="D45" s="3" t="s">
        <v>61</v>
      </c>
      <c r="E45" s="4">
        <v>0</v>
      </c>
      <c r="F45" s="3" t="s">
        <v>41</v>
      </c>
      <c r="G45" s="3" t="str">
        <f t="shared" si="0"/>
        <v>Litres</v>
      </c>
      <c r="H45" s="3">
        <v>382</v>
      </c>
      <c r="I45" s="3" t="s">
        <v>19</v>
      </c>
      <c r="J45" s="3">
        <v>93154</v>
      </c>
      <c r="K45" s="3"/>
      <c r="L45" s="3" t="s">
        <v>124</v>
      </c>
      <c r="M45" s="6">
        <v>45781</v>
      </c>
      <c r="N45" s="6"/>
      <c r="O45" s="6"/>
      <c r="P45" s="3" t="s">
        <v>192</v>
      </c>
      <c r="Q45" s="3"/>
      <c r="R45" s="3">
        <v>18</v>
      </c>
      <c r="S45" s="3"/>
      <c r="T45" s="3">
        <v>0</v>
      </c>
      <c r="U45" s="3"/>
    </row>
    <row r="46" spans="1:21" s="2" customFormat="1" hidden="1">
      <c r="A46" s="3">
        <v>45</v>
      </c>
      <c r="B46" s="3" t="s">
        <v>193</v>
      </c>
      <c r="C46" s="3" t="s">
        <v>32</v>
      </c>
      <c r="D46" s="3" t="s">
        <v>61</v>
      </c>
      <c r="E46" s="4">
        <v>0</v>
      </c>
      <c r="F46" s="3" t="s">
        <v>2643</v>
      </c>
      <c r="G46" s="3" t="str">
        <f t="shared" si="0"/>
        <v>Litres</v>
      </c>
      <c r="H46" s="3">
        <v>589</v>
      </c>
      <c r="I46" s="3" t="s">
        <v>19</v>
      </c>
      <c r="J46" s="3">
        <v>37412</v>
      </c>
      <c r="K46" s="3"/>
      <c r="L46" s="3" t="s">
        <v>124</v>
      </c>
      <c r="M46" s="6">
        <v>45632</v>
      </c>
      <c r="N46" s="6"/>
      <c r="O46" s="6"/>
      <c r="P46" s="3" t="s">
        <v>195</v>
      </c>
      <c r="Q46" s="3"/>
      <c r="R46" s="3">
        <v>20</v>
      </c>
      <c r="S46" s="3"/>
      <c r="T46" s="3">
        <v>0</v>
      </c>
      <c r="U46" s="3"/>
    </row>
    <row r="47" spans="1:21" s="2" customFormat="1" hidden="1">
      <c r="A47" s="3">
        <v>46</v>
      </c>
      <c r="B47" s="3" t="s">
        <v>196</v>
      </c>
      <c r="C47" s="3" t="s">
        <v>39</v>
      </c>
      <c r="D47" s="3" t="s">
        <v>33</v>
      </c>
      <c r="E47" s="4">
        <v>58.3</v>
      </c>
      <c r="F47" s="3" t="s">
        <v>2643</v>
      </c>
      <c r="G47" s="3" t="str">
        <f t="shared" si="0"/>
        <v>Litres</v>
      </c>
      <c r="H47" s="5">
        <v>636</v>
      </c>
      <c r="I47" s="3" t="s">
        <v>19</v>
      </c>
      <c r="J47" s="4">
        <v>31357</v>
      </c>
      <c r="K47" s="4"/>
      <c r="L47" s="3" t="s">
        <v>20</v>
      </c>
      <c r="M47" s="6">
        <v>45806</v>
      </c>
      <c r="N47" s="3"/>
      <c r="O47" s="3"/>
      <c r="P47" s="3" t="s">
        <v>198</v>
      </c>
      <c r="Q47" s="3" t="s">
        <v>199</v>
      </c>
      <c r="R47" s="3">
        <v>1</v>
      </c>
      <c r="S47" s="3"/>
      <c r="T47" s="3">
        <v>154.5</v>
      </c>
      <c r="U47" s="3"/>
    </row>
    <row r="48" spans="1:21" s="2" customFormat="1" hidden="1">
      <c r="A48" s="3">
        <v>47</v>
      </c>
      <c r="B48" s="3" t="s">
        <v>200</v>
      </c>
      <c r="C48" s="3" t="s">
        <v>39</v>
      </c>
      <c r="D48" s="3" t="s">
        <v>61</v>
      </c>
      <c r="E48" s="4">
        <v>0</v>
      </c>
      <c r="F48" s="3" t="s">
        <v>2643</v>
      </c>
      <c r="G48" s="3" t="str">
        <f t="shared" si="0"/>
        <v>Litres</v>
      </c>
      <c r="H48" s="5">
        <v>445</v>
      </c>
      <c r="I48" s="3" t="s">
        <v>19</v>
      </c>
      <c r="J48" s="4">
        <v>72672</v>
      </c>
      <c r="K48" s="4"/>
      <c r="L48" s="3" t="s">
        <v>20</v>
      </c>
      <c r="M48" s="6">
        <v>45948</v>
      </c>
      <c r="N48" s="3"/>
      <c r="O48" s="3"/>
      <c r="P48" s="3" t="s">
        <v>202</v>
      </c>
      <c r="Q48" s="3" t="s">
        <v>203</v>
      </c>
      <c r="R48" s="3">
        <v>14</v>
      </c>
      <c r="S48" s="3"/>
      <c r="T48" s="3">
        <v>0</v>
      </c>
      <c r="U48" s="3"/>
    </row>
    <row r="49" spans="1:21" s="2" customFormat="1" hidden="1">
      <c r="A49" s="3">
        <v>48</v>
      </c>
      <c r="B49" s="3" t="s">
        <v>2431</v>
      </c>
      <c r="C49" s="3" t="s">
        <v>16</v>
      </c>
      <c r="D49" s="3" t="s">
        <v>17</v>
      </c>
      <c r="E49" s="4">
        <v>55.6</v>
      </c>
      <c r="F49" s="3" t="s">
        <v>41</v>
      </c>
      <c r="G49" s="3" t="str">
        <f t="shared" si="0"/>
        <v>Litres</v>
      </c>
      <c r="H49" s="3">
        <v>640</v>
      </c>
      <c r="I49" s="3" t="s">
        <v>19</v>
      </c>
      <c r="J49" s="3">
        <v>51311</v>
      </c>
      <c r="K49" s="3"/>
      <c r="L49" s="3" t="s">
        <v>124</v>
      </c>
      <c r="M49" s="6">
        <v>46008</v>
      </c>
      <c r="N49" s="3"/>
      <c r="O49" s="3"/>
      <c r="P49" s="3" t="s">
        <v>206</v>
      </c>
      <c r="Q49" s="3" t="s">
        <v>127</v>
      </c>
      <c r="R49" s="3">
        <v>4</v>
      </c>
      <c r="S49" s="3"/>
      <c r="T49" s="3">
        <v>131.69999999999999</v>
      </c>
      <c r="U49" s="3"/>
    </row>
    <row r="50" spans="1:21" s="2" customFormat="1" hidden="1">
      <c r="A50" s="3">
        <v>49</v>
      </c>
      <c r="B50" s="3" t="s">
        <v>207</v>
      </c>
      <c r="C50" s="3" t="s">
        <v>32</v>
      </c>
      <c r="D50" s="3" t="s">
        <v>33</v>
      </c>
      <c r="E50" s="4">
        <v>56</v>
      </c>
      <c r="F50" s="3" t="s">
        <v>2643</v>
      </c>
      <c r="G50" s="3" t="str">
        <f t="shared" si="0"/>
        <v>Litres</v>
      </c>
      <c r="H50" s="5">
        <v>626</v>
      </c>
      <c r="I50" s="3" t="s">
        <v>19</v>
      </c>
      <c r="J50" s="4">
        <v>78247</v>
      </c>
      <c r="K50" s="4"/>
      <c r="L50" s="3" t="s">
        <v>20</v>
      </c>
      <c r="M50" s="6">
        <v>46021</v>
      </c>
      <c r="N50" s="6"/>
      <c r="O50" s="6"/>
      <c r="P50" s="3" t="s">
        <v>209</v>
      </c>
      <c r="Q50" s="3" t="s">
        <v>127</v>
      </c>
      <c r="R50" s="3">
        <v>13</v>
      </c>
      <c r="S50" s="3"/>
      <c r="T50" s="3">
        <v>171.3</v>
      </c>
      <c r="U50" s="3"/>
    </row>
    <row r="51" spans="1:21" s="2" customFormat="1" hidden="1">
      <c r="A51" s="3">
        <v>50</v>
      </c>
      <c r="B51" s="3" t="s">
        <v>210</v>
      </c>
      <c r="C51" s="3" t="s">
        <v>16</v>
      </c>
      <c r="D51" s="3" t="s">
        <v>61</v>
      </c>
      <c r="E51" s="4">
        <v>0</v>
      </c>
      <c r="F51" s="3" t="s">
        <v>41</v>
      </c>
      <c r="G51" s="3" t="str">
        <f t="shared" si="0"/>
        <v>Litres</v>
      </c>
      <c r="H51" s="5">
        <v>45</v>
      </c>
      <c r="I51" s="3" t="s">
        <v>19</v>
      </c>
      <c r="J51" s="4">
        <v>25126</v>
      </c>
      <c r="K51" s="4"/>
      <c r="L51" s="3" t="s">
        <v>20</v>
      </c>
      <c r="M51" s="6">
        <v>45978</v>
      </c>
      <c r="N51" s="6"/>
      <c r="O51" s="6"/>
      <c r="P51" s="3" t="s">
        <v>212</v>
      </c>
      <c r="Q51" s="3"/>
      <c r="R51" s="3">
        <v>1</v>
      </c>
      <c r="S51" s="3"/>
      <c r="T51" s="3">
        <v>0</v>
      </c>
      <c r="U51" s="3"/>
    </row>
    <row r="52" spans="1:21" s="2" customFormat="1" hidden="1">
      <c r="A52" s="3">
        <v>51</v>
      </c>
      <c r="B52" s="3" t="s">
        <v>213</v>
      </c>
      <c r="C52" s="3" t="s">
        <v>16</v>
      </c>
      <c r="D52" s="3" t="s">
        <v>114</v>
      </c>
      <c r="E52" s="4">
        <v>31.4</v>
      </c>
      <c r="F52" s="3" t="s">
        <v>56</v>
      </c>
      <c r="G52" s="3" t="str">
        <f t="shared" si="0"/>
        <v>Litres</v>
      </c>
      <c r="H52" s="3">
        <v>653</v>
      </c>
      <c r="I52" s="3" t="s">
        <v>19</v>
      </c>
      <c r="J52" s="3">
        <v>87024</v>
      </c>
      <c r="K52" s="3"/>
      <c r="L52" s="3" t="s">
        <v>124</v>
      </c>
      <c r="M52" s="6">
        <v>45686</v>
      </c>
      <c r="N52" s="3"/>
      <c r="O52" s="3"/>
      <c r="P52" s="3" t="s">
        <v>215</v>
      </c>
      <c r="Q52" s="3" t="s">
        <v>216</v>
      </c>
      <c r="R52" s="3">
        <v>10</v>
      </c>
      <c r="S52" s="3"/>
      <c r="T52" s="3">
        <v>74.8</v>
      </c>
      <c r="U52" s="3"/>
    </row>
    <row r="53" spans="1:21" s="2" customFormat="1" hidden="1">
      <c r="A53" s="3">
        <v>52</v>
      </c>
      <c r="B53" s="3" t="s">
        <v>217</v>
      </c>
      <c r="C53" s="3" t="s">
        <v>50</v>
      </c>
      <c r="D53" s="3" t="s">
        <v>61</v>
      </c>
      <c r="E53" s="4">
        <v>0</v>
      </c>
      <c r="F53" s="3" t="s">
        <v>62</v>
      </c>
      <c r="G53" s="3" t="str">
        <f t="shared" si="0"/>
        <v>kWh</v>
      </c>
      <c r="H53" s="3">
        <v>184</v>
      </c>
      <c r="I53" s="3" t="s">
        <v>19</v>
      </c>
      <c r="J53" s="3">
        <v>73663</v>
      </c>
      <c r="K53" s="3"/>
      <c r="L53" s="3" t="s">
        <v>124</v>
      </c>
      <c r="M53" s="6">
        <v>45794</v>
      </c>
      <c r="N53" s="6"/>
      <c r="O53" s="6"/>
      <c r="P53" s="3" t="s">
        <v>219</v>
      </c>
      <c r="Q53" s="3" t="s">
        <v>220</v>
      </c>
      <c r="R53" s="3">
        <v>8</v>
      </c>
      <c r="S53" s="3"/>
      <c r="T53" s="3">
        <v>0</v>
      </c>
      <c r="U53" s="3"/>
    </row>
    <row r="54" spans="1:21" s="2" customFormat="1" hidden="1">
      <c r="A54" s="3">
        <v>53</v>
      </c>
      <c r="B54" s="3" t="s">
        <v>221</v>
      </c>
      <c r="C54" s="3" t="s">
        <v>32</v>
      </c>
      <c r="D54" s="3" t="s">
        <v>17</v>
      </c>
      <c r="E54" s="4">
        <v>59.5</v>
      </c>
      <c r="F54" s="3" t="s">
        <v>62</v>
      </c>
      <c r="G54" s="3" t="str">
        <f t="shared" si="0"/>
        <v>kWh</v>
      </c>
      <c r="H54" s="5">
        <v>412</v>
      </c>
      <c r="I54" s="3" t="s">
        <v>19</v>
      </c>
      <c r="J54" s="4">
        <v>65390</v>
      </c>
      <c r="K54" s="4"/>
      <c r="L54" s="3" t="s">
        <v>20</v>
      </c>
      <c r="M54" s="6">
        <v>45673</v>
      </c>
      <c r="N54" s="6"/>
      <c r="O54" s="6"/>
      <c r="P54" s="3" t="s">
        <v>223</v>
      </c>
      <c r="Q54" s="3"/>
      <c r="R54" s="3">
        <v>6</v>
      </c>
      <c r="S54" s="3"/>
      <c r="T54" s="3">
        <v>177.7</v>
      </c>
      <c r="U54" s="3"/>
    </row>
    <row r="55" spans="1:21" s="2" customFormat="1" hidden="1">
      <c r="A55" s="3">
        <v>54</v>
      </c>
      <c r="B55" s="3" t="s">
        <v>224</v>
      </c>
      <c r="C55" s="3" t="s">
        <v>32</v>
      </c>
      <c r="D55" s="3" t="s">
        <v>61</v>
      </c>
      <c r="E55" s="4">
        <v>0</v>
      </c>
      <c r="F55" s="3" t="s">
        <v>62</v>
      </c>
      <c r="G55" s="3" t="str">
        <f t="shared" si="0"/>
        <v>kWh</v>
      </c>
      <c r="H55" s="5">
        <v>32</v>
      </c>
      <c r="I55" s="3" t="s">
        <v>19</v>
      </c>
      <c r="J55" s="4">
        <v>84232</v>
      </c>
      <c r="K55" s="4"/>
      <c r="L55" s="3" t="s">
        <v>20</v>
      </c>
      <c r="M55" s="6">
        <v>45845</v>
      </c>
      <c r="N55" s="6"/>
      <c r="O55" s="6"/>
      <c r="P55" s="3" t="s">
        <v>226</v>
      </c>
      <c r="Q55" s="3" t="s">
        <v>127</v>
      </c>
      <c r="R55" s="3">
        <v>9</v>
      </c>
      <c r="S55" s="3"/>
      <c r="T55" s="3">
        <v>0</v>
      </c>
      <c r="U55" s="3"/>
    </row>
    <row r="56" spans="1:21" s="2" customFormat="1" hidden="1">
      <c r="A56" s="3">
        <v>55</v>
      </c>
      <c r="B56" s="3" t="s">
        <v>227</v>
      </c>
      <c r="C56" s="3" t="s">
        <v>50</v>
      </c>
      <c r="D56" s="3" t="s">
        <v>17</v>
      </c>
      <c r="E56" s="4">
        <v>96.7</v>
      </c>
      <c r="F56" s="3" t="s">
        <v>26</v>
      </c>
      <c r="G56" s="3" t="str">
        <f t="shared" si="0"/>
        <v>Litres</v>
      </c>
      <c r="H56" s="5">
        <v>415</v>
      </c>
      <c r="I56" s="3" t="s">
        <v>19</v>
      </c>
      <c r="J56" s="4">
        <v>33915</v>
      </c>
      <c r="K56" s="4"/>
      <c r="L56" s="3" t="s">
        <v>20</v>
      </c>
      <c r="M56" s="6">
        <v>45717</v>
      </c>
      <c r="N56" s="6"/>
      <c r="O56" s="6"/>
      <c r="P56" s="3" t="s">
        <v>229</v>
      </c>
      <c r="Q56" s="3" t="s">
        <v>230</v>
      </c>
      <c r="R56" s="3">
        <v>7</v>
      </c>
      <c r="S56" s="3"/>
      <c r="T56" s="3">
        <v>286.89999999999998</v>
      </c>
      <c r="U56" s="3"/>
    </row>
    <row r="57" spans="1:21" s="2" customFormat="1" hidden="1">
      <c r="A57" s="3">
        <v>56</v>
      </c>
      <c r="B57" s="3" t="s">
        <v>231</v>
      </c>
      <c r="C57" s="3" t="s">
        <v>16</v>
      </c>
      <c r="D57" s="3" t="s">
        <v>114</v>
      </c>
      <c r="E57" s="4">
        <v>17</v>
      </c>
      <c r="F57" s="3" t="s">
        <v>41</v>
      </c>
      <c r="G57" s="3" t="str">
        <f t="shared" si="0"/>
        <v>Litres</v>
      </c>
      <c r="H57" s="5">
        <v>475</v>
      </c>
      <c r="I57" s="3" t="s">
        <v>19</v>
      </c>
      <c r="J57" s="4">
        <v>37557</v>
      </c>
      <c r="K57" s="4"/>
      <c r="L57" s="3" t="s">
        <v>20</v>
      </c>
      <c r="M57" s="6">
        <v>45525</v>
      </c>
      <c r="N57" s="3"/>
      <c r="O57" s="3"/>
      <c r="P57" s="3" t="s">
        <v>233</v>
      </c>
      <c r="Q57" s="3" t="s">
        <v>234</v>
      </c>
      <c r="R57" s="3">
        <v>14</v>
      </c>
      <c r="S57" s="3"/>
      <c r="T57" s="3">
        <v>38.799999999999997</v>
      </c>
      <c r="U57" s="3"/>
    </row>
    <row r="58" spans="1:21" s="2" customFormat="1" hidden="1">
      <c r="A58" s="3">
        <v>57</v>
      </c>
      <c r="B58" s="3" t="s">
        <v>2432</v>
      </c>
      <c r="C58" s="3" t="s">
        <v>39</v>
      </c>
      <c r="D58" s="3" t="s">
        <v>61</v>
      </c>
      <c r="E58" s="4">
        <v>0</v>
      </c>
      <c r="F58" s="3" t="s">
        <v>56</v>
      </c>
      <c r="G58" s="3" t="str">
        <f t="shared" si="0"/>
        <v>Litres</v>
      </c>
      <c r="H58" s="3">
        <v>82</v>
      </c>
      <c r="I58" s="3" t="s">
        <v>19</v>
      </c>
      <c r="J58" s="3">
        <v>26551</v>
      </c>
      <c r="K58" s="3"/>
      <c r="L58" s="3" t="s">
        <v>124</v>
      </c>
      <c r="M58" s="6">
        <v>45481</v>
      </c>
      <c r="N58" s="6"/>
      <c r="O58" s="6"/>
      <c r="P58" s="3" t="s">
        <v>237</v>
      </c>
      <c r="Q58" s="3" t="s">
        <v>238</v>
      </c>
      <c r="R58" s="3">
        <v>19</v>
      </c>
      <c r="S58" s="3"/>
      <c r="T58" s="3">
        <v>0</v>
      </c>
      <c r="U58" s="3"/>
    </row>
    <row r="59" spans="1:21" s="2" customFormat="1" hidden="1">
      <c r="A59" s="3">
        <v>58</v>
      </c>
      <c r="B59" s="3" t="s">
        <v>239</v>
      </c>
      <c r="C59" s="3" t="s">
        <v>50</v>
      </c>
      <c r="D59" s="3" t="s">
        <v>33</v>
      </c>
      <c r="E59" s="4">
        <v>8.1</v>
      </c>
      <c r="F59" s="3" t="s">
        <v>26</v>
      </c>
      <c r="G59" s="3" t="str">
        <f t="shared" si="0"/>
        <v>Litres</v>
      </c>
      <c r="H59" s="5">
        <v>131</v>
      </c>
      <c r="I59" s="3" t="s">
        <v>19</v>
      </c>
      <c r="J59" s="4">
        <v>4432</v>
      </c>
      <c r="K59" s="4"/>
      <c r="L59" s="3" t="s">
        <v>20</v>
      </c>
      <c r="M59" s="6">
        <v>45452</v>
      </c>
      <c r="N59" s="6"/>
      <c r="O59" s="6"/>
      <c r="P59" s="3" t="s">
        <v>241</v>
      </c>
      <c r="Q59" s="3" t="s">
        <v>127</v>
      </c>
      <c r="R59" s="3">
        <v>20</v>
      </c>
      <c r="S59" s="3"/>
      <c r="T59" s="3">
        <v>21.6</v>
      </c>
      <c r="U59" s="3"/>
    </row>
    <row r="60" spans="1:21" s="2" customFormat="1" hidden="1">
      <c r="A60" s="3">
        <v>59</v>
      </c>
      <c r="B60" s="3" t="s">
        <v>242</v>
      </c>
      <c r="C60" s="3" t="s">
        <v>16</v>
      </c>
      <c r="D60" s="3" t="s">
        <v>114</v>
      </c>
      <c r="E60" s="4">
        <v>38.700000000000003</v>
      </c>
      <c r="F60" s="3" t="s">
        <v>56</v>
      </c>
      <c r="G60" s="3" t="str">
        <f t="shared" si="0"/>
        <v>Litres</v>
      </c>
      <c r="H60" s="5">
        <v>85</v>
      </c>
      <c r="I60" s="3" t="s">
        <v>19</v>
      </c>
      <c r="J60" s="4">
        <v>36443</v>
      </c>
      <c r="K60" s="4"/>
      <c r="L60" s="3" t="s">
        <v>20</v>
      </c>
      <c r="M60" s="6">
        <v>45913</v>
      </c>
      <c r="N60" s="3"/>
      <c r="O60" s="3"/>
      <c r="P60" s="3" t="s">
        <v>244</v>
      </c>
      <c r="Q60" s="3"/>
      <c r="R60" s="3">
        <v>4</v>
      </c>
      <c r="S60" s="3"/>
      <c r="T60" s="3">
        <v>107.4</v>
      </c>
      <c r="U60" s="3"/>
    </row>
    <row r="61" spans="1:21" s="2" customFormat="1" hidden="1">
      <c r="A61" s="3">
        <v>60</v>
      </c>
      <c r="B61" s="3" t="s">
        <v>245</v>
      </c>
      <c r="C61" s="3" t="s">
        <v>39</v>
      </c>
      <c r="D61" s="3" t="s">
        <v>17</v>
      </c>
      <c r="E61" s="4">
        <v>83.3</v>
      </c>
      <c r="F61" s="3" t="s">
        <v>56</v>
      </c>
      <c r="G61" s="3" t="str">
        <f t="shared" si="0"/>
        <v>Litres</v>
      </c>
      <c r="H61" s="5">
        <v>272</v>
      </c>
      <c r="I61" s="3" t="s">
        <v>19</v>
      </c>
      <c r="J61" s="4">
        <v>60242</v>
      </c>
      <c r="K61" s="4"/>
      <c r="L61" s="3" t="s">
        <v>20</v>
      </c>
      <c r="M61" s="6">
        <v>46006</v>
      </c>
      <c r="N61" s="6"/>
      <c r="O61" s="6"/>
      <c r="P61" s="3" t="s">
        <v>247</v>
      </c>
      <c r="Q61" s="3" t="s">
        <v>248</v>
      </c>
      <c r="R61" s="3">
        <v>8</v>
      </c>
      <c r="S61" s="3"/>
      <c r="T61" s="3">
        <v>248.1</v>
      </c>
      <c r="U61" s="3"/>
    </row>
    <row r="62" spans="1:21" s="2" customFormat="1" hidden="1">
      <c r="A62" s="3">
        <v>61</v>
      </c>
      <c r="B62" s="3" t="s">
        <v>249</v>
      </c>
      <c r="C62" s="3" t="s">
        <v>39</v>
      </c>
      <c r="D62" s="3" t="s">
        <v>114</v>
      </c>
      <c r="E62" s="4">
        <v>66.099999999999994</v>
      </c>
      <c r="F62" s="3" t="s">
        <v>62</v>
      </c>
      <c r="G62" s="3" t="str">
        <f t="shared" si="0"/>
        <v>kWh</v>
      </c>
      <c r="H62" s="5">
        <v>350</v>
      </c>
      <c r="I62" s="3" t="s">
        <v>19</v>
      </c>
      <c r="J62" s="4">
        <v>10560</v>
      </c>
      <c r="K62" s="4"/>
      <c r="L62" s="3" t="s">
        <v>20</v>
      </c>
      <c r="M62" s="6">
        <v>45510</v>
      </c>
      <c r="N62" s="6"/>
      <c r="O62" s="6"/>
      <c r="P62" s="3" t="s">
        <v>251</v>
      </c>
      <c r="Q62" s="3"/>
      <c r="R62" s="3">
        <v>14</v>
      </c>
      <c r="S62" s="3"/>
      <c r="T62" s="3">
        <v>218.8</v>
      </c>
      <c r="U62" s="3"/>
    </row>
    <row r="63" spans="1:21" s="2" customFormat="1" hidden="1">
      <c r="A63" s="3">
        <v>62</v>
      </c>
      <c r="B63" s="3" t="s">
        <v>252</v>
      </c>
      <c r="C63" s="3" t="s">
        <v>32</v>
      </c>
      <c r="D63" s="3" t="s">
        <v>61</v>
      </c>
      <c r="E63" s="4">
        <v>0</v>
      </c>
      <c r="F63" s="3" t="s">
        <v>41</v>
      </c>
      <c r="G63" s="3" t="str">
        <f t="shared" si="0"/>
        <v>Litres</v>
      </c>
      <c r="H63" s="3">
        <v>620</v>
      </c>
      <c r="I63" s="3" t="s">
        <v>19</v>
      </c>
      <c r="J63" s="3">
        <v>80959</v>
      </c>
      <c r="K63" s="3"/>
      <c r="L63" s="3" t="s">
        <v>124</v>
      </c>
      <c r="M63" s="6">
        <v>45465</v>
      </c>
      <c r="N63" s="3"/>
      <c r="O63" s="3"/>
      <c r="P63" s="3" t="s">
        <v>254</v>
      </c>
      <c r="Q63" s="3" t="s">
        <v>127</v>
      </c>
      <c r="R63" s="3">
        <v>3</v>
      </c>
      <c r="S63" s="3"/>
      <c r="T63" s="3">
        <v>0</v>
      </c>
      <c r="U63" s="3"/>
    </row>
    <row r="64" spans="1:21" s="2" customFormat="1" hidden="1">
      <c r="A64" s="3">
        <v>63</v>
      </c>
      <c r="B64" s="3" t="s">
        <v>255</v>
      </c>
      <c r="C64" s="3" t="s">
        <v>32</v>
      </c>
      <c r="D64" s="3" t="s">
        <v>17</v>
      </c>
      <c r="E64" s="4">
        <v>15.7</v>
      </c>
      <c r="F64" s="3" t="s">
        <v>62</v>
      </c>
      <c r="G64" s="3" t="str">
        <f t="shared" si="0"/>
        <v>kWh</v>
      </c>
      <c r="H64" s="3">
        <v>355</v>
      </c>
      <c r="I64" s="3" t="s">
        <v>19</v>
      </c>
      <c r="J64" s="3">
        <v>99569</v>
      </c>
      <c r="K64" s="3"/>
      <c r="L64" s="3" t="s">
        <v>124</v>
      </c>
      <c r="M64" s="6">
        <v>45766</v>
      </c>
      <c r="N64" s="3"/>
      <c r="O64" s="3"/>
      <c r="P64" s="3" t="s">
        <v>257</v>
      </c>
      <c r="Q64" s="3"/>
      <c r="R64" s="3">
        <v>8</v>
      </c>
      <c r="S64" s="3"/>
      <c r="T64" s="3">
        <v>51.1</v>
      </c>
      <c r="U64" s="3"/>
    </row>
    <row r="65" spans="1:21" s="2" customFormat="1" hidden="1">
      <c r="A65" s="3">
        <v>64</v>
      </c>
      <c r="B65" s="3" t="s">
        <v>258</v>
      </c>
      <c r="C65" s="3" t="s">
        <v>50</v>
      </c>
      <c r="D65" s="3" t="s">
        <v>33</v>
      </c>
      <c r="E65" s="4">
        <v>39.5</v>
      </c>
      <c r="F65" s="3" t="s">
        <v>41</v>
      </c>
      <c r="G65" s="3" t="str">
        <f t="shared" si="0"/>
        <v>Litres</v>
      </c>
      <c r="H65" s="5">
        <v>101</v>
      </c>
      <c r="I65" s="3" t="s">
        <v>19</v>
      </c>
      <c r="J65" s="4">
        <v>95839</v>
      </c>
      <c r="K65" s="4"/>
      <c r="L65" s="3" t="s">
        <v>20</v>
      </c>
      <c r="M65" s="6">
        <v>45688</v>
      </c>
      <c r="N65" s="6"/>
      <c r="O65" s="6"/>
      <c r="P65" s="3" t="s">
        <v>260</v>
      </c>
      <c r="Q65" s="3" t="s">
        <v>127</v>
      </c>
      <c r="R65" s="3">
        <v>15</v>
      </c>
      <c r="S65" s="3"/>
      <c r="T65" s="3">
        <v>136.1</v>
      </c>
      <c r="U65" s="3"/>
    </row>
    <row r="66" spans="1:21" s="2" customFormat="1" hidden="1">
      <c r="A66" s="3">
        <v>65</v>
      </c>
      <c r="B66" s="3" t="s">
        <v>261</v>
      </c>
      <c r="C66" s="3" t="s">
        <v>39</v>
      </c>
      <c r="D66" s="3" t="s">
        <v>33</v>
      </c>
      <c r="E66" s="4">
        <v>15.6</v>
      </c>
      <c r="F66" s="3" t="s">
        <v>2643</v>
      </c>
      <c r="G66" s="3" t="str">
        <f t="shared" ref="G66:G129" si="17">IF(OR(F66="L",F66="ltrs",F66="liters"),"Litres",F66)</f>
        <v>Litres</v>
      </c>
      <c r="H66" s="5">
        <v>377</v>
      </c>
      <c r="I66" s="3" t="s">
        <v>19</v>
      </c>
      <c r="J66" s="4">
        <v>55766</v>
      </c>
      <c r="K66" s="4"/>
      <c r="L66" s="3" t="s">
        <v>20</v>
      </c>
      <c r="M66" s="6">
        <v>45736</v>
      </c>
      <c r="N66" s="6"/>
      <c r="O66" s="6"/>
      <c r="P66" s="3" t="s">
        <v>263</v>
      </c>
      <c r="Q66" s="3" t="s">
        <v>65</v>
      </c>
      <c r="R66" s="3">
        <v>16</v>
      </c>
      <c r="S66" s="3"/>
      <c r="T66" s="3">
        <v>48.5</v>
      </c>
      <c r="U66" s="3"/>
    </row>
    <row r="67" spans="1:21" s="2" customFormat="1" hidden="1">
      <c r="A67" s="3">
        <v>66</v>
      </c>
      <c r="B67" s="3" t="s">
        <v>264</v>
      </c>
      <c r="C67" s="3" t="s">
        <v>50</v>
      </c>
      <c r="D67" s="3" t="s">
        <v>17</v>
      </c>
      <c r="E67" s="4">
        <v>44.8</v>
      </c>
      <c r="F67" s="3" t="s">
        <v>41</v>
      </c>
      <c r="G67" s="3" t="str">
        <f t="shared" si="17"/>
        <v>Litres</v>
      </c>
      <c r="H67" s="3">
        <v>221</v>
      </c>
      <c r="I67" s="3" t="s">
        <v>19</v>
      </c>
      <c r="J67" s="3">
        <v>41825</v>
      </c>
      <c r="K67" s="3"/>
      <c r="L67" s="3" t="s">
        <v>124</v>
      </c>
      <c r="M67" s="6">
        <v>45852</v>
      </c>
      <c r="N67" s="6"/>
      <c r="O67" s="6"/>
      <c r="P67" s="3" t="s">
        <v>266</v>
      </c>
      <c r="Q67" s="3"/>
      <c r="R67" s="3">
        <v>19</v>
      </c>
      <c r="S67" s="3"/>
      <c r="T67" s="3">
        <v>155.6</v>
      </c>
      <c r="U67" s="3"/>
    </row>
    <row r="68" spans="1:21" s="2" customFormat="1" hidden="1">
      <c r="A68" s="3">
        <v>67</v>
      </c>
      <c r="B68" s="3" t="s">
        <v>267</v>
      </c>
      <c r="C68" s="3" t="s">
        <v>50</v>
      </c>
      <c r="D68" s="3" t="s">
        <v>114</v>
      </c>
      <c r="E68" s="4">
        <v>30.1</v>
      </c>
      <c r="F68" s="3" t="s">
        <v>26</v>
      </c>
      <c r="G68" s="3" t="str">
        <f t="shared" si="17"/>
        <v>Litres</v>
      </c>
      <c r="H68" s="3">
        <v>364</v>
      </c>
      <c r="I68" s="3" t="s">
        <v>19</v>
      </c>
      <c r="J68" s="3">
        <v>29751</v>
      </c>
      <c r="K68" s="3"/>
      <c r="L68" s="3" t="s">
        <v>124</v>
      </c>
      <c r="M68" s="6">
        <v>45642</v>
      </c>
      <c r="N68" s="6"/>
      <c r="O68" s="6"/>
      <c r="P68" s="3" t="s">
        <v>269</v>
      </c>
      <c r="Q68" s="3"/>
      <c r="R68" s="3">
        <v>10</v>
      </c>
      <c r="S68" s="3"/>
      <c r="T68" s="3">
        <v>67.5</v>
      </c>
      <c r="U68" s="3"/>
    </row>
    <row r="69" spans="1:21" s="2" customFormat="1" hidden="1">
      <c r="A69" s="3">
        <v>68</v>
      </c>
      <c r="B69" s="3" t="s">
        <v>270</v>
      </c>
      <c r="C69" s="3" t="s">
        <v>50</v>
      </c>
      <c r="D69" s="3" t="s">
        <v>17</v>
      </c>
      <c r="E69" s="4">
        <v>80.2</v>
      </c>
      <c r="F69" s="3" t="s">
        <v>62</v>
      </c>
      <c r="G69" s="3" t="str">
        <f t="shared" si="17"/>
        <v>kWh</v>
      </c>
      <c r="H69" s="3">
        <v>272</v>
      </c>
      <c r="I69" s="3" t="s">
        <v>19</v>
      </c>
      <c r="J69" s="3">
        <v>9064</v>
      </c>
      <c r="K69" s="3"/>
      <c r="L69" s="3" t="s">
        <v>124</v>
      </c>
      <c r="M69" s="6">
        <v>45696</v>
      </c>
      <c r="N69" s="6"/>
      <c r="O69" s="6"/>
      <c r="P69" s="3" t="s">
        <v>272</v>
      </c>
      <c r="Q69" s="3" t="s">
        <v>273</v>
      </c>
      <c r="R69" s="3">
        <v>3</v>
      </c>
      <c r="S69" s="3"/>
      <c r="T69" s="3">
        <v>277.2</v>
      </c>
      <c r="U69" s="3"/>
    </row>
    <row r="70" spans="1:21" s="2" customFormat="1" hidden="1">
      <c r="A70" s="3">
        <v>69</v>
      </c>
      <c r="B70" s="3" t="s">
        <v>2433</v>
      </c>
      <c r="C70" s="3" t="s">
        <v>50</v>
      </c>
      <c r="D70" s="3" t="s">
        <v>33</v>
      </c>
      <c r="E70" s="4">
        <v>55</v>
      </c>
      <c r="F70" s="3" t="s">
        <v>26</v>
      </c>
      <c r="G70" s="3" t="str">
        <f t="shared" si="17"/>
        <v>Litres</v>
      </c>
      <c r="H70" s="3">
        <v>380</v>
      </c>
      <c r="I70" s="3" t="s">
        <v>19</v>
      </c>
      <c r="J70" s="3">
        <v>67328</v>
      </c>
      <c r="K70" s="3"/>
      <c r="L70" s="3" t="s">
        <v>124</v>
      </c>
      <c r="M70" s="6">
        <v>45592</v>
      </c>
      <c r="N70" s="6"/>
      <c r="O70" s="6"/>
      <c r="P70" s="3" t="s">
        <v>276</v>
      </c>
      <c r="Q70" s="3"/>
      <c r="R70" s="3">
        <v>14</v>
      </c>
      <c r="S70" s="3"/>
      <c r="T70" s="3">
        <v>177.4</v>
      </c>
      <c r="U70" s="3"/>
    </row>
    <row r="71" spans="1:21" s="2" customFormat="1" hidden="1">
      <c r="A71" s="3">
        <v>70</v>
      </c>
      <c r="B71" s="3" t="s">
        <v>277</v>
      </c>
      <c r="C71" s="3" t="s">
        <v>39</v>
      </c>
      <c r="D71" s="3" t="s">
        <v>17</v>
      </c>
      <c r="E71" s="4">
        <v>76.2</v>
      </c>
      <c r="F71" s="3" t="s">
        <v>2643</v>
      </c>
      <c r="G71" s="3" t="str">
        <f t="shared" si="17"/>
        <v>Litres</v>
      </c>
      <c r="H71" s="3">
        <v>164</v>
      </c>
      <c r="I71" s="3" t="s">
        <v>19</v>
      </c>
      <c r="J71" s="3">
        <v>86511</v>
      </c>
      <c r="K71" s="3"/>
      <c r="L71" s="3" t="s">
        <v>124</v>
      </c>
      <c r="M71" s="6">
        <v>45340</v>
      </c>
      <c r="N71" s="6"/>
      <c r="O71" s="6"/>
      <c r="P71" s="3" t="s">
        <v>279</v>
      </c>
      <c r="Q71" s="3" t="s">
        <v>127</v>
      </c>
      <c r="R71" s="3">
        <v>17</v>
      </c>
      <c r="S71" s="3"/>
      <c r="T71" s="3">
        <v>199.6</v>
      </c>
      <c r="U71" s="3"/>
    </row>
    <row r="72" spans="1:21" s="2" customFormat="1" hidden="1">
      <c r="A72" s="3">
        <v>71</v>
      </c>
      <c r="B72" s="3" t="s">
        <v>280</v>
      </c>
      <c r="C72" s="3" t="s">
        <v>39</v>
      </c>
      <c r="D72" s="3" t="s">
        <v>33</v>
      </c>
      <c r="E72" s="4">
        <v>49.8</v>
      </c>
      <c r="F72" s="3" t="s">
        <v>62</v>
      </c>
      <c r="G72" s="3" t="str">
        <f t="shared" si="17"/>
        <v>kWh</v>
      </c>
      <c r="H72" s="5">
        <v>679</v>
      </c>
      <c r="I72" s="3" t="s">
        <v>19</v>
      </c>
      <c r="J72" s="4">
        <v>88767</v>
      </c>
      <c r="K72" s="4"/>
      <c r="L72" s="3" t="s">
        <v>20</v>
      </c>
      <c r="M72" s="6">
        <v>45736</v>
      </c>
      <c r="N72" s="3"/>
      <c r="O72" s="3"/>
      <c r="P72" s="3" t="s">
        <v>282</v>
      </c>
      <c r="Q72" s="3" t="s">
        <v>283</v>
      </c>
      <c r="R72" s="3">
        <v>13</v>
      </c>
      <c r="S72" s="3"/>
      <c r="T72" s="3">
        <v>106.7</v>
      </c>
      <c r="U72" s="3"/>
    </row>
    <row r="73" spans="1:21" s="2" customFormat="1" hidden="1">
      <c r="A73" s="3">
        <v>72</v>
      </c>
      <c r="B73" s="3" t="s">
        <v>284</v>
      </c>
      <c r="C73" s="3" t="s">
        <v>16</v>
      </c>
      <c r="D73" s="3" t="s">
        <v>33</v>
      </c>
      <c r="E73" s="4">
        <v>66.3</v>
      </c>
      <c r="F73" s="3" t="s">
        <v>26</v>
      </c>
      <c r="G73" s="3" t="str">
        <f t="shared" si="17"/>
        <v>Litres</v>
      </c>
      <c r="H73" s="5">
        <v>310</v>
      </c>
      <c r="I73" s="3" t="s">
        <v>19</v>
      </c>
      <c r="J73" s="4">
        <v>64246</v>
      </c>
      <c r="K73" s="4"/>
      <c r="L73" s="3" t="s">
        <v>20</v>
      </c>
      <c r="M73" s="6">
        <v>45416</v>
      </c>
      <c r="N73" s="6"/>
      <c r="O73" s="6"/>
      <c r="P73" s="3" t="s">
        <v>286</v>
      </c>
      <c r="Q73" s="3" t="s">
        <v>287</v>
      </c>
      <c r="R73" s="3">
        <v>12</v>
      </c>
      <c r="S73" s="3"/>
      <c r="T73" s="3">
        <v>194.3</v>
      </c>
      <c r="U73" s="3"/>
    </row>
    <row r="74" spans="1:21" s="2" customFormat="1" hidden="1">
      <c r="A74" s="3">
        <v>73</v>
      </c>
      <c r="B74" s="3" t="s">
        <v>2434</v>
      </c>
      <c r="C74" s="3" t="s">
        <v>39</v>
      </c>
      <c r="D74" s="3" t="s">
        <v>17</v>
      </c>
      <c r="E74" s="4">
        <v>84.7</v>
      </c>
      <c r="F74" s="3" t="s">
        <v>56</v>
      </c>
      <c r="G74" s="3" t="str">
        <f t="shared" si="17"/>
        <v>Litres</v>
      </c>
      <c r="H74" s="3">
        <v>593</v>
      </c>
      <c r="I74" s="3" t="s">
        <v>19</v>
      </c>
      <c r="J74" s="3">
        <v>42538</v>
      </c>
      <c r="K74" s="3"/>
      <c r="L74" s="3" t="s">
        <v>124</v>
      </c>
      <c r="M74" s="6">
        <v>45435</v>
      </c>
      <c r="N74" s="3"/>
      <c r="O74" s="3"/>
      <c r="P74" s="3" t="s">
        <v>290</v>
      </c>
      <c r="Q74" s="3" t="s">
        <v>291</v>
      </c>
      <c r="R74" s="3">
        <v>11</v>
      </c>
      <c r="S74" s="3"/>
      <c r="T74" s="3">
        <v>242.5</v>
      </c>
      <c r="U74" s="3"/>
    </row>
    <row r="75" spans="1:21" s="2" customFormat="1" hidden="1">
      <c r="A75" s="3">
        <v>74</v>
      </c>
      <c r="B75" s="3" t="s">
        <v>2435</v>
      </c>
      <c r="C75" s="3" t="s">
        <v>50</v>
      </c>
      <c r="D75" s="3" t="s">
        <v>17</v>
      </c>
      <c r="E75" s="4">
        <v>62.2</v>
      </c>
      <c r="F75" s="3" t="s">
        <v>2643</v>
      </c>
      <c r="G75" s="3" t="str">
        <f t="shared" si="17"/>
        <v>Litres</v>
      </c>
      <c r="H75" s="3">
        <v>407</v>
      </c>
      <c r="I75" s="3" t="s">
        <v>19</v>
      </c>
      <c r="J75" s="3">
        <v>36492</v>
      </c>
      <c r="K75" s="3"/>
      <c r="L75" s="3" t="s">
        <v>124</v>
      </c>
      <c r="M75" s="6">
        <v>45432</v>
      </c>
      <c r="N75" s="6"/>
      <c r="O75" s="6"/>
      <c r="P75" s="3" t="s">
        <v>294</v>
      </c>
      <c r="Q75" s="3" t="s">
        <v>127</v>
      </c>
      <c r="R75" s="3">
        <v>6</v>
      </c>
      <c r="S75" s="3"/>
      <c r="T75" s="3">
        <v>203.7</v>
      </c>
      <c r="U75" s="3"/>
    </row>
    <row r="76" spans="1:21" s="2" customFormat="1" hidden="1">
      <c r="A76" s="3">
        <v>75</v>
      </c>
      <c r="B76" s="3" t="s">
        <v>295</v>
      </c>
      <c r="C76" s="3" t="s">
        <v>39</v>
      </c>
      <c r="D76" s="3" t="s">
        <v>33</v>
      </c>
      <c r="E76" s="4">
        <v>22.3</v>
      </c>
      <c r="F76" s="3" t="s">
        <v>56</v>
      </c>
      <c r="G76" s="3" t="str">
        <f t="shared" si="17"/>
        <v>Litres</v>
      </c>
      <c r="H76" s="3">
        <v>641</v>
      </c>
      <c r="I76" s="3" t="s">
        <v>19</v>
      </c>
      <c r="J76" s="3">
        <v>41020</v>
      </c>
      <c r="K76" s="3"/>
      <c r="L76" s="3" t="s">
        <v>124</v>
      </c>
      <c r="M76" s="6">
        <v>45753</v>
      </c>
      <c r="N76" s="6"/>
      <c r="O76" s="6"/>
      <c r="P76" s="3" t="s">
        <v>297</v>
      </c>
      <c r="Q76" s="3" t="s">
        <v>298</v>
      </c>
      <c r="R76" s="3">
        <v>8</v>
      </c>
      <c r="S76" s="3"/>
      <c r="T76" s="3">
        <v>51.8</v>
      </c>
      <c r="U76" s="3"/>
    </row>
    <row r="77" spans="1:21" s="2" customFormat="1" hidden="1">
      <c r="A77" s="3">
        <v>76</v>
      </c>
      <c r="B77" s="3" t="s">
        <v>299</v>
      </c>
      <c r="C77" s="3" t="s">
        <v>50</v>
      </c>
      <c r="D77" s="3" t="s">
        <v>114</v>
      </c>
      <c r="E77" s="4">
        <v>9.1999999999999993</v>
      </c>
      <c r="F77" s="3" t="s">
        <v>62</v>
      </c>
      <c r="G77" s="3" t="str">
        <f t="shared" si="17"/>
        <v>kWh</v>
      </c>
      <c r="H77" s="3">
        <v>420</v>
      </c>
      <c r="I77" s="3" t="s">
        <v>19</v>
      </c>
      <c r="J77" s="3">
        <v>75583</v>
      </c>
      <c r="K77" s="3"/>
      <c r="L77" s="3" t="s">
        <v>124</v>
      </c>
      <c r="M77" s="6">
        <v>45526</v>
      </c>
      <c r="N77" s="3"/>
      <c r="O77" s="3"/>
      <c r="P77" s="3" t="s">
        <v>301</v>
      </c>
      <c r="Q77" s="3" t="s">
        <v>302</v>
      </c>
      <c r="R77" s="3">
        <v>8</v>
      </c>
      <c r="S77" s="3"/>
      <c r="T77" s="3">
        <v>31.1</v>
      </c>
      <c r="U77" s="3"/>
    </row>
    <row r="78" spans="1:21" s="2" customFormat="1" hidden="1">
      <c r="A78" s="3">
        <v>77</v>
      </c>
      <c r="B78" s="3" t="s">
        <v>303</v>
      </c>
      <c r="C78" s="3" t="s">
        <v>32</v>
      </c>
      <c r="D78" s="3" t="s">
        <v>17</v>
      </c>
      <c r="E78" s="4">
        <v>15.4</v>
      </c>
      <c r="F78" s="3" t="s">
        <v>56</v>
      </c>
      <c r="G78" s="3" t="str">
        <f t="shared" si="17"/>
        <v>Litres</v>
      </c>
      <c r="H78" s="5">
        <v>101</v>
      </c>
      <c r="I78" s="3" t="s">
        <v>19</v>
      </c>
      <c r="J78" s="4">
        <v>15442</v>
      </c>
      <c r="K78" s="4"/>
      <c r="L78" s="3" t="s">
        <v>20</v>
      </c>
      <c r="M78" s="6">
        <v>45778</v>
      </c>
      <c r="N78" s="6"/>
      <c r="O78" s="6"/>
      <c r="P78" s="3" t="s">
        <v>305</v>
      </c>
      <c r="Q78" s="3" t="s">
        <v>127</v>
      </c>
      <c r="R78" s="3">
        <v>19</v>
      </c>
      <c r="S78" s="3"/>
      <c r="T78" s="3">
        <v>36.6</v>
      </c>
      <c r="U78" s="3"/>
    </row>
    <row r="79" spans="1:21" s="2" customFormat="1" hidden="1">
      <c r="A79" s="3">
        <v>78</v>
      </c>
      <c r="B79" s="3" t="s">
        <v>306</v>
      </c>
      <c r="C79" s="3" t="s">
        <v>32</v>
      </c>
      <c r="D79" s="3" t="s">
        <v>61</v>
      </c>
      <c r="E79" s="4">
        <v>0</v>
      </c>
      <c r="F79" s="3" t="s">
        <v>26</v>
      </c>
      <c r="G79" s="3" t="str">
        <f t="shared" si="17"/>
        <v>Litres</v>
      </c>
      <c r="H79" s="3">
        <v>524</v>
      </c>
      <c r="I79" s="3" t="s">
        <v>19</v>
      </c>
      <c r="J79" s="3">
        <v>60356</v>
      </c>
      <c r="K79" s="3"/>
      <c r="L79" s="3" t="s">
        <v>124</v>
      </c>
      <c r="M79" s="6">
        <v>45436</v>
      </c>
      <c r="N79" s="3"/>
      <c r="O79" s="3"/>
      <c r="P79" s="3" t="s">
        <v>308</v>
      </c>
      <c r="Q79" s="3" t="s">
        <v>127</v>
      </c>
      <c r="R79" s="3">
        <v>18</v>
      </c>
      <c r="S79" s="3"/>
      <c r="T79" s="3">
        <v>0</v>
      </c>
      <c r="U79" s="3"/>
    </row>
    <row r="80" spans="1:21" s="2" customFormat="1" hidden="1">
      <c r="A80" s="3">
        <v>79</v>
      </c>
      <c r="B80" s="3" t="s">
        <v>309</v>
      </c>
      <c r="C80" s="3" t="s">
        <v>39</v>
      </c>
      <c r="D80" s="3" t="s">
        <v>114</v>
      </c>
      <c r="E80" s="4">
        <v>58.1</v>
      </c>
      <c r="F80" s="3" t="s">
        <v>41</v>
      </c>
      <c r="G80" s="3" t="str">
        <f t="shared" si="17"/>
        <v>Litres</v>
      </c>
      <c r="H80" s="3">
        <v>453</v>
      </c>
      <c r="I80" s="3" t="s">
        <v>19</v>
      </c>
      <c r="J80" s="3">
        <v>32101</v>
      </c>
      <c r="K80" s="3"/>
      <c r="L80" s="3" t="s">
        <v>124</v>
      </c>
      <c r="M80" s="6">
        <v>45402</v>
      </c>
      <c r="N80" s="3"/>
      <c r="O80" s="3"/>
      <c r="P80" s="3" t="s">
        <v>311</v>
      </c>
      <c r="Q80" s="3" t="s">
        <v>312</v>
      </c>
      <c r="R80" s="3">
        <v>1</v>
      </c>
      <c r="S80" s="3"/>
      <c r="T80" s="3">
        <v>142.19999999999999</v>
      </c>
      <c r="U80" s="3"/>
    </row>
    <row r="81" spans="1:21" s="2" customFormat="1" hidden="1">
      <c r="A81" s="3">
        <v>80</v>
      </c>
      <c r="B81" s="3" t="s">
        <v>313</v>
      </c>
      <c r="C81" s="3" t="s">
        <v>32</v>
      </c>
      <c r="D81" s="3" t="s">
        <v>17</v>
      </c>
      <c r="E81" s="4">
        <v>57.7</v>
      </c>
      <c r="F81" s="3" t="s">
        <v>41</v>
      </c>
      <c r="G81" s="3" t="str">
        <f t="shared" si="17"/>
        <v>Litres</v>
      </c>
      <c r="H81" s="5">
        <v>277</v>
      </c>
      <c r="I81" s="3" t="s">
        <v>19</v>
      </c>
      <c r="J81" s="4">
        <v>40804</v>
      </c>
      <c r="K81" s="4"/>
      <c r="L81" s="3" t="s">
        <v>20</v>
      </c>
      <c r="M81" s="6">
        <v>45986</v>
      </c>
      <c r="N81" s="3"/>
      <c r="O81" s="3"/>
      <c r="P81" s="3" t="s">
        <v>315</v>
      </c>
      <c r="Q81" s="3" t="s">
        <v>316</v>
      </c>
      <c r="R81" s="3">
        <v>15</v>
      </c>
      <c r="S81" s="3"/>
      <c r="T81" s="3">
        <v>192.9</v>
      </c>
      <c r="U81" s="3"/>
    </row>
    <row r="82" spans="1:21" s="2" customFormat="1" hidden="1">
      <c r="A82" s="3">
        <v>81</v>
      </c>
      <c r="B82" s="3" t="s">
        <v>317</v>
      </c>
      <c r="C82" s="3" t="s">
        <v>32</v>
      </c>
      <c r="D82" s="3" t="s">
        <v>33</v>
      </c>
      <c r="E82" s="4">
        <v>48.5</v>
      </c>
      <c r="F82" s="3" t="s">
        <v>56</v>
      </c>
      <c r="G82" s="3" t="str">
        <f t="shared" si="17"/>
        <v>Litres</v>
      </c>
      <c r="H82" s="3">
        <v>697</v>
      </c>
      <c r="I82" s="3" t="s">
        <v>19</v>
      </c>
      <c r="J82" s="3">
        <v>85777</v>
      </c>
      <c r="K82" s="3"/>
      <c r="L82" s="3" t="s">
        <v>124</v>
      </c>
      <c r="M82" s="6">
        <v>45882</v>
      </c>
      <c r="N82" s="6"/>
      <c r="O82" s="6"/>
      <c r="P82" s="3" t="s">
        <v>319</v>
      </c>
      <c r="Q82" s="3" t="s">
        <v>320</v>
      </c>
      <c r="R82" s="3">
        <v>3</v>
      </c>
      <c r="S82" s="3"/>
      <c r="T82" s="3">
        <v>135.30000000000001</v>
      </c>
      <c r="U82" s="3"/>
    </row>
    <row r="83" spans="1:21" s="2" customFormat="1" hidden="1">
      <c r="A83" s="3">
        <v>82</v>
      </c>
      <c r="B83" s="3" t="s">
        <v>321</v>
      </c>
      <c r="C83" s="3" t="s">
        <v>16</v>
      </c>
      <c r="D83" s="3" t="s">
        <v>17</v>
      </c>
      <c r="E83" s="4">
        <v>89</v>
      </c>
      <c r="F83" s="3" t="s">
        <v>2643</v>
      </c>
      <c r="G83" s="3" t="str">
        <f t="shared" si="17"/>
        <v>Litres</v>
      </c>
      <c r="H83" s="3">
        <v>49</v>
      </c>
      <c r="I83" s="3" t="s">
        <v>19</v>
      </c>
      <c r="J83" s="3">
        <v>7763</v>
      </c>
      <c r="K83" s="3"/>
      <c r="L83" s="3" t="s">
        <v>124</v>
      </c>
      <c r="M83" s="6">
        <v>45508</v>
      </c>
      <c r="N83" s="6"/>
      <c r="O83" s="6"/>
      <c r="P83" s="3" t="s">
        <v>323</v>
      </c>
      <c r="Q83" s="3" t="s">
        <v>127</v>
      </c>
      <c r="R83" s="3">
        <v>18</v>
      </c>
      <c r="S83" s="3"/>
      <c r="T83" s="3">
        <v>252.1</v>
      </c>
      <c r="U83" s="3"/>
    </row>
    <row r="84" spans="1:21" s="2" customFormat="1" hidden="1">
      <c r="A84" s="3">
        <v>83</v>
      </c>
      <c r="B84" s="3" t="s">
        <v>324</v>
      </c>
      <c r="C84" s="3" t="s">
        <v>50</v>
      </c>
      <c r="D84" s="3" t="s">
        <v>33</v>
      </c>
      <c r="E84" s="4">
        <v>59.7</v>
      </c>
      <c r="F84" s="3" t="s">
        <v>62</v>
      </c>
      <c r="G84" s="3" t="str">
        <f t="shared" si="17"/>
        <v>kWh</v>
      </c>
      <c r="H84" s="5">
        <v>665</v>
      </c>
      <c r="I84" s="3" t="s">
        <v>19</v>
      </c>
      <c r="J84" s="4">
        <v>49494</v>
      </c>
      <c r="K84" s="4"/>
      <c r="L84" s="3" t="s">
        <v>20</v>
      </c>
      <c r="M84" s="6">
        <v>45970</v>
      </c>
      <c r="N84" s="6"/>
      <c r="O84" s="6"/>
      <c r="P84" s="3" t="s">
        <v>326</v>
      </c>
      <c r="Q84" s="3" t="s">
        <v>327</v>
      </c>
      <c r="R84" s="3">
        <v>13</v>
      </c>
      <c r="S84" s="3"/>
      <c r="T84" s="3">
        <v>141.1</v>
      </c>
      <c r="U84" s="3"/>
    </row>
    <row r="85" spans="1:21" s="2" customFormat="1" hidden="1">
      <c r="A85" s="3">
        <v>84</v>
      </c>
      <c r="B85" s="3" t="s">
        <v>328</v>
      </c>
      <c r="C85" s="3" t="s">
        <v>50</v>
      </c>
      <c r="D85" s="3" t="s">
        <v>17</v>
      </c>
      <c r="E85" s="4">
        <v>27.4</v>
      </c>
      <c r="F85" s="3" t="s">
        <v>26</v>
      </c>
      <c r="G85" s="3" t="str">
        <f t="shared" si="17"/>
        <v>Litres</v>
      </c>
      <c r="H85" s="5">
        <v>199</v>
      </c>
      <c r="I85" s="3" t="s">
        <v>19</v>
      </c>
      <c r="J85" s="4">
        <v>83922</v>
      </c>
      <c r="K85" s="4"/>
      <c r="L85" s="3" t="s">
        <v>20</v>
      </c>
      <c r="M85" s="6">
        <v>45468</v>
      </c>
      <c r="N85" s="6"/>
      <c r="O85" s="6"/>
      <c r="P85" s="3" t="s">
        <v>330</v>
      </c>
      <c r="Q85" s="3" t="s">
        <v>127</v>
      </c>
      <c r="R85" s="3">
        <v>6</v>
      </c>
      <c r="S85" s="3"/>
      <c r="T85" s="3">
        <v>73.5</v>
      </c>
      <c r="U85" s="3"/>
    </row>
    <row r="86" spans="1:21" s="2" customFormat="1" hidden="1">
      <c r="A86" s="3">
        <v>85</v>
      </c>
      <c r="B86" s="3" t="s">
        <v>331</v>
      </c>
      <c r="C86" s="3" t="s">
        <v>50</v>
      </c>
      <c r="D86" s="3" t="s">
        <v>33</v>
      </c>
      <c r="E86" s="4">
        <v>57.9</v>
      </c>
      <c r="F86" s="3" t="s">
        <v>56</v>
      </c>
      <c r="G86" s="3" t="str">
        <f t="shared" si="17"/>
        <v>Litres</v>
      </c>
      <c r="H86" s="3">
        <v>207</v>
      </c>
      <c r="I86" s="3" t="s">
        <v>19</v>
      </c>
      <c r="J86" s="3">
        <v>79078</v>
      </c>
      <c r="K86" s="3"/>
      <c r="L86" s="3" t="s">
        <v>124</v>
      </c>
      <c r="M86" s="6">
        <v>45954</v>
      </c>
      <c r="N86" s="3"/>
      <c r="O86" s="3"/>
      <c r="P86" s="3" t="s">
        <v>333</v>
      </c>
      <c r="Q86" s="3"/>
      <c r="R86" s="3">
        <v>19</v>
      </c>
      <c r="S86" s="3"/>
      <c r="T86" s="3">
        <v>142.4</v>
      </c>
      <c r="U86" s="3"/>
    </row>
    <row r="87" spans="1:21" s="2" customFormat="1" hidden="1">
      <c r="A87" s="3">
        <v>86</v>
      </c>
      <c r="B87" s="3" t="s">
        <v>334</v>
      </c>
      <c r="C87" s="3" t="s">
        <v>32</v>
      </c>
      <c r="D87" s="3" t="s">
        <v>114</v>
      </c>
      <c r="E87" s="4">
        <v>23.5</v>
      </c>
      <c r="F87" s="3" t="s">
        <v>2643</v>
      </c>
      <c r="G87" s="3" t="str">
        <f t="shared" si="17"/>
        <v>Litres</v>
      </c>
      <c r="H87" s="3">
        <v>303</v>
      </c>
      <c r="I87" s="3" t="s">
        <v>19</v>
      </c>
      <c r="J87" s="3">
        <v>30513</v>
      </c>
      <c r="K87" s="3"/>
      <c r="L87" s="3" t="s">
        <v>124</v>
      </c>
      <c r="M87" s="6">
        <v>45508</v>
      </c>
      <c r="N87" s="6"/>
      <c r="O87" s="6"/>
      <c r="P87" s="3" t="s">
        <v>336</v>
      </c>
      <c r="Q87" s="3" t="s">
        <v>337</v>
      </c>
      <c r="R87" s="3">
        <v>12</v>
      </c>
      <c r="S87" s="3"/>
      <c r="T87" s="3">
        <v>81.5</v>
      </c>
      <c r="U87" s="3"/>
    </row>
    <row r="88" spans="1:21" s="2" customFormat="1" hidden="1">
      <c r="A88" s="3">
        <v>87</v>
      </c>
      <c r="B88" s="3" t="s">
        <v>338</v>
      </c>
      <c r="C88" s="3" t="s">
        <v>32</v>
      </c>
      <c r="D88" s="3" t="s">
        <v>33</v>
      </c>
      <c r="E88" s="4">
        <v>68.3</v>
      </c>
      <c r="F88" s="3" t="s">
        <v>2643</v>
      </c>
      <c r="G88" s="3" t="str">
        <f t="shared" si="17"/>
        <v>Litres</v>
      </c>
      <c r="H88" s="5">
        <v>563</v>
      </c>
      <c r="I88" s="3" t="s">
        <v>19</v>
      </c>
      <c r="J88" s="4">
        <v>3012</v>
      </c>
      <c r="K88" s="4"/>
      <c r="L88" s="3" t="s">
        <v>20</v>
      </c>
      <c r="M88" s="6">
        <v>46266</v>
      </c>
      <c r="N88" s="6"/>
      <c r="O88" s="6"/>
      <c r="P88" s="3" t="s">
        <v>340</v>
      </c>
      <c r="Q88" s="3"/>
      <c r="R88" s="3">
        <v>3</v>
      </c>
      <c r="S88" s="3"/>
      <c r="T88" s="3">
        <v>165.5</v>
      </c>
      <c r="U88" s="3"/>
    </row>
    <row r="89" spans="1:21" s="2" customFormat="1" hidden="1">
      <c r="A89" s="3">
        <v>88</v>
      </c>
      <c r="B89" s="3" t="s">
        <v>341</v>
      </c>
      <c r="C89" s="3" t="s">
        <v>32</v>
      </c>
      <c r="D89" s="3" t="s">
        <v>17</v>
      </c>
      <c r="E89" s="4">
        <v>65.3</v>
      </c>
      <c r="F89" s="3" t="s">
        <v>2643</v>
      </c>
      <c r="G89" s="3" t="str">
        <f t="shared" si="17"/>
        <v>Litres</v>
      </c>
      <c r="H89" s="5">
        <v>110</v>
      </c>
      <c r="I89" s="3" t="s">
        <v>19</v>
      </c>
      <c r="J89" s="4">
        <v>71218</v>
      </c>
      <c r="K89" s="4"/>
      <c r="L89" s="3" t="s">
        <v>20</v>
      </c>
      <c r="M89" s="6">
        <v>45515</v>
      </c>
      <c r="N89" s="6"/>
      <c r="O89" s="6"/>
      <c r="P89" s="3" t="s">
        <v>343</v>
      </c>
      <c r="Q89" s="3" t="s">
        <v>344</v>
      </c>
      <c r="R89" s="3">
        <v>10</v>
      </c>
      <c r="S89" s="3"/>
      <c r="T89" s="3">
        <v>198.9</v>
      </c>
      <c r="U89" s="3"/>
    </row>
    <row r="90" spans="1:21" s="2" customFormat="1" hidden="1">
      <c r="A90" s="3">
        <v>89</v>
      </c>
      <c r="B90" s="3" t="s">
        <v>2436</v>
      </c>
      <c r="C90" s="3" t="s">
        <v>16</v>
      </c>
      <c r="D90" s="3" t="s">
        <v>17</v>
      </c>
      <c r="E90" s="4">
        <v>3.8</v>
      </c>
      <c r="F90" s="3" t="s">
        <v>2643</v>
      </c>
      <c r="G90" s="3" t="str">
        <f t="shared" si="17"/>
        <v>Litres</v>
      </c>
      <c r="H90" s="3">
        <v>291</v>
      </c>
      <c r="I90" s="3" t="s">
        <v>19</v>
      </c>
      <c r="J90" s="3">
        <v>58832</v>
      </c>
      <c r="K90" s="3"/>
      <c r="L90" s="3" t="s">
        <v>124</v>
      </c>
      <c r="M90" s="6">
        <v>45349</v>
      </c>
      <c r="N90" s="6"/>
      <c r="O90" s="6"/>
      <c r="P90" s="3" t="s">
        <v>347</v>
      </c>
      <c r="Q90" s="3" t="s">
        <v>348</v>
      </c>
      <c r="R90" s="3">
        <v>5</v>
      </c>
      <c r="S90" s="3"/>
      <c r="T90" s="3">
        <v>9.6999999999999993</v>
      </c>
      <c r="U90" s="3"/>
    </row>
    <row r="91" spans="1:21" s="2" customFormat="1" hidden="1">
      <c r="A91" s="3">
        <v>90</v>
      </c>
      <c r="B91" s="3" t="s">
        <v>349</v>
      </c>
      <c r="C91" s="3" t="s">
        <v>39</v>
      </c>
      <c r="D91" s="3" t="s">
        <v>114</v>
      </c>
      <c r="E91" s="4">
        <v>20.399999999999999</v>
      </c>
      <c r="F91" s="3" t="s">
        <v>62</v>
      </c>
      <c r="G91" s="3" t="str">
        <f t="shared" si="17"/>
        <v>kWh</v>
      </c>
      <c r="H91" s="5">
        <v>631</v>
      </c>
      <c r="I91" s="3" t="s">
        <v>19</v>
      </c>
      <c r="J91" s="4">
        <v>22195</v>
      </c>
      <c r="K91" s="4"/>
      <c r="L91" s="3" t="s">
        <v>20</v>
      </c>
      <c r="M91" s="6">
        <v>45708</v>
      </c>
      <c r="N91" s="6"/>
      <c r="O91" s="6"/>
      <c r="P91" s="3" t="s">
        <v>351</v>
      </c>
      <c r="Q91" s="3" t="s">
        <v>352</v>
      </c>
      <c r="R91" s="3">
        <v>20</v>
      </c>
      <c r="S91" s="3"/>
      <c r="T91" s="3">
        <v>53.4</v>
      </c>
      <c r="U91" s="3"/>
    </row>
    <row r="92" spans="1:21" s="2" customFormat="1" hidden="1">
      <c r="A92" s="3">
        <v>91</v>
      </c>
      <c r="B92" s="3" t="s">
        <v>2437</v>
      </c>
      <c r="C92" s="3" t="s">
        <v>32</v>
      </c>
      <c r="D92" s="3" t="s">
        <v>17</v>
      </c>
      <c r="E92" s="4">
        <v>82.9</v>
      </c>
      <c r="F92" s="3" t="s">
        <v>2643</v>
      </c>
      <c r="G92" s="3" t="str">
        <f t="shared" si="17"/>
        <v>Litres</v>
      </c>
      <c r="H92" s="3">
        <v>202</v>
      </c>
      <c r="I92" s="3" t="s">
        <v>19</v>
      </c>
      <c r="J92" s="3">
        <v>56391</v>
      </c>
      <c r="K92" s="3"/>
      <c r="L92" s="3" t="s">
        <v>124</v>
      </c>
      <c r="M92" s="6">
        <v>45510</v>
      </c>
      <c r="N92" s="6"/>
      <c r="O92" s="6"/>
      <c r="P92" s="3" t="s">
        <v>355</v>
      </c>
      <c r="Q92" s="3" t="s">
        <v>127</v>
      </c>
      <c r="R92" s="3">
        <v>6</v>
      </c>
      <c r="S92" s="3"/>
      <c r="T92" s="3">
        <v>271.3</v>
      </c>
      <c r="U92" s="3"/>
    </row>
    <row r="93" spans="1:21" s="2" customFormat="1" hidden="1">
      <c r="A93" s="3">
        <v>92</v>
      </c>
      <c r="B93" s="3" t="s">
        <v>356</v>
      </c>
      <c r="C93" s="3" t="s">
        <v>50</v>
      </c>
      <c r="D93" s="3" t="s">
        <v>17</v>
      </c>
      <c r="E93" s="4">
        <v>27.7</v>
      </c>
      <c r="F93" s="3" t="s">
        <v>56</v>
      </c>
      <c r="G93" s="3" t="str">
        <f t="shared" si="17"/>
        <v>Litres</v>
      </c>
      <c r="H93" s="3">
        <v>635</v>
      </c>
      <c r="I93" s="3" t="s">
        <v>19</v>
      </c>
      <c r="J93" s="3">
        <v>41196</v>
      </c>
      <c r="K93" s="3"/>
      <c r="L93" s="3" t="s">
        <v>124</v>
      </c>
      <c r="M93" s="6">
        <v>45661</v>
      </c>
      <c r="N93" s="6"/>
      <c r="O93" s="6"/>
      <c r="P93" s="3" t="s">
        <v>358</v>
      </c>
      <c r="Q93" s="3" t="s">
        <v>359</v>
      </c>
      <c r="R93" s="3">
        <v>4</v>
      </c>
      <c r="S93" s="3"/>
      <c r="T93" s="3">
        <v>56.1</v>
      </c>
      <c r="U93" s="3"/>
    </row>
    <row r="94" spans="1:21" s="2" customFormat="1" hidden="1">
      <c r="A94" s="3">
        <v>93</v>
      </c>
      <c r="B94" s="3" t="s">
        <v>2438</v>
      </c>
      <c r="C94" s="3" t="s">
        <v>16</v>
      </c>
      <c r="D94" s="3" t="s">
        <v>33</v>
      </c>
      <c r="E94" s="4">
        <v>18.3</v>
      </c>
      <c r="F94" s="3" t="s">
        <v>41</v>
      </c>
      <c r="G94" s="3" t="str">
        <f t="shared" si="17"/>
        <v>Litres</v>
      </c>
      <c r="H94" s="3">
        <v>417</v>
      </c>
      <c r="I94" s="3" t="s">
        <v>19</v>
      </c>
      <c r="J94" s="3">
        <v>7907</v>
      </c>
      <c r="K94" s="3"/>
      <c r="L94" s="3" t="s">
        <v>124</v>
      </c>
      <c r="M94" s="6">
        <v>45545</v>
      </c>
      <c r="N94" s="6"/>
      <c r="O94" s="6"/>
      <c r="P94" s="3" t="s">
        <v>362</v>
      </c>
      <c r="Q94" s="3"/>
      <c r="R94" s="3">
        <v>11</v>
      </c>
      <c r="S94" s="3"/>
      <c r="T94" s="3">
        <v>45.6</v>
      </c>
      <c r="U94" s="3"/>
    </row>
    <row r="95" spans="1:21" s="2" customFormat="1" hidden="1">
      <c r="A95" s="3">
        <v>94</v>
      </c>
      <c r="B95" s="3" t="s">
        <v>2439</v>
      </c>
      <c r="C95" s="3" t="s">
        <v>32</v>
      </c>
      <c r="D95" s="3" t="s">
        <v>17</v>
      </c>
      <c r="E95" s="4">
        <v>77.400000000000006</v>
      </c>
      <c r="F95" s="3" t="s">
        <v>41</v>
      </c>
      <c r="G95" s="3" t="str">
        <f t="shared" si="17"/>
        <v>Litres</v>
      </c>
      <c r="H95" s="5">
        <v>699</v>
      </c>
      <c r="I95" s="3" t="s">
        <v>19</v>
      </c>
      <c r="J95" s="4">
        <v>35310</v>
      </c>
      <c r="K95" s="4"/>
      <c r="L95" s="3" t="s">
        <v>20</v>
      </c>
      <c r="M95" s="6">
        <v>45953</v>
      </c>
      <c r="N95" s="3"/>
      <c r="O95" s="3"/>
      <c r="P95" s="3" t="s">
        <v>365</v>
      </c>
      <c r="Q95" s="3" t="s">
        <v>127</v>
      </c>
      <c r="R95" s="3">
        <v>7</v>
      </c>
      <c r="S95" s="3"/>
      <c r="T95" s="3">
        <v>239.3</v>
      </c>
      <c r="U95" s="3"/>
    </row>
    <row r="96" spans="1:21" s="2" customFormat="1" hidden="1">
      <c r="A96" s="3">
        <v>95</v>
      </c>
      <c r="B96" s="3" t="s">
        <v>366</v>
      </c>
      <c r="C96" s="3" t="s">
        <v>39</v>
      </c>
      <c r="D96" s="3" t="s">
        <v>61</v>
      </c>
      <c r="E96" s="4">
        <v>0</v>
      </c>
      <c r="F96" s="3" t="s">
        <v>41</v>
      </c>
      <c r="G96" s="3" t="str">
        <f t="shared" si="17"/>
        <v>Litres</v>
      </c>
      <c r="H96" s="3">
        <v>250</v>
      </c>
      <c r="I96" s="3" t="s">
        <v>19</v>
      </c>
      <c r="J96" s="3">
        <v>2595</v>
      </c>
      <c r="K96" s="3"/>
      <c r="L96" s="3" t="s">
        <v>124</v>
      </c>
      <c r="M96" s="6">
        <v>45737</v>
      </c>
      <c r="N96" s="3"/>
      <c r="O96" s="3"/>
      <c r="P96" s="3" t="s">
        <v>368</v>
      </c>
      <c r="Q96" s="3" t="s">
        <v>127</v>
      </c>
      <c r="R96" s="3">
        <v>11</v>
      </c>
      <c r="S96" s="3"/>
      <c r="T96" s="3">
        <v>0</v>
      </c>
      <c r="U96" s="3"/>
    </row>
    <row r="97" spans="1:24" s="2" customFormat="1" hidden="1">
      <c r="A97" s="3">
        <v>96</v>
      </c>
      <c r="B97" s="3" t="s">
        <v>369</v>
      </c>
      <c r="C97" s="3" t="s">
        <v>50</v>
      </c>
      <c r="D97" s="3" t="s">
        <v>17</v>
      </c>
      <c r="E97" s="4">
        <v>8.1</v>
      </c>
      <c r="F97" s="3" t="s">
        <v>62</v>
      </c>
      <c r="G97" s="3" t="str">
        <f t="shared" si="17"/>
        <v>kWh</v>
      </c>
      <c r="H97" s="3">
        <v>642</v>
      </c>
      <c r="I97" s="3" t="s">
        <v>19</v>
      </c>
      <c r="J97" s="3">
        <v>44085</v>
      </c>
      <c r="K97" s="3"/>
      <c r="L97" s="3" t="s">
        <v>124</v>
      </c>
      <c r="M97" s="6">
        <v>45997</v>
      </c>
      <c r="N97" s="6"/>
      <c r="O97" s="6"/>
      <c r="P97" s="3" t="s">
        <v>371</v>
      </c>
      <c r="Q97" s="3" t="s">
        <v>372</v>
      </c>
      <c r="R97" s="3">
        <v>12</v>
      </c>
      <c r="S97" s="3"/>
      <c r="T97" s="3">
        <v>26.2</v>
      </c>
      <c r="U97" s="3"/>
    </row>
    <row r="98" spans="1:24" s="2" customFormat="1" hidden="1">
      <c r="A98" s="3">
        <v>97</v>
      </c>
      <c r="B98" s="3" t="s">
        <v>373</v>
      </c>
      <c r="C98" s="3" t="s">
        <v>16</v>
      </c>
      <c r="D98" s="3" t="s">
        <v>33</v>
      </c>
      <c r="E98" s="4">
        <v>20.100000000000001</v>
      </c>
      <c r="F98" s="3" t="s">
        <v>26</v>
      </c>
      <c r="G98" s="3" t="str">
        <f t="shared" si="17"/>
        <v>Litres</v>
      </c>
      <c r="H98" s="3">
        <v>88</v>
      </c>
      <c r="I98" s="3" t="s">
        <v>19</v>
      </c>
      <c r="J98" s="3">
        <v>5428</v>
      </c>
      <c r="K98" s="3"/>
      <c r="L98" s="3" t="s">
        <v>124</v>
      </c>
      <c r="M98" s="6">
        <v>45472</v>
      </c>
      <c r="N98" s="6"/>
      <c r="O98" s="6"/>
      <c r="P98" s="3" t="s">
        <v>375</v>
      </c>
      <c r="Q98" s="3" t="s">
        <v>376</v>
      </c>
      <c r="R98" s="3">
        <v>17</v>
      </c>
      <c r="S98" s="3"/>
      <c r="T98" s="3">
        <v>47.7</v>
      </c>
      <c r="U98" s="3"/>
    </row>
    <row r="99" spans="1:24" s="2" customFormat="1" hidden="1">
      <c r="A99" s="3">
        <v>98</v>
      </c>
      <c r="B99" s="3" t="s">
        <v>377</v>
      </c>
      <c r="C99" s="3" t="s">
        <v>16</v>
      </c>
      <c r="D99" s="3" t="s">
        <v>33</v>
      </c>
      <c r="E99" s="4">
        <v>92.2</v>
      </c>
      <c r="F99" s="3" t="s">
        <v>56</v>
      </c>
      <c r="G99" s="3" t="str">
        <f t="shared" si="17"/>
        <v>Litres</v>
      </c>
      <c r="H99" s="5">
        <v>688</v>
      </c>
      <c r="I99" s="3" t="s">
        <v>19</v>
      </c>
      <c r="J99" s="4">
        <v>46893</v>
      </c>
      <c r="K99" s="4"/>
      <c r="L99" s="3" t="s">
        <v>20</v>
      </c>
      <c r="M99" s="6">
        <v>45346</v>
      </c>
      <c r="N99" s="3"/>
      <c r="O99" s="3"/>
      <c r="P99" s="3" t="s">
        <v>379</v>
      </c>
      <c r="Q99" s="3" t="s">
        <v>380</v>
      </c>
      <c r="R99" s="3">
        <v>12</v>
      </c>
      <c r="S99" s="3"/>
      <c r="T99" s="3">
        <v>253.5</v>
      </c>
      <c r="U99" s="3"/>
    </row>
    <row r="100" spans="1:24" s="2" customFormat="1" hidden="1">
      <c r="A100" s="3">
        <v>99</v>
      </c>
      <c r="B100" s="3" t="s">
        <v>381</v>
      </c>
      <c r="C100" s="3" t="s">
        <v>50</v>
      </c>
      <c r="D100" s="3" t="s">
        <v>61</v>
      </c>
      <c r="E100" s="4">
        <v>0</v>
      </c>
      <c r="F100" s="3" t="s">
        <v>2643</v>
      </c>
      <c r="G100" s="3" t="str">
        <f t="shared" si="17"/>
        <v>Litres</v>
      </c>
      <c r="H100" s="5">
        <v>220</v>
      </c>
      <c r="I100" s="3" t="s">
        <v>19</v>
      </c>
      <c r="J100" s="4">
        <v>33869</v>
      </c>
      <c r="K100" s="4"/>
      <c r="L100" s="3" t="s">
        <v>20</v>
      </c>
      <c r="M100" s="6">
        <v>45958</v>
      </c>
      <c r="N100" s="6"/>
      <c r="O100" s="6"/>
      <c r="P100" s="3" t="s">
        <v>383</v>
      </c>
      <c r="Q100" s="3" t="s">
        <v>384</v>
      </c>
      <c r="R100" s="3">
        <v>5</v>
      </c>
      <c r="S100" s="3"/>
      <c r="T100" s="3">
        <v>0</v>
      </c>
      <c r="U100" s="3"/>
    </row>
    <row r="101" spans="1:24" s="2" customFormat="1" hidden="1">
      <c r="A101" s="3">
        <v>100</v>
      </c>
      <c r="B101" s="3" t="s">
        <v>385</v>
      </c>
      <c r="C101" s="3" t="s">
        <v>39</v>
      </c>
      <c r="D101" s="3" t="s">
        <v>114</v>
      </c>
      <c r="E101" s="4">
        <v>12.3</v>
      </c>
      <c r="F101" s="3" t="s">
        <v>26</v>
      </c>
      <c r="G101" s="3" t="str">
        <f t="shared" si="17"/>
        <v>Litres</v>
      </c>
      <c r="H101" s="3">
        <v>527</v>
      </c>
      <c r="I101" s="3" t="s">
        <v>19</v>
      </c>
      <c r="J101" s="3">
        <v>57063</v>
      </c>
      <c r="K101" s="3"/>
      <c r="L101" s="3" t="s">
        <v>124</v>
      </c>
      <c r="M101" s="6">
        <v>45566</v>
      </c>
      <c r="N101" s="6"/>
      <c r="O101" s="6"/>
      <c r="P101" s="3" t="s">
        <v>387</v>
      </c>
      <c r="Q101" s="3"/>
      <c r="R101" s="3">
        <v>5</v>
      </c>
      <c r="S101" s="3"/>
      <c r="T101" s="3">
        <v>42.4</v>
      </c>
      <c r="U101" s="3"/>
    </row>
    <row r="102" spans="1:24">
      <c r="A102" s="11">
        <v>101</v>
      </c>
      <c r="B102" s="11" t="s">
        <v>388</v>
      </c>
      <c r="C102" s="11" t="s">
        <v>50</v>
      </c>
      <c r="D102" s="11" t="s">
        <v>17</v>
      </c>
      <c r="E102" s="12">
        <v>18.899999999999999</v>
      </c>
      <c r="F102" s="11" t="s">
        <v>2643</v>
      </c>
      <c r="G102" s="11" t="str">
        <f t="shared" si="17"/>
        <v>Litres</v>
      </c>
      <c r="H102" s="13">
        <v>471</v>
      </c>
      <c r="I102" s="11" t="s">
        <v>19</v>
      </c>
      <c r="J102" s="12">
        <v>119597</v>
      </c>
      <c r="K102" s="12" t="str">
        <f t="shared" ref="K102:K165" si="18">IF(J102&lt;18000,"Very Low",IF(J102&lt;36000,"Low",IF(J102&lt;54000,"Medium",IF(J102&lt;72000,"Moderate",IF(J102&lt;90000,"High",IF(J102&lt;108000,"Very High","Extreme"))))))</f>
        <v>Extreme</v>
      </c>
      <c r="L102" s="11" t="s">
        <v>20</v>
      </c>
      <c r="M102" s="14">
        <v>45002</v>
      </c>
      <c r="N102" s="14" t="str">
        <f t="shared" ref="N102:N165" si="19">TEXT(M102,"dd/mm/yyyy")</f>
        <v>17/03/2023</v>
      </c>
      <c r="O102" s="14" t="str">
        <f t="shared" ref="O102:O165" si="20">TEXT(M102,"yyyy")</f>
        <v>2023</v>
      </c>
      <c r="P102" s="11" t="s">
        <v>390</v>
      </c>
      <c r="Q102" s="11" t="s">
        <v>86</v>
      </c>
      <c r="R102" s="11">
        <v>9</v>
      </c>
      <c r="S102" s="11" t="str">
        <f t="shared" ref="S102:S165" si="21">IF(R102&lt;=4,"0 - 4 yrs",IF(R102&lt;=8,"5 - 8 yrs",IF(R102&lt;=12,"9 - 12 yrs",IF(R102&lt;=16,"13 - 16 yrs","17 + yrs"))))</f>
        <v>9 - 12 yrs</v>
      </c>
      <c r="T102" s="12">
        <v>64.5</v>
      </c>
      <c r="U102" s="11" t="str">
        <f t="shared" ref="U102:U165" si="22">IF(T102&lt;=50,"(0 - 50)",IF(T102&lt;=100,"(51 - 100)",IF(T102&lt;=150,"(101 - 150)",IF(T102&lt;=200,"(151 - 200)",IF(T102&lt;=250,"(201 - 250)",IF(T102&lt;=300,"(251 - 300)","(301 - 350)"))))))</f>
        <v>(51 - 100)</v>
      </c>
      <c r="V102" s="12">
        <f t="shared" ref="V102:V165" si="23">H102/E102</f>
        <v>24.920634920634921</v>
      </c>
      <c r="W102" s="12">
        <f t="shared" ref="W102:W165" si="24">J102/H102</f>
        <v>253.92144373673037</v>
      </c>
      <c r="X102" s="12">
        <f t="shared" ref="X102:X165" si="25">T102/H102</f>
        <v>0.13694267515923567</v>
      </c>
    </row>
    <row r="103" spans="1:24">
      <c r="A103" s="11">
        <v>102</v>
      </c>
      <c r="B103" s="11" t="s">
        <v>210</v>
      </c>
      <c r="C103" s="11" t="s">
        <v>39</v>
      </c>
      <c r="D103" s="11" t="s">
        <v>114</v>
      </c>
      <c r="E103" s="12">
        <v>34.299999999999997</v>
      </c>
      <c r="F103" s="11" t="s">
        <v>26</v>
      </c>
      <c r="G103" s="11" t="str">
        <f t="shared" si="17"/>
        <v>Litres</v>
      </c>
      <c r="H103" s="13">
        <v>271</v>
      </c>
      <c r="I103" s="11" t="s">
        <v>19</v>
      </c>
      <c r="J103" s="12">
        <v>80925</v>
      </c>
      <c r="K103" s="12" t="str">
        <f t="shared" si="18"/>
        <v>High</v>
      </c>
      <c r="L103" s="11" t="s">
        <v>20</v>
      </c>
      <c r="M103" s="14">
        <v>45685</v>
      </c>
      <c r="N103" s="14" t="str">
        <f t="shared" si="19"/>
        <v>28/01/2025</v>
      </c>
      <c r="O103" s="14" t="str">
        <f t="shared" si="20"/>
        <v>2025</v>
      </c>
      <c r="P103" s="11" t="s">
        <v>392</v>
      </c>
      <c r="Q103" s="11" t="s">
        <v>69</v>
      </c>
      <c r="R103" s="11">
        <v>8</v>
      </c>
      <c r="S103" s="11" t="str">
        <f t="shared" si="21"/>
        <v>5 - 8 yrs</v>
      </c>
      <c r="T103" s="12">
        <v>109.6</v>
      </c>
      <c r="U103" s="11" t="str">
        <f t="shared" si="22"/>
        <v>(101 - 150)</v>
      </c>
      <c r="V103" s="12">
        <f t="shared" si="23"/>
        <v>7.9008746355685142</v>
      </c>
      <c r="W103" s="12">
        <f t="shared" si="24"/>
        <v>298.61623616236164</v>
      </c>
      <c r="X103" s="12">
        <f t="shared" si="25"/>
        <v>0.40442804428044277</v>
      </c>
    </row>
    <row r="104" spans="1:24">
      <c r="A104" s="11">
        <v>103</v>
      </c>
      <c r="B104" s="11" t="s">
        <v>2440</v>
      </c>
      <c r="C104" s="11" t="s">
        <v>16</v>
      </c>
      <c r="D104" s="11" t="s">
        <v>61</v>
      </c>
      <c r="E104" s="12">
        <v>10</v>
      </c>
      <c r="F104" s="11" t="s">
        <v>41</v>
      </c>
      <c r="G104" s="11" t="str">
        <f t="shared" si="17"/>
        <v>Litres</v>
      </c>
      <c r="H104" s="13">
        <v>437</v>
      </c>
      <c r="I104" s="11" t="s">
        <v>19</v>
      </c>
      <c r="J104" s="12">
        <v>93582</v>
      </c>
      <c r="K104" s="12" t="str">
        <f t="shared" si="18"/>
        <v>Very High</v>
      </c>
      <c r="L104" s="11" t="s">
        <v>20</v>
      </c>
      <c r="M104" s="14">
        <v>45706</v>
      </c>
      <c r="N104" s="14" t="str">
        <f t="shared" si="19"/>
        <v>18/02/2025</v>
      </c>
      <c r="O104" s="14" t="str">
        <f t="shared" si="20"/>
        <v>2025</v>
      </c>
      <c r="P104" s="11" t="s">
        <v>395</v>
      </c>
      <c r="Q104" s="11" t="s">
        <v>117</v>
      </c>
      <c r="R104" s="11">
        <v>10</v>
      </c>
      <c r="S104" s="11" t="str">
        <f t="shared" si="21"/>
        <v>9 - 12 yrs</v>
      </c>
      <c r="T104" s="12">
        <v>0</v>
      </c>
      <c r="U104" s="11" t="str">
        <f t="shared" si="22"/>
        <v>(0 - 50)</v>
      </c>
      <c r="V104" s="12">
        <f t="shared" si="23"/>
        <v>43.7</v>
      </c>
      <c r="W104" s="12">
        <f t="shared" si="24"/>
        <v>214.14645308924486</v>
      </c>
      <c r="X104" s="12">
        <f t="shared" si="25"/>
        <v>0</v>
      </c>
    </row>
    <row r="105" spans="1:24">
      <c r="A105" s="11">
        <v>104</v>
      </c>
      <c r="B105" s="11" t="s">
        <v>396</v>
      </c>
      <c r="C105" s="11" t="s">
        <v>50</v>
      </c>
      <c r="D105" s="11" t="s">
        <v>61</v>
      </c>
      <c r="E105" s="12">
        <v>10</v>
      </c>
      <c r="F105" s="11" t="s">
        <v>56</v>
      </c>
      <c r="G105" s="11" t="str">
        <f t="shared" si="17"/>
        <v>Litres</v>
      </c>
      <c r="H105" s="13">
        <v>566</v>
      </c>
      <c r="I105" s="11" t="s">
        <v>19</v>
      </c>
      <c r="J105" s="12">
        <v>52657</v>
      </c>
      <c r="K105" s="12" t="str">
        <f t="shared" si="18"/>
        <v>Medium</v>
      </c>
      <c r="L105" s="11" t="s">
        <v>20</v>
      </c>
      <c r="M105" s="14">
        <v>45177</v>
      </c>
      <c r="N105" s="14" t="str">
        <f t="shared" si="19"/>
        <v>08/09/2023</v>
      </c>
      <c r="O105" s="14" t="str">
        <f t="shared" si="20"/>
        <v>2023</v>
      </c>
      <c r="P105" s="11" t="s">
        <v>398</v>
      </c>
      <c r="Q105" s="11" t="s">
        <v>121</v>
      </c>
      <c r="R105" s="11">
        <v>14</v>
      </c>
      <c r="S105" s="11" t="str">
        <f t="shared" si="21"/>
        <v>13 - 16 yrs</v>
      </c>
      <c r="T105" s="12">
        <v>0</v>
      </c>
      <c r="U105" s="11" t="str">
        <f t="shared" si="22"/>
        <v>(0 - 50)</v>
      </c>
      <c r="V105" s="12">
        <f t="shared" si="23"/>
        <v>56.6</v>
      </c>
      <c r="W105" s="12">
        <f t="shared" si="24"/>
        <v>93.033568904593636</v>
      </c>
      <c r="X105" s="12">
        <f t="shared" si="25"/>
        <v>0</v>
      </c>
    </row>
    <row r="106" spans="1:24">
      <c r="A106" s="11">
        <v>105</v>
      </c>
      <c r="B106" s="11" t="s">
        <v>399</v>
      </c>
      <c r="C106" s="11" t="s">
        <v>32</v>
      </c>
      <c r="D106" s="11" t="s">
        <v>17</v>
      </c>
      <c r="E106" s="12">
        <v>72.099999999999994</v>
      </c>
      <c r="F106" s="11" t="s">
        <v>41</v>
      </c>
      <c r="G106" s="11" t="str">
        <f t="shared" si="17"/>
        <v>Litres</v>
      </c>
      <c r="H106" s="13">
        <v>138</v>
      </c>
      <c r="I106" s="11" t="s">
        <v>19</v>
      </c>
      <c r="J106" s="12">
        <v>87005</v>
      </c>
      <c r="K106" s="12" t="str">
        <f t="shared" si="18"/>
        <v>High</v>
      </c>
      <c r="L106" s="11" t="s">
        <v>20</v>
      </c>
      <c r="M106" s="14">
        <v>45750</v>
      </c>
      <c r="N106" s="14" t="str">
        <f t="shared" si="19"/>
        <v>03/04/2025</v>
      </c>
      <c r="O106" s="14" t="str">
        <f t="shared" si="20"/>
        <v>2025</v>
      </c>
      <c r="P106" s="11" t="s">
        <v>401</v>
      </c>
      <c r="Q106" s="11" t="s">
        <v>2646</v>
      </c>
      <c r="R106" s="11">
        <v>6</v>
      </c>
      <c r="S106" s="11" t="str">
        <f t="shared" si="21"/>
        <v>5 - 8 yrs</v>
      </c>
      <c r="T106" s="12">
        <v>161.6</v>
      </c>
      <c r="U106" s="11" t="str">
        <f t="shared" si="22"/>
        <v>(151 - 200)</v>
      </c>
      <c r="V106" s="12">
        <f t="shared" si="23"/>
        <v>1.9140083217753123</v>
      </c>
      <c r="W106" s="12">
        <f t="shared" si="24"/>
        <v>630.47101449275362</v>
      </c>
      <c r="X106" s="12">
        <f t="shared" si="25"/>
        <v>1.1710144927536232</v>
      </c>
    </row>
    <row r="107" spans="1:24">
      <c r="A107" s="11">
        <v>106</v>
      </c>
      <c r="B107" s="11" t="s">
        <v>2441</v>
      </c>
      <c r="C107" s="11" t="s">
        <v>32</v>
      </c>
      <c r="D107" s="11" t="s">
        <v>61</v>
      </c>
      <c r="E107" s="12">
        <v>10</v>
      </c>
      <c r="F107" s="11" t="s">
        <v>56</v>
      </c>
      <c r="G107" s="11" t="str">
        <f t="shared" si="17"/>
        <v>Litres</v>
      </c>
      <c r="H107" s="13">
        <v>340</v>
      </c>
      <c r="I107" s="11" t="s">
        <v>19</v>
      </c>
      <c r="J107" s="12">
        <v>113729</v>
      </c>
      <c r="K107" s="12" t="str">
        <f t="shared" si="18"/>
        <v>Extreme</v>
      </c>
      <c r="L107" s="11" t="s">
        <v>20</v>
      </c>
      <c r="M107" s="14">
        <v>45339</v>
      </c>
      <c r="N107" s="14" t="str">
        <f t="shared" si="19"/>
        <v>17/02/2024</v>
      </c>
      <c r="O107" s="14" t="str">
        <f t="shared" si="20"/>
        <v>2024</v>
      </c>
      <c r="P107" s="11" t="s">
        <v>404</v>
      </c>
      <c r="Q107" s="11" t="s">
        <v>86</v>
      </c>
      <c r="R107" s="11">
        <v>4</v>
      </c>
      <c r="S107" s="11" t="str">
        <f t="shared" si="21"/>
        <v>0 - 4 yrs</v>
      </c>
      <c r="T107" s="12">
        <v>0</v>
      </c>
      <c r="U107" s="11" t="str">
        <f t="shared" si="22"/>
        <v>(0 - 50)</v>
      </c>
      <c r="V107" s="12">
        <f t="shared" si="23"/>
        <v>34</v>
      </c>
      <c r="W107" s="12">
        <f t="shared" si="24"/>
        <v>334.49705882352941</v>
      </c>
      <c r="X107" s="12">
        <f t="shared" si="25"/>
        <v>0</v>
      </c>
    </row>
    <row r="108" spans="1:24">
      <c r="A108" s="11">
        <v>107</v>
      </c>
      <c r="B108" s="11" t="s">
        <v>405</v>
      </c>
      <c r="C108" s="11" t="s">
        <v>50</v>
      </c>
      <c r="D108" s="11" t="s">
        <v>114</v>
      </c>
      <c r="E108" s="12">
        <v>15.3</v>
      </c>
      <c r="F108" s="11" t="s">
        <v>62</v>
      </c>
      <c r="G108" s="11" t="str">
        <f t="shared" si="17"/>
        <v>kWh</v>
      </c>
      <c r="H108" s="13">
        <v>164</v>
      </c>
      <c r="I108" s="11" t="s">
        <v>19</v>
      </c>
      <c r="J108" s="12">
        <v>112691</v>
      </c>
      <c r="K108" s="12" t="str">
        <f t="shared" si="18"/>
        <v>Extreme</v>
      </c>
      <c r="L108" s="11" t="s">
        <v>20</v>
      </c>
      <c r="M108" s="14">
        <v>45352</v>
      </c>
      <c r="N108" s="14" t="str">
        <f t="shared" si="19"/>
        <v>01/03/2024</v>
      </c>
      <c r="O108" s="14" t="str">
        <f t="shared" si="20"/>
        <v>2024</v>
      </c>
      <c r="P108" s="11" t="s">
        <v>407</v>
      </c>
      <c r="Q108" s="11" t="s">
        <v>86</v>
      </c>
      <c r="R108" s="11">
        <v>18</v>
      </c>
      <c r="S108" s="11" t="str">
        <f t="shared" si="21"/>
        <v>17 + yrs</v>
      </c>
      <c r="T108" s="12">
        <v>32.200000000000003</v>
      </c>
      <c r="U108" s="11" t="str">
        <f t="shared" si="22"/>
        <v>(0 - 50)</v>
      </c>
      <c r="V108" s="12">
        <f t="shared" si="23"/>
        <v>10.718954248366012</v>
      </c>
      <c r="W108" s="12">
        <f t="shared" si="24"/>
        <v>687.14024390243901</v>
      </c>
      <c r="X108" s="12">
        <f t="shared" si="25"/>
        <v>0.19634146341463415</v>
      </c>
    </row>
    <row r="109" spans="1:24">
      <c r="A109" s="11">
        <v>108</v>
      </c>
      <c r="B109" s="11" t="s">
        <v>408</v>
      </c>
      <c r="C109" s="11" t="s">
        <v>32</v>
      </c>
      <c r="D109" s="11" t="s">
        <v>114</v>
      </c>
      <c r="E109" s="12">
        <v>63.5</v>
      </c>
      <c r="F109" s="11" t="s">
        <v>26</v>
      </c>
      <c r="G109" s="11" t="str">
        <f t="shared" si="17"/>
        <v>Litres</v>
      </c>
      <c r="H109" s="13">
        <v>547</v>
      </c>
      <c r="I109" s="11" t="s">
        <v>19</v>
      </c>
      <c r="J109" s="12">
        <v>65761</v>
      </c>
      <c r="K109" s="12" t="str">
        <f t="shared" si="18"/>
        <v>Moderate</v>
      </c>
      <c r="L109" s="11" t="s">
        <v>20</v>
      </c>
      <c r="M109" s="14">
        <v>45425</v>
      </c>
      <c r="N109" s="14" t="str">
        <f t="shared" si="19"/>
        <v>13/05/2024</v>
      </c>
      <c r="O109" s="14" t="str">
        <f t="shared" si="20"/>
        <v>2024</v>
      </c>
      <c r="P109" s="11" t="s">
        <v>410</v>
      </c>
      <c r="Q109" s="11" t="s">
        <v>86</v>
      </c>
      <c r="R109" s="11">
        <v>10</v>
      </c>
      <c r="S109" s="11" t="str">
        <f t="shared" si="21"/>
        <v>9 - 12 yrs</v>
      </c>
      <c r="T109" s="12">
        <v>144.4</v>
      </c>
      <c r="U109" s="11" t="str">
        <f t="shared" si="22"/>
        <v>(101 - 150)</v>
      </c>
      <c r="V109" s="12">
        <f t="shared" si="23"/>
        <v>8.6141732283464574</v>
      </c>
      <c r="W109" s="12">
        <f t="shared" si="24"/>
        <v>120.22120658135283</v>
      </c>
      <c r="X109" s="12">
        <f t="shared" si="25"/>
        <v>0.26398537477148082</v>
      </c>
    </row>
    <row r="110" spans="1:24">
      <c r="A110" s="11">
        <v>109</v>
      </c>
      <c r="B110" s="11" t="s">
        <v>411</v>
      </c>
      <c r="C110" s="11" t="s">
        <v>16</v>
      </c>
      <c r="D110" s="11" t="s">
        <v>17</v>
      </c>
      <c r="E110" s="12">
        <v>38.200000000000003</v>
      </c>
      <c r="F110" s="11" t="s">
        <v>62</v>
      </c>
      <c r="G110" s="11" t="str">
        <f t="shared" si="17"/>
        <v>kWh</v>
      </c>
      <c r="H110" s="13">
        <v>427</v>
      </c>
      <c r="I110" s="11" t="s">
        <v>19</v>
      </c>
      <c r="J110" s="12">
        <v>102912</v>
      </c>
      <c r="K110" s="12" t="str">
        <f t="shared" si="18"/>
        <v>Very High</v>
      </c>
      <c r="L110" s="11" t="s">
        <v>20</v>
      </c>
      <c r="M110" s="14">
        <v>45195</v>
      </c>
      <c r="N110" s="14" t="str">
        <f t="shared" si="19"/>
        <v>26/09/2023</v>
      </c>
      <c r="O110" s="14" t="str">
        <f t="shared" si="20"/>
        <v>2023</v>
      </c>
      <c r="P110" s="11" t="s">
        <v>413</v>
      </c>
      <c r="Q110" s="11" t="s">
        <v>48</v>
      </c>
      <c r="R110" s="11">
        <v>14</v>
      </c>
      <c r="S110" s="11" t="str">
        <f t="shared" si="21"/>
        <v>13 - 16 yrs</v>
      </c>
      <c r="T110" s="12">
        <v>116.5</v>
      </c>
      <c r="U110" s="11" t="str">
        <f t="shared" si="22"/>
        <v>(101 - 150)</v>
      </c>
      <c r="V110" s="12">
        <f t="shared" si="23"/>
        <v>11.178010471204187</v>
      </c>
      <c r="W110" s="12">
        <f t="shared" si="24"/>
        <v>241.01170960187355</v>
      </c>
      <c r="X110" s="12">
        <f t="shared" si="25"/>
        <v>0.27283372365339581</v>
      </c>
    </row>
    <row r="111" spans="1:24">
      <c r="A111" s="11">
        <v>110</v>
      </c>
      <c r="B111" s="11" t="s">
        <v>414</v>
      </c>
      <c r="C111" s="11" t="s">
        <v>32</v>
      </c>
      <c r="D111" s="11" t="s">
        <v>17</v>
      </c>
      <c r="E111" s="12">
        <v>75.7</v>
      </c>
      <c r="F111" s="11" t="s">
        <v>2643</v>
      </c>
      <c r="G111" s="11" t="str">
        <f t="shared" si="17"/>
        <v>Litres</v>
      </c>
      <c r="H111" s="13">
        <v>144</v>
      </c>
      <c r="I111" s="11" t="s">
        <v>19</v>
      </c>
      <c r="J111" s="12">
        <v>28847</v>
      </c>
      <c r="K111" s="12" t="str">
        <f t="shared" si="18"/>
        <v>Low</v>
      </c>
      <c r="L111" s="11" t="s">
        <v>20</v>
      </c>
      <c r="M111" s="14">
        <v>44971</v>
      </c>
      <c r="N111" s="14" t="str">
        <f t="shared" si="19"/>
        <v>14/02/2023</v>
      </c>
      <c r="O111" s="14" t="str">
        <f t="shared" si="20"/>
        <v>2023</v>
      </c>
      <c r="P111" s="11" t="s">
        <v>416</v>
      </c>
      <c r="Q111" s="11" t="s">
        <v>121</v>
      </c>
      <c r="R111" s="11">
        <v>9</v>
      </c>
      <c r="S111" s="11" t="str">
        <f t="shared" si="21"/>
        <v>9 - 12 yrs</v>
      </c>
      <c r="T111" s="12">
        <v>161</v>
      </c>
      <c r="U111" s="11" t="str">
        <f t="shared" si="22"/>
        <v>(151 - 200)</v>
      </c>
      <c r="V111" s="12">
        <f t="shared" si="23"/>
        <v>1.9022457067371201</v>
      </c>
      <c r="W111" s="12">
        <f t="shared" si="24"/>
        <v>200.32638888888889</v>
      </c>
      <c r="X111" s="12">
        <f t="shared" si="25"/>
        <v>1.1180555555555556</v>
      </c>
    </row>
    <row r="112" spans="1:24">
      <c r="A112" s="11">
        <v>111</v>
      </c>
      <c r="B112" s="11" t="s">
        <v>417</v>
      </c>
      <c r="C112" s="11" t="s">
        <v>16</v>
      </c>
      <c r="D112" s="11" t="s">
        <v>114</v>
      </c>
      <c r="E112" s="12">
        <v>34.700000000000003</v>
      </c>
      <c r="F112" s="11" t="s">
        <v>2643</v>
      </c>
      <c r="G112" s="11" t="str">
        <f t="shared" si="17"/>
        <v>Litres</v>
      </c>
      <c r="H112" s="13">
        <v>208</v>
      </c>
      <c r="I112" s="11" t="s">
        <v>19</v>
      </c>
      <c r="J112" s="12">
        <v>24229</v>
      </c>
      <c r="K112" s="12" t="str">
        <f t="shared" si="18"/>
        <v>Low</v>
      </c>
      <c r="L112" s="11" t="s">
        <v>20</v>
      </c>
      <c r="M112" s="14">
        <v>45244</v>
      </c>
      <c r="N112" s="14" t="str">
        <f t="shared" si="19"/>
        <v>14/11/2023</v>
      </c>
      <c r="O112" s="14" t="str">
        <f t="shared" si="20"/>
        <v>2023</v>
      </c>
      <c r="P112" s="11" t="s">
        <v>419</v>
      </c>
      <c r="Q112" s="11" t="s">
        <v>117</v>
      </c>
      <c r="R112" s="11">
        <v>8</v>
      </c>
      <c r="S112" s="11" t="str">
        <f t="shared" si="21"/>
        <v>5 - 8 yrs</v>
      </c>
      <c r="T112" s="12">
        <v>72.8</v>
      </c>
      <c r="U112" s="11" t="str">
        <f t="shared" si="22"/>
        <v>(51 - 100)</v>
      </c>
      <c r="V112" s="12">
        <f t="shared" si="23"/>
        <v>5.9942363112391925</v>
      </c>
      <c r="W112" s="12">
        <f t="shared" si="24"/>
        <v>116.48557692307692</v>
      </c>
      <c r="X112" s="12">
        <f t="shared" si="25"/>
        <v>0.35</v>
      </c>
    </row>
    <row r="113" spans="1:24">
      <c r="A113" s="11">
        <v>112</v>
      </c>
      <c r="B113" s="11" t="s">
        <v>420</v>
      </c>
      <c r="C113" s="11" t="s">
        <v>50</v>
      </c>
      <c r="D113" s="11" t="s">
        <v>17</v>
      </c>
      <c r="E113" s="12">
        <v>67.599999999999994</v>
      </c>
      <c r="F113" s="11" t="s">
        <v>26</v>
      </c>
      <c r="G113" s="11" t="str">
        <f t="shared" si="17"/>
        <v>Litres</v>
      </c>
      <c r="H113" s="13">
        <v>86</v>
      </c>
      <c r="I113" s="11" t="s">
        <v>19</v>
      </c>
      <c r="J113" s="12">
        <v>9091</v>
      </c>
      <c r="K113" s="12" t="str">
        <f t="shared" si="18"/>
        <v>Very Low</v>
      </c>
      <c r="L113" s="11" t="s">
        <v>20</v>
      </c>
      <c r="M113" s="14">
        <v>45686</v>
      </c>
      <c r="N113" s="14" t="str">
        <f t="shared" si="19"/>
        <v>29/01/2025</v>
      </c>
      <c r="O113" s="14" t="str">
        <f t="shared" si="20"/>
        <v>2025</v>
      </c>
      <c r="P113" s="11" t="s">
        <v>422</v>
      </c>
      <c r="Q113" s="11" t="s">
        <v>69</v>
      </c>
      <c r="R113" s="11">
        <v>13</v>
      </c>
      <c r="S113" s="11" t="str">
        <f t="shared" si="21"/>
        <v>13 - 16 yrs</v>
      </c>
      <c r="T113" s="12">
        <v>216.2</v>
      </c>
      <c r="U113" s="11" t="str">
        <f t="shared" si="22"/>
        <v>(201 - 250)</v>
      </c>
      <c r="V113" s="12">
        <f t="shared" si="23"/>
        <v>1.2721893491124261</v>
      </c>
      <c r="W113" s="12">
        <f t="shared" si="24"/>
        <v>105.70930232558139</v>
      </c>
      <c r="X113" s="12">
        <f t="shared" si="25"/>
        <v>2.5139534883720929</v>
      </c>
    </row>
    <row r="114" spans="1:24">
      <c r="A114" s="11">
        <v>113</v>
      </c>
      <c r="B114" s="11" t="s">
        <v>423</v>
      </c>
      <c r="C114" s="11" t="s">
        <v>50</v>
      </c>
      <c r="D114" s="11" t="s">
        <v>17</v>
      </c>
      <c r="E114" s="12">
        <v>3</v>
      </c>
      <c r="F114" s="11" t="s">
        <v>62</v>
      </c>
      <c r="G114" s="11" t="str">
        <f t="shared" si="17"/>
        <v>kWh</v>
      </c>
      <c r="H114" s="13">
        <v>649</v>
      </c>
      <c r="I114" s="11" t="s">
        <v>19</v>
      </c>
      <c r="J114" s="12">
        <v>49556</v>
      </c>
      <c r="K114" s="12" t="str">
        <f t="shared" si="18"/>
        <v>Medium</v>
      </c>
      <c r="L114" s="11" t="s">
        <v>20</v>
      </c>
      <c r="M114" s="14">
        <v>45805</v>
      </c>
      <c r="N114" s="14" t="str">
        <f t="shared" si="19"/>
        <v>28/05/2025</v>
      </c>
      <c r="O114" s="14" t="str">
        <f t="shared" si="20"/>
        <v>2025</v>
      </c>
      <c r="P114" s="11" t="s">
        <v>425</v>
      </c>
      <c r="Q114" s="11" t="s">
        <v>2647</v>
      </c>
      <c r="R114" s="11">
        <v>20</v>
      </c>
      <c r="S114" s="11" t="str">
        <f t="shared" si="21"/>
        <v>17 + yrs</v>
      </c>
      <c r="T114" s="12">
        <v>7.1</v>
      </c>
      <c r="U114" s="11" t="str">
        <f t="shared" si="22"/>
        <v>(0 - 50)</v>
      </c>
      <c r="V114" s="12">
        <f t="shared" si="23"/>
        <v>216.33333333333334</v>
      </c>
      <c r="W114" s="12">
        <f t="shared" si="24"/>
        <v>76.357473035439142</v>
      </c>
      <c r="X114" s="12">
        <f t="shared" si="25"/>
        <v>1.0939907550077042E-2</v>
      </c>
    </row>
    <row r="115" spans="1:24">
      <c r="A115" s="11">
        <v>114</v>
      </c>
      <c r="B115" s="11" t="s">
        <v>426</v>
      </c>
      <c r="C115" s="11" t="s">
        <v>32</v>
      </c>
      <c r="D115" s="11" t="s">
        <v>33</v>
      </c>
      <c r="E115" s="12">
        <v>10.8</v>
      </c>
      <c r="F115" s="11" t="s">
        <v>26</v>
      </c>
      <c r="G115" s="11" t="str">
        <f t="shared" si="17"/>
        <v>Litres</v>
      </c>
      <c r="H115" s="13">
        <v>502</v>
      </c>
      <c r="I115" s="11" t="s">
        <v>19</v>
      </c>
      <c r="J115" s="12">
        <v>40813</v>
      </c>
      <c r="K115" s="12" t="str">
        <f t="shared" si="18"/>
        <v>Medium</v>
      </c>
      <c r="L115" s="11" t="s">
        <v>20</v>
      </c>
      <c r="M115" s="14">
        <v>45612</v>
      </c>
      <c r="N115" s="14" t="str">
        <f t="shared" si="19"/>
        <v>16/11/2024</v>
      </c>
      <c r="O115" s="14" t="str">
        <f t="shared" si="20"/>
        <v>2024</v>
      </c>
      <c r="P115" s="11" t="s">
        <v>428</v>
      </c>
      <c r="Q115" s="11" t="s">
        <v>54</v>
      </c>
      <c r="R115" s="11">
        <v>16</v>
      </c>
      <c r="S115" s="11" t="str">
        <f t="shared" si="21"/>
        <v>13 - 16 yrs</v>
      </c>
      <c r="T115" s="12">
        <v>30.2</v>
      </c>
      <c r="U115" s="11" t="str">
        <f t="shared" si="22"/>
        <v>(0 - 50)</v>
      </c>
      <c r="V115" s="12">
        <f t="shared" si="23"/>
        <v>46.481481481481481</v>
      </c>
      <c r="W115" s="12">
        <f t="shared" si="24"/>
        <v>81.300796812748999</v>
      </c>
      <c r="X115" s="12">
        <f t="shared" si="25"/>
        <v>6.0159362549800796E-2</v>
      </c>
    </row>
    <row r="116" spans="1:24">
      <c r="A116" s="11">
        <v>115</v>
      </c>
      <c r="B116" s="11" t="s">
        <v>2442</v>
      </c>
      <c r="C116" s="11" t="s">
        <v>50</v>
      </c>
      <c r="D116" s="11" t="s">
        <v>33</v>
      </c>
      <c r="E116" s="12">
        <v>32.700000000000003</v>
      </c>
      <c r="F116" s="11" t="s">
        <v>56</v>
      </c>
      <c r="G116" s="11" t="str">
        <f t="shared" si="17"/>
        <v>Litres</v>
      </c>
      <c r="H116" s="13">
        <v>455</v>
      </c>
      <c r="I116" s="11" t="s">
        <v>19</v>
      </c>
      <c r="J116" s="12">
        <v>93986</v>
      </c>
      <c r="K116" s="12" t="str">
        <f t="shared" si="18"/>
        <v>Very High</v>
      </c>
      <c r="L116" s="11" t="s">
        <v>20</v>
      </c>
      <c r="M116" s="14">
        <v>45212</v>
      </c>
      <c r="N116" s="14" t="str">
        <f t="shared" si="19"/>
        <v>13/10/2023</v>
      </c>
      <c r="O116" s="14" t="str">
        <f t="shared" si="20"/>
        <v>2023</v>
      </c>
      <c r="P116" s="11" t="s">
        <v>431</v>
      </c>
      <c r="Q116" s="11" t="s">
        <v>59</v>
      </c>
      <c r="R116" s="11">
        <v>15</v>
      </c>
      <c r="S116" s="11" t="str">
        <f t="shared" si="21"/>
        <v>13 - 16 yrs</v>
      </c>
      <c r="T116" s="12">
        <v>112.2</v>
      </c>
      <c r="U116" s="11" t="str">
        <f t="shared" si="22"/>
        <v>(101 - 150)</v>
      </c>
      <c r="V116" s="12">
        <f t="shared" si="23"/>
        <v>13.914373088685014</v>
      </c>
      <c r="W116" s="12">
        <f t="shared" si="24"/>
        <v>206.56263736263736</v>
      </c>
      <c r="X116" s="12">
        <f t="shared" si="25"/>
        <v>0.24659340659340659</v>
      </c>
    </row>
    <row r="117" spans="1:24">
      <c r="A117" s="11">
        <v>116</v>
      </c>
      <c r="B117" s="11" t="s">
        <v>432</v>
      </c>
      <c r="C117" s="11" t="s">
        <v>16</v>
      </c>
      <c r="D117" s="11" t="s">
        <v>33</v>
      </c>
      <c r="E117" s="12">
        <v>53.6</v>
      </c>
      <c r="F117" s="11" t="s">
        <v>56</v>
      </c>
      <c r="G117" s="11" t="str">
        <f t="shared" si="17"/>
        <v>Litres</v>
      </c>
      <c r="H117" s="13">
        <v>396</v>
      </c>
      <c r="I117" s="11" t="s">
        <v>19</v>
      </c>
      <c r="J117" s="12">
        <v>70340</v>
      </c>
      <c r="K117" s="12" t="str">
        <f t="shared" si="18"/>
        <v>Moderate</v>
      </c>
      <c r="L117" s="11" t="s">
        <v>20</v>
      </c>
      <c r="M117" s="14">
        <v>45216</v>
      </c>
      <c r="N117" s="14" t="str">
        <f t="shared" si="19"/>
        <v>17/10/2023</v>
      </c>
      <c r="O117" s="14" t="str">
        <f t="shared" si="20"/>
        <v>2023</v>
      </c>
      <c r="P117" s="11" t="s">
        <v>434</v>
      </c>
      <c r="Q117" s="11" t="s">
        <v>2648</v>
      </c>
      <c r="R117" s="11">
        <v>14</v>
      </c>
      <c r="S117" s="11" t="str">
        <f t="shared" si="21"/>
        <v>13 - 16 yrs</v>
      </c>
      <c r="T117" s="12">
        <v>142.1</v>
      </c>
      <c r="U117" s="11" t="str">
        <f t="shared" si="22"/>
        <v>(101 - 150)</v>
      </c>
      <c r="V117" s="12">
        <f t="shared" si="23"/>
        <v>7.3880597014925371</v>
      </c>
      <c r="W117" s="12">
        <f t="shared" si="24"/>
        <v>177.62626262626262</v>
      </c>
      <c r="X117" s="12">
        <f t="shared" si="25"/>
        <v>0.35883838383838385</v>
      </c>
    </row>
    <row r="118" spans="1:24">
      <c r="A118" s="11">
        <v>117</v>
      </c>
      <c r="B118" s="11" t="s">
        <v>435</v>
      </c>
      <c r="C118" s="11" t="s">
        <v>32</v>
      </c>
      <c r="D118" s="11" t="s">
        <v>33</v>
      </c>
      <c r="E118" s="12">
        <v>76.7</v>
      </c>
      <c r="F118" s="11" t="s">
        <v>56</v>
      </c>
      <c r="G118" s="11" t="str">
        <f t="shared" si="17"/>
        <v>Litres</v>
      </c>
      <c r="H118" s="13">
        <v>66</v>
      </c>
      <c r="I118" s="11" t="s">
        <v>19</v>
      </c>
      <c r="J118" s="12">
        <v>118141</v>
      </c>
      <c r="K118" s="12" t="str">
        <f t="shared" si="18"/>
        <v>Extreme</v>
      </c>
      <c r="L118" s="11" t="s">
        <v>20</v>
      </c>
      <c r="M118" s="14">
        <v>45019</v>
      </c>
      <c r="N118" s="14" t="str">
        <f t="shared" si="19"/>
        <v>03/04/2023</v>
      </c>
      <c r="O118" s="14" t="str">
        <f t="shared" si="20"/>
        <v>2023</v>
      </c>
      <c r="P118" s="11" t="s">
        <v>437</v>
      </c>
      <c r="Q118" s="11" t="s">
        <v>54</v>
      </c>
      <c r="R118" s="11">
        <v>7</v>
      </c>
      <c r="S118" s="11" t="str">
        <f t="shared" si="21"/>
        <v>5 - 8 yrs</v>
      </c>
      <c r="T118" s="12">
        <v>232.8</v>
      </c>
      <c r="U118" s="11" t="str">
        <f t="shared" si="22"/>
        <v>(201 - 250)</v>
      </c>
      <c r="V118" s="12">
        <f t="shared" si="23"/>
        <v>0.86049543676662321</v>
      </c>
      <c r="W118" s="12">
        <f t="shared" si="24"/>
        <v>1790.0151515151515</v>
      </c>
      <c r="X118" s="12">
        <f t="shared" si="25"/>
        <v>3.5272727272727273</v>
      </c>
    </row>
    <row r="119" spans="1:24">
      <c r="A119" s="11">
        <v>118</v>
      </c>
      <c r="B119" s="11" t="s">
        <v>438</v>
      </c>
      <c r="C119" s="11" t="s">
        <v>16</v>
      </c>
      <c r="D119" s="11" t="s">
        <v>17</v>
      </c>
      <c r="E119" s="12">
        <v>6.1</v>
      </c>
      <c r="F119" s="11" t="s">
        <v>2643</v>
      </c>
      <c r="G119" s="11" t="str">
        <f t="shared" si="17"/>
        <v>Litres</v>
      </c>
      <c r="H119" s="13">
        <v>690</v>
      </c>
      <c r="I119" s="11" t="s">
        <v>19</v>
      </c>
      <c r="J119" s="12">
        <v>76342</v>
      </c>
      <c r="K119" s="12" t="str">
        <f t="shared" si="18"/>
        <v>High</v>
      </c>
      <c r="L119" s="11" t="s">
        <v>20</v>
      </c>
      <c r="M119" s="14">
        <v>45003</v>
      </c>
      <c r="N119" s="14" t="str">
        <f t="shared" si="19"/>
        <v>18/03/2023</v>
      </c>
      <c r="O119" s="14" t="str">
        <f t="shared" si="20"/>
        <v>2023</v>
      </c>
      <c r="P119" s="11" t="s">
        <v>440</v>
      </c>
      <c r="Q119" s="11" t="s">
        <v>441</v>
      </c>
      <c r="R119" s="11">
        <v>17</v>
      </c>
      <c r="S119" s="11" t="str">
        <f t="shared" si="21"/>
        <v>17 + yrs</v>
      </c>
      <c r="T119" s="12">
        <v>16.100000000000001</v>
      </c>
      <c r="U119" s="11" t="str">
        <f t="shared" si="22"/>
        <v>(0 - 50)</v>
      </c>
      <c r="V119" s="12">
        <f t="shared" si="23"/>
        <v>113.11475409836066</v>
      </c>
      <c r="W119" s="12">
        <f t="shared" si="24"/>
        <v>110.64057971014493</v>
      </c>
      <c r="X119" s="12">
        <f t="shared" si="25"/>
        <v>2.3333333333333334E-2</v>
      </c>
    </row>
    <row r="120" spans="1:24">
      <c r="A120" s="11">
        <v>119</v>
      </c>
      <c r="B120" s="11" t="s">
        <v>442</v>
      </c>
      <c r="C120" s="11" t="s">
        <v>50</v>
      </c>
      <c r="D120" s="11" t="s">
        <v>61</v>
      </c>
      <c r="E120" s="12">
        <v>10</v>
      </c>
      <c r="F120" s="11" t="s">
        <v>2643</v>
      </c>
      <c r="G120" s="11" t="str">
        <f t="shared" si="17"/>
        <v>Litres</v>
      </c>
      <c r="H120" s="13">
        <v>644</v>
      </c>
      <c r="I120" s="11" t="s">
        <v>19</v>
      </c>
      <c r="J120" s="12">
        <v>44660</v>
      </c>
      <c r="K120" s="12" t="str">
        <f t="shared" si="18"/>
        <v>Medium</v>
      </c>
      <c r="L120" s="11" t="s">
        <v>20</v>
      </c>
      <c r="M120" s="14">
        <v>45465</v>
      </c>
      <c r="N120" s="14" t="str">
        <f t="shared" si="19"/>
        <v>22/06/2024</v>
      </c>
      <c r="O120" s="14" t="str">
        <f t="shared" si="20"/>
        <v>2024</v>
      </c>
      <c r="P120" s="11" t="s">
        <v>444</v>
      </c>
      <c r="Q120" s="11" t="s">
        <v>2648</v>
      </c>
      <c r="R120" s="11">
        <v>1</v>
      </c>
      <c r="S120" s="11" t="str">
        <f t="shared" si="21"/>
        <v>0 - 4 yrs</v>
      </c>
      <c r="T120" s="12">
        <v>0</v>
      </c>
      <c r="U120" s="11" t="str">
        <f t="shared" si="22"/>
        <v>(0 - 50)</v>
      </c>
      <c r="V120" s="12">
        <f t="shared" si="23"/>
        <v>64.400000000000006</v>
      </c>
      <c r="W120" s="12">
        <f t="shared" si="24"/>
        <v>69.347826086956516</v>
      </c>
      <c r="X120" s="12">
        <f t="shared" si="25"/>
        <v>0</v>
      </c>
    </row>
    <row r="121" spans="1:24">
      <c r="A121" s="11">
        <v>120</v>
      </c>
      <c r="B121" s="11" t="s">
        <v>2443</v>
      </c>
      <c r="C121" s="11" t="s">
        <v>32</v>
      </c>
      <c r="D121" s="11" t="s">
        <v>17</v>
      </c>
      <c r="E121" s="12">
        <v>9.4</v>
      </c>
      <c r="F121" s="11" t="s">
        <v>56</v>
      </c>
      <c r="G121" s="11" t="str">
        <f t="shared" si="17"/>
        <v>Litres</v>
      </c>
      <c r="H121" s="13">
        <v>542</v>
      </c>
      <c r="I121" s="11" t="s">
        <v>19</v>
      </c>
      <c r="J121" s="12">
        <v>88575</v>
      </c>
      <c r="K121" s="12" t="str">
        <f t="shared" si="18"/>
        <v>High</v>
      </c>
      <c r="L121" s="11" t="s">
        <v>20</v>
      </c>
      <c r="M121" s="14">
        <v>45285</v>
      </c>
      <c r="N121" s="14" t="str">
        <f t="shared" si="19"/>
        <v>25/12/2023</v>
      </c>
      <c r="O121" s="14" t="str">
        <f t="shared" si="20"/>
        <v>2023</v>
      </c>
      <c r="P121" s="11" t="s">
        <v>447</v>
      </c>
      <c r="Q121" s="11" t="s">
        <v>441</v>
      </c>
      <c r="R121" s="11">
        <v>7</v>
      </c>
      <c r="S121" s="11" t="str">
        <f t="shared" si="21"/>
        <v>5 - 8 yrs</v>
      </c>
      <c r="T121" s="12">
        <v>26.7</v>
      </c>
      <c r="U121" s="11" t="str">
        <f t="shared" si="22"/>
        <v>(0 - 50)</v>
      </c>
      <c r="V121" s="12">
        <f t="shared" si="23"/>
        <v>57.659574468085104</v>
      </c>
      <c r="W121" s="12">
        <f t="shared" si="24"/>
        <v>163.42250922509226</v>
      </c>
      <c r="X121" s="12">
        <f t="shared" si="25"/>
        <v>4.9261992619926198E-2</v>
      </c>
    </row>
    <row r="122" spans="1:24">
      <c r="A122" s="11">
        <v>121</v>
      </c>
      <c r="B122" s="11" t="s">
        <v>448</v>
      </c>
      <c r="C122" s="11" t="s">
        <v>50</v>
      </c>
      <c r="D122" s="11" t="s">
        <v>33</v>
      </c>
      <c r="E122" s="12">
        <v>66.599999999999994</v>
      </c>
      <c r="F122" s="11" t="s">
        <v>41</v>
      </c>
      <c r="G122" s="11" t="str">
        <f t="shared" si="17"/>
        <v>Litres</v>
      </c>
      <c r="H122" s="13">
        <v>260</v>
      </c>
      <c r="I122" s="11" t="s">
        <v>19</v>
      </c>
      <c r="J122" s="12">
        <v>3784</v>
      </c>
      <c r="K122" s="12" t="str">
        <f t="shared" si="18"/>
        <v>Very Low</v>
      </c>
      <c r="L122" s="11" t="s">
        <v>20</v>
      </c>
      <c r="M122" s="14">
        <v>45474</v>
      </c>
      <c r="N122" s="14" t="str">
        <f t="shared" si="19"/>
        <v>01/07/2024</v>
      </c>
      <c r="O122" s="14" t="str">
        <f t="shared" si="20"/>
        <v>2024</v>
      </c>
      <c r="P122" s="11" t="s">
        <v>449</v>
      </c>
      <c r="Q122" s="11" t="s">
        <v>112</v>
      </c>
      <c r="R122" s="11">
        <v>2</v>
      </c>
      <c r="S122" s="11" t="str">
        <f t="shared" si="21"/>
        <v>0 - 4 yrs</v>
      </c>
      <c r="T122" s="12">
        <v>166.7</v>
      </c>
      <c r="U122" s="11" t="str">
        <f t="shared" si="22"/>
        <v>(151 - 200)</v>
      </c>
      <c r="V122" s="12">
        <f t="shared" si="23"/>
        <v>3.9039039039039043</v>
      </c>
      <c r="W122" s="12">
        <f t="shared" si="24"/>
        <v>14.553846153846154</v>
      </c>
      <c r="X122" s="12">
        <f t="shared" si="25"/>
        <v>0.64115384615384607</v>
      </c>
    </row>
    <row r="123" spans="1:24">
      <c r="A123" s="11">
        <v>122</v>
      </c>
      <c r="B123" s="11" t="s">
        <v>2444</v>
      </c>
      <c r="C123" s="11" t="s">
        <v>39</v>
      </c>
      <c r="D123" s="11" t="s">
        <v>17</v>
      </c>
      <c r="E123" s="12">
        <v>12.7</v>
      </c>
      <c r="F123" s="11" t="s">
        <v>2643</v>
      </c>
      <c r="G123" s="11" t="str">
        <f t="shared" si="17"/>
        <v>Litres</v>
      </c>
      <c r="H123" s="13">
        <v>196</v>
      </c>
      <c r="I123" s="11" t="s">
        <v>19</v>
      </c>
      <c r="J123" s="12">
        <v>6420</v>
      </c>
      <c r="K123" s="12" t="str">
        <f t="shared" si="18"/>
        <v>Very Low</v>
      </c>
      <c r="L123" s="11" t="s">
        <v>20</v>
      </c>
      <c r="M123" s="14">
        <v>45457</v>
      </c>
      <c r="N123" s="14" t="str">
        <f t="shared" si="19"/>
        <v>14/06/2024</v>
      </c>
      <c r="O123" s="14" t="str">
        <f t="shared" si="20"/>
        <v>2024</v>
      </c>
      <c r="P123" s="11" t="s">
        <v>452</v>
      </c>
      <c r="Q123" s="11" t="s">
        <v>59</v>
      </c>
      <c r="R123" s="11">
        <v>3</v>
      </c>
      <c r="S123" s="11" t="str">
        <f t="shared" si="21"/>
        <v>0 - 4 yrs</v>
      </c>
      <c r="T123" s="12">
        <v>31.3</v>
      </c>
      <c r="U123" s="11" t="str">
        <f t="shared" si="22"/>
        <v>(0 - 50)</v>
      </c>
      <c r="V123" s="12">
        <f t="shared" si="23"/>
        <v>15.433070866141733</v>
      </c>
      <c r="W123" s="12">
        <f t="shared" si="24"/>
        <v>32.755102040816325</v>
      </c>
      <c r="X123" s="12">
        <f t="shared" si="25"/>
        <v>0.15969387755102041</v>
      </c>
    </row>
    <row r="124" spans="1:24">
      <c r="A124" s="11">
        <v>123</v>
      </c>
      <c r="B124" s="11" t="s">
        <v>453</v>
      </c>
      <c r="C124" s="11" t="s">
        <v>32</v>
      </c>
      <c r="D124" s="11" t="s">
        <v>61</v>
      </c>
      <c r="E124" s="12">
        <v>10</v>
      </c>
      <c r="F124" s="11" t="s">
        <v>2643</v>
      </c>
      <c r="G124" s="11" t="str">
        <f t="shared" si="17"/>
        <v>Litres</v>
      </c>
      <c r="H124" s="13">
        <v>142</v>
      </c>
      <c r="I124" s="11" t="s">
        <v>19</v>
      </c>
      <c r="J124" s="12">
        <v>112622</v>
      </c>
      <c r="K124" s="12" t="str">
        <f t="shared" si="18"/>
        <v>Extreme</v>
      </c>
      <c r="L124" s="11" t="s">
        <v>20</v>
      </c>
      <c r="M124" s="14">
        <v>45623</v>
      </c>
      <c r="N124" s="14" t="str">
        <f t="shared" si="19"/>
        <v>27/11/2024</v>
      </c>
      <c r="O124" s="14" t="str">
        <f t="shared" si="20"/>
        <v>2024</v>
      </c>
      <c r="P124" s="11" t="s">
        <v>455</v>
      </c>
      <c r="Q124" s="11" t="s">
        <v>2648</v>
      </c>
      <c r="R124" s="11">
        <v>18</v>
      </c>
      <c r="S124" s="11" t="str">
        <f t="shared" si="21"/>
        <v>17 + yrs</v>
      </c>
      <c r="T124" s="12">
        <v>0</v>
      </c>
      <c r="U124" s="11" t="str">
        <f t="shared" si="22"/>
        <v>(0 - 50)</v>
      </c>
      <c r="V124" s="12">
        <f t="shared" si="23"/>
        <v>14.2</v>
      </c>
      <c r="W124" s="12">
        <f t="shared" si="24"/>
        <v>793.11267605633805</v>
      </c>
      <c r="X124" s="12">
        <f t="shared" si="25"/>
        <v>0</v>
      </c>
    </row>
    <row r="125" spans="1:24">
      <c r="A125" s="11">
        <v>124</v>
      </c>
      <c r="B125" s="11" t="s">
        <v>2445</v>
      </c>
      <c r="C125" s="11" t="s">
        <v>16</v>
      </c>
      <c r="D125" s="11" t="s">
        <v>17</v>
      </c>
      <c r="E125" s="12">
        <v>25.6</v>
      </c>
      <c r="F125" s="11" t="s">
        <v>26</v>
      </c>
      <c r="G125" s="11" t="str">
        <f t="shared" si="17"/>
        <v>Litres</v>
      </c>
      <c r="H125" s="13">
        <v>582</v>
      </c>
      <c r="I125" s="11" t="s">
        <v>19</v>
      </c>
      <c r="J125" s="12">
        <v>29738</v>
      </c>
      <c r="K125" s="12" t="str">
        <f t="shared" si="18"/>
        <v>Low</v>
      </c>
      <c r="L125" s="11" t="s">
        <v>20</v>
      </c>
      <c r="M125" s="14">
        <v>45704</v>
      </c>
      <c r="N125" s="14" t="str">
        <f t="shared" si="19"/>
        <v>16/02/2025</v>
      </c>
      <c r="O125" s="14" t="str">
        <f t="shared" si="20"/>
        <v>2025</v>
      </c>
      <c r="P125" s="11" t="s">
        <v>458</v>
      </c>
      <c r="Q125" s="11" t="s">
        <v>48</v>
      </c>
      <c r="R125" s="11">
        <v>1</v>
      </c>
      <c r="S125" s="11" t="str">
        <f t="shared" si="21"/>
        <v>0 - 4 yrs</v>
      </c>
      <c r="T125" s="12">
        <v>82.1</v>
      </c>
      <c r="U125" s="11" t="str">
        <f t="shared" si="22"/>
        <v>(51 - 100)</v>
      </c>
      <c r="V125" s="12">
        <f t="shared" si="23"/>
        <v>22.734375</v>
      </c>
      <c r="W125" s="12">
        <f t="shared" si="24"/>
        <v>51.096219931271477</v>
      </c>
      <c r="X125" s="12">
        <f t="shared" si="25"/>
        <v>0.14106529209621993</v>
      </c>
    </row>
    <row r="126" spans="1:24">
      <c r="A126" s="11">
        <v>125</v>
      </c>
      <c r="B126" s="11" t="s">
        <v>2446</v>
      </c>
      <c r="C126" s="11" t="s">
        <v>50</v>
      </c>
      <c r="D126" s="11" t="s">
        <v>17</v>
      </c>
      <c r="E126" s="12">
        <v>8.6</v>
      </c>
      <c r="F126" s="11" t="s">
        <v>2643</v>
      </c>
      <c r="G126" s="11" t="str">
        <f t="shared" si="17"/>
        <v>Litres</v>
      </c>
      <c r="H126" s="13">
        <v>340</v>
      </c>
      <c r="I126" s="11" t="s">
        <v>19</v>
      </c>
      <c r="J126" s="12">
        <v>111395</v>
      </c>
      <c r="K126" s="12" t="str">
        <f t="shared" si="18"/>
        <v>Extreme</v>
      </c>
      <c r="L126" s="11" t="s">
        <v>20</v>
      </c>
      <c r="M126" s="14">
        <v>45295</v>
      </c>
      <c r="N126" s="14" t="str">
        <f t="shared" si="19"/>
        <v>04/01/2024</v>
      </c>
      <c r="O126" s="14" t="str">
        <f t="shared" si="20"/>
        <v>2024</v>
      </c>
      <c r="P126" s="11" t="s">
        <v>461</v>
      </c>
      <c r="Q126" s="11" t="s">
        <v>54</v>
      </c>
      <c r="R126" s="11">
        <v>5</v>
      </c>
      <c r="S126" s="11" t="str">
        <f t="shared" si="21"/>
        <v>5 - 8 yrs</v>
      </c>
      <c r="T126" s="12">
        <v>20.5</v>
      </c>
      <c r="U126" s="11" t="str">
        <f t="shared" si="22"/>
        <v>(0 - 50)</v>
      </c>
      <c r="V126" s="12">
        <f t="shared" si="23"/>
        <v>39.534883720930232</v>
      </c>
      <c r="W126" s="12">
        <f t="shared" si="24"/>
        <v>327.63235294117646</v>
      </c>
      <c r="X126" s="12">
        <f t="shared" si="25"/>
        <v>6.0294117647058824E-2</v>
      </c>
    </row>
    <row r="127" spans="1:24">
      <c r="A127" s="11">
        <v>126</v>
      </c>
      <c r="B127" s="11" t="s">
        <v>462</v>
      </c>
      <c r="C127" s="11" t="s">
        <v>39</v>
      </c>
      <c r="D127" s="11" t="s">
        <v>17</v>
      </c>
      <c r="E127" s="12">
        <v>8.1</v>
      </c>
      <c r="F127" s="11" t="s">
        <v>2643</v>
      </c>
      <c r="G127" s="11" t="str">
        <f t="shared" si="17"/>
        <v>Litres</v>
      </c>
      <c r="H127" s="13">
        <v>471</v>
      </c>
      <c r="I127" s="11" t="s">
        <v>19</v>
      </c>
      <c r="J127" s="12">
        <v>65935</v>
      </c>
      <c r="K127" s="12" t="str">
        <f t="shared" si="18"/>
        <v>Moderate</v>
      </c>
      <c r="L127" s="11" t="s">
        <v>20</v>
      </c>
      <c r="M127" s="14">
        <v>44934</v>
      </c>
      <c r="N127" s="14" t="str">
        <f t="shared" si="19"/>
        <v>08/01/2023</v>
      </c>
      <c r="O127" s="14" t="str">
        <f t="shared" si="20"/>
        <v>2023</v>
      </c>
      <c r="P127" s="11" t="s">
        <v>464</v>
      </c>
      <c r="Q127" s="11" t="s">
        <v>59</v>
      </c>
      <c r="R127" s="11">
        <v>3</v>
      </c>
      <c r="S127" s="11" t="str">
        <f t="shared" si="21"/>
        <v>0 - 4 yrs</v>
      </c>
      <c r="T127" s="12">
        <v>19.3</v>
      </c>
      <c r="U127" s="11" t="str">
        <f t="shared" si="22"/>
        <v>(0 - 50)</v>
      </c>
      <c r="V127" s="12">
        <f t="shared" si="23"/>
        <v>58.148148148148152</v>
      </c>
      <c r="W127" s="12">
        <f t="shared" si="24"/>
        <v>139.98938428874735</v>
      </c>
      <c r="X127" s="12">
        <f t="shared" si="25"/>
        <v>4.0976645435244166E-2</v>
      </c>
    </row>
    <row r="128" spans="1:24">
      <c r="A128" s="11">
        <v>127</v>
      </c>
      <c r="B128" s="11" t="s">
        <v>465</v>
      </c>
      <c r="C128" s="11" t="s">
        <v>16</v>
      </c>
      <c r="D128" s="11" t="s">
        <v>61</v>
      </c>
      <c r="E128" s="12">
        <v>10</v>
      </c>
      <c r="F128" s="11" t="s">
        <v>62</v>
      </c>
      <c r="G128" s="11" t="str">
        <f t="shared" si="17"/>
        <v>kWh</v>
      </c>
      <c r="H128" s="13">
        <v>655</v>
      </c>
      <c r="I128" s="11" t="s">
        <v>19</v>
      </c>
      <c r="J128" s="12">
        <v>38877</v>
      </c>
      <c r="K128" s="12" t="str">
        <f t="shared" si="18"/>
        <v>Medium</v>
      </c>
      <c r="L128" s="11" t="s">
        <v>20</v>
      </c>
      <c r="M128" s="14">
        <v>45467</v>
      </c>
      <c r="N128" s="14" t="str">
        <f t="shared" si="19"/>
        <v>24/06/2024</v>
      </c>
      <c r="O128" s="14" t="str">
        <f t="shared" si="20"/>
        <v>2024</v>
      </c>
      <c r="P128" s="11" t="s">
        <v>467</v>
      </c>
      <c r="Q128" s="11" t="s">
        <v>2648</v>
      </c>
      <c r="R128" s="11">
        <v>2</v>
      </c>
      <c r="S128" s="11" t="str">
        <f t="shared" si="21"/>
        <v>0 - 4 yrs</v>
      </c>
      <c r="T128" s="12">
        <v>0</v>
      </c>
      <c r="U128" s="11" t="str">
        <f t="shared" si="22"/>
        <v>(0 - 50)</v>
      </c>
      <c r="V128" s="12">
        <f t="shared" si="23"/>
        <v>65.5</v>
      </c>
      <c r="W128" s="12">
        <f t="shared" si="24"/>
        <v>59.354198473282445</v>
      </c>
      <c r="X128" s="12">
        <f t="shared" si="25"/>
        <v>0</v>
      </c>
    </row>
    <row r="129" spans="1:24">
      <c r="A129" s="11">
        <v>128</v>
      </c>
      <c r="B129" s="11" t="s">
        <v>468</v>
      </c>
      <c r="C129" s="11" t="s">
        <v>16</v>
      </c>
      <c r="D129" s="11" t="s">
        <v>17</v>
      </c>
      <c r="E129" s="12">
        <v>17.899999999999999</v>
      </c>
      <c r="F129" s="11" t="s">
        <v>56</v>
      </c>
      <c r="G129" s="11" t="str">
        <f t="shared" si="17"/>
        <v>Litres</v>
      </c>
      <c r="H129" s="13">
        <v>288</v>
      </c>
      <c r="I129" s="11" t="s">
        <v>19</v>
      </c>
      <c r="J129" s="12">
        <v>35312</v>
      </c>
      <c r="K129" s="12" t="str">
        <f t="shared" si="18"/>
        <v>Low</v>
      </c>
      <c r="L129" s="11" t="s">
        <v>20</v>
      </c>
      <c r="M129" s="14">
        <v>45642</v>
      </c>
      <c r="N129" s="14" t="str">
        <f t="shared" si="19"/>
        <v>16/12/2024</v>
      </c>
      <c r="O129" s="14" t="str">
        <f t="shared" si="20"/>
        <v>2024</v>
      </c>
      <c r="P129" s="11" t="s">
        <v>470</v>
      </c>
      <c r="Q129" s="11" t="s">
        <v>69</v>
      </c>
      <c r="R129" s="11">
        <v>4</v>
      </c>
      <c r="S129" s="11" t="str">
        <f t="shared" si="21"/>
        <v>0 - 4 yrs</v>
      </c>
      <c r="T129" s="12">
        <v>38.799999999999997</v>
      </c>
      <c r="U129" s="11" t="str">
        <f t="shared" si="22"/>
        <v>(0 - 50)</v>
      </c>
      <c r="V129" s="12">
        <f t="shared" si="23"/>
        <v>16.089385474860336</v>
      </c>
      <c r="W129" s="12">
        <f t="shared" si="24"/>
        <v>122.61111111111111</v>
      </c>
      <c r="X129" s="12">
        <f t="shared" si="25"/>
        <v>0.13472222222222222</v>
      </c>
    </row>
    <row r="130" spans="1:24">
      <c r="A130" s="11">
        <v>129</v>
      </c>
      <c r="B130" s="11" t="s">
        <v>471</v>
      </c>
      <c r="C130" s="11" t="s">
        <v>39</v>
      </c>
      <c r="D130" s="11" t="s">
        <v>17</v>
      </c>
      <c r="E130" s="12">
        <v>7.1</v>
      </c>
      <c r="F130" s="11" t="s">
        <v>41</v>
      </c>
      <c r="G130" s="11" t="str">
        <f t="shared" ref="G130:G193" si="26">IF(OR(F130="L",F130="ltrs",F130="liters"),"Litres",F130)</f>
        <v>Litres</v>
      </c>
      <c r="H130" s="13">
        <v>546</v>
      </c>
      <c r="I130" s="11" t="s">
        <v>19</v>
      </c>
      <c r="J130" s="12">
        <v>58141</v>
      </c>
      <c r="K130" s="12" t="str">
        <f t="shared" si="18"/>
        <v>Moderate</v>
      </c>
      <c r="L130" s="11" t="s">
        <v>20</v>
      </c>
      <c r="M130" s="14">
        <v>45492</v>
      </c>
      <c r="N130" s="14" t="str">
        <f t="shared" si="19"/>
        <v>19/07/2024</v>
      </c>
      <c r="O130" s="14" t="str">
        <f t="shared" si="20"/>
        <v>2024</v>
      </c>
      <c r="P130" s="11" t="s">
        <v>473</v>
      </c>
      <c r="Q130" s="11" t="s">
        <v>86</v>
      </c>
      <c r="R130" s="11">
        <v>5</v>
      </c>
      <c r="S130" s="11" t="str">
        <f t="shared" si="21"/>
        <v>5 - 8 yrs</v>
      </c>
      <c r="T130" s="12">
        <v>20</v>
      </c>
      <c r="U130" s="11" t="str">
        <f t="shared" si="22"/>
        <v>(0 - 50)</v>
      </c>
      <c r="V130" s="12">
        <f t="shared" si="23"/>
        <v>76.901408450704224</v>
      </c>
      <c r="W130" s="12">
        <f t="shared" si="24"/>
        <v>106.48534798534799</v>
      </c>
      <c r="X130" s="12">
        <f t="shared" si="25"/>
        <v>3.6630036630036632E-2</v>
      </c>
    </row>
    <row r="131" spans="1:24">
      <c r="A131" s="11">
        <v>130</v>
      </c>
      <c r="B131" s="11" t="s">
        <v>474</v>
      </c>
      <c r="C131" s="11" t="s">
        <v>39</v>
      </c>
      <c r="D131" s="11" t="s">
        <v>17</v>
      </c>
      <c r="E131" s="12">
        <v>19.100000000000001</v>
      </c>
      <c r="F131" s="11" t="s">
        <v>2643</v>
      </c>
      <c r="G131" s="11" t="str">
        <f t="shared" si="26"/>
        <v>Litres</v>
      </c>
      <c r="H131" s="13">
        <v>304</v>
      </c>
      <c r="I131" s="11" t="s">
        <v>19</v>
      </c>
      <c r="J131" s="12">
        <v>52107</v>
      </c>
      <c r="K131" s="12" t="str">
        <f t="shared" si="18"/>
        <v>Medium</v>
      </c>
      <c r="L131" s="11" t="s">
        <v>20</v>
      </c>
      <c r="M131" s="14">
        <v>44939</v>
      </c>
      <c r="N131" s="14" t="str">
        <f t="shared" si="19"/>
        <v>13/01/2023</v>
      </c>
      <c r="O131" s="14" t="str">
        <f t="shared" si="20"/>
        <v>2023</v>
      </c>
      <c r="P131" s="11" t="s">
        <v>476</v>
      </c>
      <c r="Q131" s="11" t="s">
        <v>117</v>
      </c>
      <c r="R131" s="11">
        <v>3</v>
      </c>
      <c r="S131" s="11" t="str">
        <f t="shared" si="21"/>
        <v>0 - 4 yrs</v>
      </c>
      <c r="T131" s="12">
        <v>54.3</v>
      </c>
      <c r="U131" s="11" t="str">
        <f t="shared" si="22"/>
        <v>(51 - 100)</v>
      </c>
      <c r="V131" s="12">
        <f t="shared" si="23"/>
        <v>15.916230366492146</v>
      </c>
      <c r="W131" s="12">
        <f t="shared" si="24"/>
        <v>171.40460526315789</v>
      </c>
      <c r="X131" s="12">
        <f t="shared" si="25"/>
        <v>0.17861842105263157</v>
      </c>
    </row>
    <row r="132" spans="1:24">
      <c r="A132" s="11">
        <v>131</v>
      </c>
      <c r="B132" s="11" t="s">
        <v>2447</v>
      </c>
      <c r="C132" s="11" t="s">
        <v>32</v>
      </c>
      <c r="D132" s="11" t="s">
        <v>114</v>
      </c>
      <c r="E132" s="12">
        <v>58.8</v>
      </c>
      <c r="F132" s="11" t="s">
        <v>26</v>
      </c>
      <c r="G132" s="11" t="str">
        <f t="shared" si="26"/>
        <v>Litres</v>
      </c>
      <c r="H132" s="13">
        <v>319</v>
      </c>
      <c r="I132" s="11" t="s">
        <v>19</v>
      </c>
      <c r="J132" s="12">
        <v>87887</v>
      </c>
      <c r="K132" s="12" t="str">
        <f t="shared" si="18"/>
        <v>High</v>
      </c>
      <c r="L132" s="11" t="s">
        <v>20</v>
      </c>
      <c r="M132" s="14">
        <v>45371</v>
      </c>
      <c r="N132" s="14" t="str">
        <f t="shared" si="19"/>
        <v>20/03/2024</v>
      </c>
      <c r="O132" s="14" t="str">
        <f t="shared" si="20"/>
        <v>2024</v>
      </c>
      <c r="P132" s="11" t="s">
        <v>479</v>
      </c>
      <c r="Q132" s="11" t="s">
        <v>69</v>
      </c>
      <c r="R132" s="11">
        <v>10</v>
      </c>
      <c r="S132" s="11" t="str">
        <f t="shared" si="21"/>
        <v>9 - 12 yrs</v>
      </c>
      <c r="T132" s="12">
        <v>174.4</v>
      </c>
      <c r="U132" s="11" t="str">
        <f t="shared" si="22"/>
        <v>(151 - 200)</v>
      </c>
      <c r="V132" s="12">
        <f t="shared" si="23"/>
        <v>5.425170068027211</v>
      </c>
      <c r="W132" s="12">
        <f t="shared" si="24"/>
        <v>275.50783699059559</v>
      </c>
      <c r="X132" s="12">
        <f t="shared" si="25"/>
        <v>0.54670846394984329</v>
      </c>
    </row>
    <row r="133" spans="1:24">
      <c r="A133" s="11">
        <v>132</v>
      </c>
      <c r="B133" s="11" t="s">
        <v>480</v>
      </c>
      <c r="C133" s="11" t="s">
        <v>32</v>
      </c>
      <c r="D133" s="11" t="s">
        <v>17</v>
      </c>
      <c r="E133" s="12">
        <v>92</v>
      </c>
      <c r="F133" s="11" t="s">
        <v>26</v>
      </c>
      <c r="G133" s="11" t="str">
        <f t="shared" si="26"/>
        <v>Litres</v>
      </c>
      <c r="H133" s="13">
        <v>553</v>
      </c>
      <c r="I133" s="11" t="s">
        <v>19</v>
      </c>
      <c r="J133" s="12">
        <v>26521</v>
      </c>
      <c r="K133" s="12" t="str">
        <f t="shared" si="18"/>
        <v>Low</v>
      </c>
      <c r="L133" s="11" t="s">
        <v>20</v>
      </c>
      <c r="M133" s="14">
        <v>45153</v>
      </c>
      <c r="N133" s="14" t="str">
        <f t="shared" si="19"/>
        <v>15/08/2023</v>
      </c>
      <c r="O133" s="14" t="str">
        <f t="shared" si="20"/>
        <v>2023</v>
      </c>
      <c r="P133" s="11" t="s">
        <v>482</v>
      </c>
      <c r="Q133" s="11" t="s">
        <v>59</v>
      </c>
      <c r="R133" s="11">
        <v>19</v>
      </c>
      <c r="S133" s="11" t="str">
        <f t="shared" si="21"/>
        <v>17 + yrs</v>
      </c>
      <c r="T133" s="12">
        <v>278.10000000000002</v>
      </c>
      <c r="U133" s="11" t="str">
        <f t="shared" si="22"/>
        <v>(251 - 300)</v>
      </c>
      <c r="V133" s="12">
        <f t="shared" si="23"/>
        <v>6.0108695652173916</v>
      </c>
      <c r="W133" s="12">
        <f t="shared" si="24"/>
        <v>47.958408679927665</v>
      </c>
      <c r="X133" s="12">
        <f t="shared" si="25"/>
        <v>0.50289330922242315</v>
      </c>
    </row>
    <row r="134" spans="1:24">
      <c r="A134" s="11">
        <v>133</v>
      </c>
      <c r="B134" s="11" t="s">
        <v>483</v>
      </c>
      <c r="C134" s="11" t="s">
        <v>16</v>
      </c>
      <c r="D134" s="11" t="s">
        <v>17</v>
      </c>
      <c r="E134" s="12">
        <v>31</v>
      </c>
      <c r="F134" s="11" t="s">
        <v>56</v>
      </c>
      <c r="G134" s="11" t="str">
        <f t="shared" si="26"/>
        <v>Litres</v>
      </c>
      <c r="H134" s="13">
        <v>671</v>
      </c>
      <c r="I134" s="11" t="s">
        <v>19</v>
      </c>
      <c r="J134" s="12">
        <v>39964</v>
      </c>
      <c r="K134" s="12" t="str">
        <f t="shared" si="18"/>
        <v>Medium</v>
      </c>
      <c r="L134" s="11" t="s">
        <v>20</v>
      </c>
      <c r="M134" s="14">
        <v>45453</v>
      </c>
      <c r="N134" s="14" t="str">
        <f t="shared" si="19"/>
        <v>10/06/2024</v>
      </c>
      <c r="O134" s="14" t="str">
        <f t="shared" si="20"/>
        <v>2024</v>
      </c>
      <c r="P134" s="11" t="s">
        <v>428</v>
      </c>
      <c r="Q134" s="11" t="s">
        <v>69</v>
      </c>
      <c r="R134" s="11">
        <v>12</v>
      </c>
      <c r="S134" s="11" t="str">
        <f t="shared" si="21"/>
        <v>9 - 12 yrs</v>
      </c>
      <c r="T134" s="12">
        <v>95.2</v>
      </c>
      <c r="U134" s="11" t="str">
        <f t="shared" si="22"/>
        <v>(51 - 100)</v>
      </c>
      <c r="V134" s="12">
        <f t="shared" si="23"/>
        <v>21.64516129032258</v>
      </c>
      <c r="W134" s="12">
        <f t="shared" si="24"/>
        <v>59.558867362146053</v>
      </c>
      <c r="X134" s="12">
        <f t="shared" si="25"/>
        <v>0.14187779433681075</v>
      </c>
    </row>
    <row r="135" spans="1:24">
      <c r="A135" s="11">
        <v>134</v>
      </c>
      <c r="B135" s="11" t="s">
        <v>485</v>
      </c>
      <c r="C135" s="11" t="s">
        <v>32</v>
      </c>
      <c r="D135" s="11" t="s">
        <v>17</v>
      </c>
      <c r="E135" s="12">
        <v>83.9</v>
      </c>
      <c r="F135" s="11" t="s">
        <v>2643</v>
      </c>
      <c r="G135" s="11" t="str">
        <f t="shared" si="26"/>
        <v>Litres</v>
      </c>
      <c r="H135" s="13">
        <v>686</v>
      </c>
      <c r="I135" s="11" t="s">
        <v>19</v>
      </c>
      <c r="J135" s="12">
        <v>42608</v>
      </c>
      <c r="K135" s="12" t="str">
        <f t="shared" si="18"/>
        <v>Medium</v>
      </c>
      <c r="L135" s="11" t="s">
        <v>20</v>
      </c>
      <c r="M135" s="14">
        <v>45768</v>
      </c>
      <c r="N135" s="14" t="str">
        <f t="shared" si="19"/>
        <v>21/04/2025</v>
      </c>
      <c r="O135" s="14" t="str">
        <f t="shared" si="20"/>
        <v>2025</v>
      </c>
      <c r="P135" s="11" t="s">
        <v>487</v>
      </c>
      <c r="Q135" s="11" t="s">
        <v>86</v>
      </c>
      <c r="R135" s="11">
        <v>18</v>
      </c>
      <c r="S135" s="11" t="str">
        <f t="shared" si="21"/>
        <v>17 + yrs</v>
      </c>
      <c r="T135" s="12">
        <v>215.7</v>
      </c>
      <c r="U135" s="11" t="str">
        <f t="shared" si="22"/>
        <v>(201 - 250)</v>
      </c>
      <c r="V135" s="12">
        <f t="shared" si="23"/>
        <v>8.1764004767580456</v>
      </c>
      <c r="W135" s="12">
        <f t="shared" si="24"/>
        <v>62.110787172011662</v>
      </c>
      <c r="X135" s="12">
        <f t="shared" si="25"/>
        <v>0.31443148688046646</v>
      </c>
    </row>
    <row r="136" spans="1:24">
      <c r="A136" s="11">
        <v>135</v>
      </c>
      <c r="B136" s="11" t="s">
        <v>488</v>
      </c>
      <c r="C136" s="11" t="s">
        <v>32</v>
      </c>
      <c r="D136" s="11" t="s">
        <v>61</v>
      </c>
      <c r="E136" s="12">
        <v>10</v>
      </c>
      <c r="F136" s="11" t="s">
        <v>26</v>
      </c>
      <c r="G136" s="11" t="str">
        <f t="shared" si="26"/>
        <v>Litres</v>
      </c>
      <c r="H136" s="13">
        <v>241</v>
      </c>
      <c r="I136" s="11" t="s">
        <v>19</v>
      </c>
      <c r="J136" s="12">
        <v>75424</v>
      </c>
      <c r="K136" s="12" t="str">
        <f t="shared" si="18"/>
        <v>High</v>
      </c>
      <c r="L136" s="11" t="s">
        <v>20</v>
      </c>
      <c r="M136" s="14">
        <v>45331</v>
      </c>
      <c r="N136" s="14" t="str">
        <f t="shared" si="19"/>
        <v>09/02/2024</v>
      </c>
      <c r="O136" s="14" t="str">
        <f t="shared" si="20"/>
        <v>2024</v>
      </c>
      <c r="P136" s="11" t="s">
        <v>490</v>
      </c>
      <c r="Q136" s="11" t="s">
        <v>117</v>
      </c>
      <c r="R136" s="11">
        <v>6</v>
      </c>
      <c r="S136" s="11" t="str">
        <f t="shared" si="21"/>
        <v>5 - 8 yrs</v>
      </c>
      <c r="T136" s="12">
        <v>0</v>
      </c>
      <c r="U136" s="11" t="str">
        <f t="shared" si="22"/>
        <v>(0 - 50)</v>
      </c>
      <c r="V136" s="12">
        <f t="shared" si="23"/>
        <v>24.1</v>
      </c>
      <c r="W136" s="12">
        <f t="shared" si="24"/>
        <v>312.96265560165978</v>
      </c>
      <c r="X136" s="12">
        <f t="shared" si="25"/>
        <v>0</v>
      </c>
    </row>
    <row r="137" spans="1:24">
      <c r="A137" s="11">
        <v>136</v>
      </c>
      <c r="B137" s="11" t="s">
        <v>491</v>
      </c>
      <c r="C137" s="11" t="s">
        <v>50</v>
      </c>
      <c r="D137" s="11" t="s">
        <v>114</v>
      </c>
      <c r="E137" s="12">
        <v>59</v>
      </c>
      <c r="F137" s="11" t="s">
        <v>62</v>
      </c>
      <c r="G137" s="11" t="str">
        <f t="shared" si="26"/>
        <v>kWh</v>
      </c>
      <c r="H137" s="13">
        <v>353</v>
      </c>
      <c r="I137" s="11" t="s">
        <v>19</v>
      </c>
      <c r="J137" s="12">
        <v>30455</v>
      </c>
      <c r="K137" s="12" t="str">
        <f t="shared" si="18"/>
        <v>Low</v>
      </c>
      <c r="L137" s="11" t="s">
        <v>20</v>
      </c>
      <c r="M137" s="14">
        <v>45614</v>
      </c>
      <c r="N137" s="14" t="str">
        <f t="shared" si="19"/>
        <v>18/11/2024</v>
      </c>
      <c r="O137" s="14" t="str">
        <f t="shared" si="20"/>
        <v>2024</v>
      </c>
      <c r="P137" s="11" t="s">
        <v>493</v>
      </c>
      <c r="Q137" s="11" t="s">
        <v>112</v>
      </c>
      <c r="R137" s="11">
        <v>12</v>
      </c>
      <c r="S137" s="11" t="str">
        <f t="shared" si="21"/>
        <v>9 - 12 yrs</v>
      </c>
      <c r="T137" s="12">
        <v>174.6</v>
      </c>
      <c r="U137" s="11" t="str">
        <f t="shared" si="22"/>
        <v>(151 - 200)</v>
      </c>
      <c r="V137" s="12">
        <f t="shared" si="23"/>
        <v>5.9830508474576272</v>
      </c>
      <c r="W137" s="12">
        <f t="shared" si="24"/>
        <v>86.274787535410766</v>
      </c>
      <c r="X137" s="12">
        <f t="shared" si="25"/>
        <v>0.49461756373937676</v>
      </c>
    </row>
    <row r="138" spans="1:24">
      <c r="A138" s="11">
        <v>137</v>
      </c>
      <c r="B138" s="11" t="s">
        <v>494</v>
      </c>
      <c r="C138" s="11" t="s">
        <v>32</v>
      </c>
      <c r="D138" s="11" t="s">
        <v>17</v>
      </c>
      <c r="E138" s="12">
        <v>22.5</v>
      </c>
      <c r="F138" s="11" t="s">
        <v>26</v>
      </c>
      <c r="G138" s="11" t="str">
        <f t="shared" si="26"/>
        <v>Litres</v>
      </c>
      <c r="H138" s="13">
        <v>453</v>
      </c>
      <c r="I138" s="11" t="s">
        <v>19</v>
      </c>
      <c r="J138" s="12">
        <v>88865</v>
      </c>
      <c r="K138" s="12" t="str">
        <f t="shared" si="18"/>
        <v>High</v>
      </c>
      <c r="L138" s="11" t="s">
        <v>20</v>
      </c>
      <c r="M138" s="14">
        <v>45729</v>
      </c>
      <c r="N138" s="14" t="str">
        <f t="shared" si="19"/>
        <v>13/03/2025</v>
      </c>
      <c r="O138" s="14" t="str">
        <f t="shared" si="20"/>
        <v>2025</v>
      </c>
      <c r="P138" s="11" t="s">
        <v>496</v>
      </c>
      <c r="Q138" s="11" t="s">
        <v>48</v>
      </c>
      <c r="R138" s="11">
        <v>3</v>
      </c>
      <c r="S138" s="11" t="str">
        <f t="shared" si="21"/>
        <v>0 - 4 yrs</v>
      </c>
      <c r="T138" s="12">
        <v>76</v>
      </c>
      <c r="U138" s="11" t="str">
        <f t="shared" si="22"/>
        <v>(51 - 100)</v>
      </c>
      <c r="V138" s="12">
        <f t="shared" si="23"/>
        <v>20.133333333333333</v>
      </c>
      <c r="W138" s="12">
        <f t="shared" si="24"/>
        <v>196.16997792494482</v>
      </c>
      <c r="X138" s="12">
        <f t="shared" si="25"/>
        <v>0.16777041942604856</v>
      </c>
    </row>
    <row r="139" spans="1:24">
      <c r="A139" s="11">
        <v>138</v>
      </c>
      <c r="B139" s="11" t="s">
        <v>2448</v>
      </c>
      <c r="C139" s="11" t="s">
        <v>16</v>
      </c>
      <c r="D139" s="11" t="s">
        <v>17</v>
      </c>
      <c r="E139" s="12">
        <v>8.5</v>
      </c>
      <c r="F139" s="11" t="s">
        <v>56</v>
      </c>
      <c r="G139" s="11" t="str">
        <f t="shared" si="26"/>
        <v>Litres</v>
      </c>
      <c r="H139" s="13">
        <v>424</v>
      </c>
      <c r="I139" s="11" t="s">
        <v>19</v>
      </c>
      <c r="J139" s="12">
        <v>61714</v>
      </c>
      <c r="K139" s="12" t="str">
        <f t="shared" si="18"/>
        <v>Moderate</v>
      </c>
      <c r="L139" s="11" t="s">
        <v>20</v>
      </c>
      <c r="M139" s="14">
        <v>45097</v>
      </c>
      <c r="N139" s="14" t="str">
        <f t="shared" si="19"/>
        <v>20/06/2023</v>
      </c>
      <c r="O139" s="14" t="str">
        <f t="shared" si="20"/>
        <v>2023</v>
      </c>
      <c r="P139" s="11" t="s">
        <v>499</v>
      </c>
      <c r="Q139" s="11" t="s">
        <v>54</v>
      </c>
      <c r="R139" s="11">
        <v>10</v>
      </c>
      <c r="S139" s="11" t="str">
        <f t="shared" si="21"/>
        <v>9 - 12 yrs</v>
      </c>
      <c r="T139" s="12">
        <v>22.9</v>
      </c>
      <c r="U139" s="11" t="str">
        <f t="shared" si="22"/>
        <v>(0 - 50)</v>
      </c>
      <c r="V139" s="12">
        <f t="shared" si="23"/>
        <v>49.882352941176471</v>
      </c>
      <c r="W139" s="12">
        <f t="shared" si="24"/>
        <v>145.55188679245282</v>
      </c>
      <c r="X139" s="12">
        <f t="shared" si="25"/>
        <v>5.4009433962264146E-2</v>
      </c>
    </row>
    <row r="140" spans="1:24">
      <c r="A140" s="11">
        <v>139</v>
      </c>
      <c r="B140" s="11" t="s">
        <v>500</v>
      </c>
      <c r="C140" s="11" t="s">
        <v>32</v>
      </c>
      <c r="D140" s="11" t="s">
        <v>33</v>
      </c>
      <c r="E140" s="12">
        <v>68.099999999999994</v>
      </c>
      <c r="F140" s="11" t="s">
        <v>26</v>
      </c>
      <c r="G140" s="11" t="str">
        <f t="shared" si="26"/>
        <v>Litres</v>
      </c>
      <c r="H140" s="13">
        <v>625</v>
      </c>
      <c r="I140" s="11" t="s">
        <v>19</v>
      </c>
      <c r="J140" s="12">
        <v>49534</v>
      </c>
      <c r="K140" s="12" t="str">
        <f t="shared" si="18"/>
        <v>Medium</v>
      </c>
      <c r="L140" s="11" t="s">
        <v>20</v>
      </c>
      <c r="M140" s="14">
        <v>45106</v>
      </c>
      <c r="N140" s="14" t="str">
        <f t="shared" si="19"/>
        <v>29/06/2023</v>
      </c>
      <c r="O140" s="14" t="str">
        <f t="shared" si="20"/>
        <v>2023</v>
      </c>
      <c r="P140" s="11" t="s">
        <v>502</v>
      </c>
      <c r="Q140" s="11" t="s">
        <v>69</v>
      </c>
      <c r="R140" s="11">
        <v>11</v>
      </c>
      <c r="S140" s="11" t="str">
        <f t="shared" si="21"/>
        <v>9 - 12 yrs</v>
      </c>
      <c r="T140" s="12">
        <v>181.4</v>
      </c>
      <c r="U140" s="11" t="str">
        <f t="shared" si="22"/>
        <v>(151 - 200)</v>
      </c>
      <c r="V140" s="12">
        <f t="shared" si="23"/>
        <v>9.1776798825256982</v>
      </c>
      <c r="W140" s="12">
        <f t="shared" si="24"/>
        <v>79.254400000000004</v>
      </c>
      <c r="X140" s="12">
        <f t="shared" si="25"/>
        <v>0.29024</v>
      </c>
    </row>
    <row r="141" spans="1:24">
      <c r="A141" s="11">
        <v>140</v>
      </c>
      <c r="B141" s="11" t="s">
        <v>503</v>
      </c>
      <c r="C141" s="11" t="s">
        <v>16</v>
      </c>
      <c r="D141" s="11" t="s">
        <v>33</v>
      </c>
      <c r="E141" s="12">
        <v>98</v>
      </c>
      <c r="F141" s="11" t="s">
        <v>41</v>
      </c>
      <c r="G141" s="11" t="str">
        <f t="shared" si="26"/>
        <v>Litres</v>
      </c>
      <c r="H141" s="13">
        <v>33</v>
      </c>
      <c r="I141" s="11" t="s">
        <v>19</v>
      </c>
      <c r="J141" s="12">
        <v>55508</v>
      </c>
      <c r="K141" s="12" t="str">
        <f t="shared" si="18"/>
        <v>Moderate</v>
      </c>
      <c r="L141" s="11" t="s">
        <v>20</v>
      </c>
      <c r="M141" s="14">
        <v>45323</v>
      </c>
      <c r="N141" s="14" t="str">
        <f t="shared" si="19"/>
        <v>01/02/2024</v>
      </c>
      <c r="O141" s="14" t="str">
        <f t="shared" si="20"/>
        <v>2024</v>
      </c>
      <c r="P141" s="11" t="s">
        <v>505</v>
      </c>
      <c r="Q141" s="11" t="s">
        <v>59</v>
      </c>
      <c r="R141" s="11">
        <v>1</v>
      </c>
      <c r="S141" s="11" t="str">
        <f t="shared" si="21"/>
        <v>0 - 4 yrs</v>
      </c>
      <c r="T141" s="12">
        <v>318.7</v>
      </c>
      <c r="U141" s="11" t="str">
        <f t="shared" si="22"/>
        <v>(301 - 350)</v>
      </c>
      <c r="V141" s="12">
        <f t="shared" si="23"/>
        <v>0.33673469387755101</v>
      </c>
      <c r="W141" s="12">
        <f t="shared" si="24"/>
        <v>1682.060606060606</v>
      </c>
      <c r="X141" s="12">
        <f t="shared" si="25"/>
        <v>9.6575757575757564</v>
      </c>
    </row>
    <row r="142" spans="1:24">
      <c r="A142" s="11">
        <v>141</v>
      </c>
      <c r="B142" s="11" t="s">
        <v>506</v>
      </c>
      <c r="C142" s="11" t="s">
        <v>50</v>
      </c>
      <c r="D142" s="11" t="s">
        <v>17</v>
      </c>
      <c r="E142" s="12">
        <v>13.5</v>
      </c>
      <c r="F142" s="11" t="s">
        <v>26</v>
      </c>
      <c r="G142" s="11" t="str">
        <f t="shared" si="26"/>
        <v>Litres</v>
      </c>
      <c r="H142" s="13">
        <v>37</v>
      </c>
      <c r="I142" s="11" t="s">
        <v>19</v>
      </c>
      <c r="J142" s="12">
        <v>116350</v>
      </c>
      <c r="K142" s="12" t="str">
        <f t="shared" si="18"/>
        <v>Extreme</v>
      </c>
      <c r="L142" s="11" t="s">
        <v>20</v>
      </c>
      <c r="M142" s="14">
        <v>45272</v>
      </c>
      <c r="N142" s="14" t="str">
        <f t="shared" si="19"/>
        <v>12/12/2023</v>
      </c>
      <c r="O142" s="14" t="str">
        <f t="shared" si="20"/>
        <v>2023</v>
      </c>
      <c r="P142" s="11" t="s">
        <v>508</v>
      </c>
      <c r="Q142" s="11" t="s">
        <v>117</v>
      </c>
      <c r="R142" s="11">
        <v>17</v>
      </c>
      <c r="S142" s="11" t="str">
        <f t="shared" si="21"/>
        <v>17 + yrs</v>
      </c>
      <c r="T142" s="12">
        <v>45.6</v>
      </c>
      <c r="U142" s="11" t="str">
        <f t="shared" si="22"/>
        <v>(0 - 50)</v>
      </c>
      <c r="V142" s="12">
        <f t="shared" si="23"/>
        <v>2.7407407407407409</v>
      </c>
      <c r="W142" s="12">
        <f t="shared" si="24"/>
        <v>3144.5945945945946</v>
      </c>
      <c r="X142" s="12">
        <f t="shared" si="25"/>
        <v>1.2324324324324325</v>
      </c>
    </row>
    <row r="143" spans="1:24">
      <c r="A143" s="11">
        <v>142</v>
      </c>
      <c r="B143" s="11" t="s">
        <v>509</v>
      </c>
      <c r="C143" s="11" t="s">
        <v>32</v>
      </c>
      <c r="D143" s="11" t="s">
        <v>33</v>
      </c>
      <c r="E143" s="12">
        <v>38.6</v>
      </c>
      <c r="F143" s="11" t="s">
        <v>2643</v>
      </c>
      <c r="G143" s="11" t="str">
        <f t="shared" si="26"/>
        <v>Litres</v>
      </c>
      <c r="H143" s="13">
        <v>545</v>
      </c>
      <c r="I143" s="11" t="s">
        <v>19</v>
      </c>
      <c r="J143" s="12">
        <v>75533</v>
      </c>
      <c r="K143" s="12" t="str">
        <f t="shared" si="18"/>
        <v>High</v>
      </c>
      <c r="L143" s="11" t="s">
        <v>20</v>
      </c>
      <c r="M143" s="14">
        <v>45787</v>
      </c>
      <c r="N143" s="14" t="str">
        <f t="shared" si="19"/>
        <v>10/05/2025</v>
      </c>
      <c r="O143" s="14" t="str">
        <f t="shared" si="20"/>
        <v>2025</v>
      </c>
      <c r="P143" s="11" t="s">
        <v>511</v>
      </c>
      <c r="Q143" s="11" t="s">
        <v>86</v>
      </c>
      <c r="R143" s="11">
        <v>7</v>
      </c>
      <c r="S143" s="11" t="str">
        <f t="shared" si="21"/>
        <v>5 - 8 yrs</v>
      </c>
      <c r="T143" s="12">
        <v>123.8</v>
      </c>
      <c r="U143" s="11" t="str">
        <f t="shared" si="22"/>
        <v>(101 - 150)</v>
      </c>
      <c r="V143" s="12">
        <f t="shared" si="23"/>
        <v>14.119170984455957</v>
      </c>
      <c r="W143" s="12">
        <f t="shared" si="24"/>
        <v>138.5926605504587</v>
      </c>
      <c r="X143" s="12">
        <f t="shared" si="25"/>
        <v>0.22715596330275228</v>
      </c>
    </row>
    <row r="144" spans="1:24">
      <c r="A144" s="11">
        <v>143</v>
      </c>
      <c r="B144" s="11" t="s">
        <v>512</v>
      </c>
      <c r="C144" s="11" t="s">
        <v>50</v>
      </c>
      <c r="D144" s="11" t="s">
        <v>17</v>
      </c>
      <c r="E144" s="12">
        <v>71.400000000000006</v>
      </c>
      <c r="F144" s="11" t="s">
        <v>2643</v>
      </c>
      <c r="G144" s="11" t="str">
        <f t="shared" si="26"/>
        <v>Litres</v>
      </c>
      <c r="H144" s="13">
        <v>539</v>
      </c>
      <c r="I144" s="11" t="s">
        <v>19</v>
      </c>
      <c r="J144" s="12">
        <v>43270</v>
      </c>
      <c r="K144" s="12" t="str">
        <f t="shared" si="18"/>
        <v>Medium</v>
      </c>
      <c r="L144" s="11" t="s">
        <v>20</v>
      </c>
      <c r="M144" s="14">
        <v>45484</v>
      </c>
      <c r="N144" s="14" t="str">
        <f t="shared" si="19"/>
        <v>11/07/2024</v>
      </c>
      <c r="O144" s="14" t="str">
        <f t="shared" si="20"/>
        <v>2024</v>
      </c>
      <c r="P144" s="11" t="s">
        <v>107</v>
      </c>
      <c r="Q144" s="11" t="s">
        <v>59</v>
      </c>
      <c r="R144" s="11">
        <v>6</v>
      </c>
      <c r="S144" s="11" t="str">
        <f t="shared" si="21"/>
        <v>5 - 8 yrs</v>
      </c>
      <c r="T144" s="12">
        <v>186.5</v>
      </c>
      <c r="U144" s="11" t="str">
        <f t="shared" si="22"/>
        <v>(151 - 200)</v>
      </c>
      <c r="V144" s="12">
        <f t="shared" si="23"/>
        <v>7.5490196078431371</v>
      </c>
      <c r="W144" s="12">
        <f t="shared" si="24"/>
        <v>80.278293135435987</v>
      </c>
      <c r="X144" s="12">
        <f t="shared" si="25"/>
        <v>0.34601113172541742</v>
      </c>
    </row>
    <row r="145" spans="1:24">
      <c r="A145" s="11">
        <v>144</v>
      </c>
      <c r="B145" s="11" t="s">
        <v>514</v>
      </c>
      <c r="C145" s="11" t="s">
        <v>39</v>
      </c>
      <c r="D145" s="11" t="s">
        <v>33</v>
      </c>
      <c r="E145" s="12">
        <v>82.8</v>
      </c>
      <c r="F145" s="11" t="s">
        <v>56</v>
      </c>
      <c r="G145" s="11" t="str">
        <f t="shared" si="26"/>
        <v>Litres</v>
      </c>
      <c r="H145" s="13">
        <v>274</v>
      </c>
      <c r="I145" s="11" t="s">
        <v>19</v>
      </c>
      <c r="J145" s="12">
        <v>78674</v>
      </c>
      <c r="K145" s="12" t="str">
        <f t="shared" si="18"/>
        <v>High</v>
      </c>
      <c r="L145" s="11" t="s">
        <v>20</v>
      </c>
      <c r="M145" s="14">
        <v>45399</v>
      </c>
      <c r="N145" s="14" t="str">
        <f t="shared" si="19"/>
        <v>17/04/2024</v>
      </c>
      <c r="O145" s="14" t="str">
        <f t="shared" si="20"/>
        <v>2024</v>
      </c>
      <c r="P145" s="11" t="s">
        <v>516</v>
      </c>
      <c r="Q145" s="11" t="s">
        <v>117</v>
      </c>
      <c r="R145" s="11">
        <v>5</v>
      </c>
      <c r="S145" s="11" t="str">
        <f t="shared" si="21"/>
        <v>5 - 8 yrs</v>
      </c>
      <c r="T145" s="12">
        <v>210</v>
      </c>
      <c r="U145" s="11" t="str">
        <f t="shared" si="22"/>
        <v>(201 - 250)</v>
      </c>
      <c r="V145" s="12">
        <f t="shared" si="23"/>
        <v>3.3091787439613527</v>
      </c>
      <c r="W145" s="12">
        <f t="shared" si="24"/>
        <v>287.13138686131384</v>
      </c>
      <c r="X145" s="12">
        <f t="shared" si="25"/>
        <v>0.76642335766423353</v>
      </c>
    </row>
    <row r="146" spans="1:24">
      <c r="A146" s="11">
        <v>145</v>
      </c>
      <c r="B146" s="11" t="s">
        <v>2449</v>
      </c>
      <c r="C146" s="11" t="s">
        <v>16</v>
      </c>
      <c r="D146" s="11" t="s">
        <v>17</v>
      </c>
      <c r="E146" s="12">
        <v>95.2</v>
      </c>
      <c r="F146" s="11" t="s">
        <v>62</v>
      </c>
      <c r="G146" s="11" t="str">
        <f t="shared" si="26"/>
        <v>kWh</v>
      </c>
      <c r="H146" s="13">
        <v>206</v>
      </c>
      <c r="I146" s="11" t="s">
        <v>19</v>
      </c>
      <c r="J146" s="12">
        <v>36260</v>
      </c>
      <c r="K146" s="12" t="str">
        <f t="shared" si="18"/>
        <v>Medium</v>
      </c>
      <c r="L146" s="11" t="s">
        <v>20</v>
      </c>
      <c r="M146" s="14">
        <v>45576</v>
      </c>
      <c r="N146" s="14" t="str">
        <f t="shared" si="19"/>
        <v>11/10/2024</v>
      </c>
      <c r="O146" s="14" t="str">
        <f t="shared" si="20"/>
        <v>2024</v>
      </c>
      <c r="P146" s="11" t="s">
        <v>519</v>
      </c>
      <c r="Q146" s="11" t="s">
        <v>112</v>
      </c>
      <c r="R146" s="11">
        <v>10</v>
      </c>
      <c r="S146" s="11" t="str">
        <f t="shared" si="21"/>
        <v>9 - 12 yrs</v>
      </c>
      <c r="T146" s="12">
        <v>279.7</v>
      </c>
      <c r="U146" s="11" t="str">
        <f t="shared" si="22"/>
        <v>(251 - 300)</v>
      </c>
      <c r="V146" s="12">
        <f t="shared" si="23"/>
        <v>2.1638655462184873</v>
      </c>
      <c r="W146" s="12">
        <f t="shared" si="24"/>
        <v>176.01941747572815</v>
      </c>
      <c r="X146" s="12">
        <f t="shared" si="25"/>
        <v>1.3577669902912621</v>
      </c>
    </row>
    <row r="147" spans="1:24">
      <c r="A147" s="11">
        <v>146</v>
      </c>
      <c r="B147" s="11" t="s">
        <v>2450</v>
      </c>
      <c r="C147" s="11" t="s">
        <v>50</v>
      </c>
      <c r="D147" s="11" t="s">
        <v>114</v>
      </c>
      <c r="E147" s="12">
        <v>82.8</v>
      </c>
      <c r="F147" s="11" t="s">
        <v>26</v>
      </c>
      <c r="G147" s="11" t="str">
        <f t="shared" si="26"/>
        <v>Litres</v>
      </c>
      <c r="H147" s="13">
        <v>498</v>
      </c>
      <c r="I147" s="11" t="s">
        <v>19</v>
      </c>
      <c r="J147" s="12">
        <v>41681</v>
      </c>
      <c r="K147" s="12" t="str">
        <f t="shared" si="18"/>
        <v>Medium</v>
      </c>
      <c r="L147" s="11" t="s">
        <v>20</v>
      </c>
      <c r="M147" s="14">
        <v>45280</v>
      </c>
      <c r="N147" s="14" t="str">
        <f t="shared" si="19"/>
        <v>20/12/2023</v>
      </c>
      <c r="O147" s="14" t="str">
        <f t="shared" si="20"/>
        <v>2023</v>
      </c>
      <c r="P147" s="11" t="s">
        <v>482</v>
      </c>
      <c r="Q147" s="11" t="s">
        <v>441</v>
      </c>
      <c r="R147" s="11">
        <v>8</v>
      </c>
      <c r="S147" s="11" t="str">
        <f t="shared" si="21"/>
        <v>5 - 8 yrs</v>
      </c>
      <c r="T147" s="12">
        <v>201.6</v>
      </c>
      <c r="U147" s="11" t="str">
        <f t="shared" si="22"/>
        <v>(201 - 250)</v>
      </c>
      <c r="V147" s="12">
        <f t="shared" si="23"/>
        <v>6.0144927536231885</v>
      </c>
      <c r="W147" s="12">
        <f t="shared" si="24"/>
        <v>83.696787148594382</v>
      </c>
      <c r="X147" s="12">
        <f t="shared" si="25"/>
        <v>0.40481927710843374</v>
      </c>
    </row>
    <row r="148" spans="1:24">
      <c r="A148" s="11">
        <v>147</v>
      </c>
      <c r="B148" s="11" t="s">
        <v>522</v>
      </c>
      <c r="C148" s="11" t="s">
        <v>32</v>
      </c>
      <c r="D148" s="11" t="s">
        <v>33</v>
      </c>
      <c r="E148" s="12">
        <v>32.5</v>
      </c>
      <c r="F148" s="11" t="s">
        <v>2643</v>
      </c>
      <c r="G148" s="11" t="str">
        <f t="shared" si="26"/>
        <v>Litres</v>
      </c>
      <c r="H148" s="13">
        <v>634</v>
      </c>
      <c r="I148" s="11" t="s">
        <v>19</v>
      </c>
      <c r="J148" s="12">
        <v>112105</v>
      </c>
      <c r="K148" s="12" t="str">
        <f t="shared" si="18"/>
        <v>Extreme</v>
      </c>
      <c r="L148" s="11" t="s">
        <v>20</v>
      </c>
      <c r="M148" s="14">
        <v>45090</v>
      </c>
      <c r="N148" s="14" t="str">
        <f t="shared" si="19"/>
        <v>13/06/2023</v>
      </c>
      <c r="O148" s="14" t="str">
        <f t="shared" si="20"/>
        <v>2023</v>
      </c>
      <c r="P148" s="11" t="s">
        <v>524</v>
      </c>
      <c r="Q148" s="11" t="s">
        <v>59</v>
      </c>
      <c r="R148" s="11">
        <v>16</v>
      </c>
      <c r="S148" s="11" t="str">
        <f t="shared" si="21"/>
        <v>13 - 16 yrs</v>
      </c>
      <c r="T148" s="12">
        <v>94.8</v>
      </c>
      <c r="U148" s="11" t="str">
        <f t="shared" si="22"/>
        <v>(51 - 100)</v>
      </c>
      <c r="V148" s="12">
        <f t="shared" si="23"/>
        <v>19.507692307692309</v>
      </c>
      <c r="W148" s="12">
        <f t="shared" si="24"/>
        <v>176.82176656151421</v>
      </c>
      <c r="X148" s="12">
        <f t="shared" si="25"/>
        <v>0.14952681388012617</v>
      </c>
    </row>
    <row r="149" spans="1:24">
      <c r="A149" s="11">
        <v>148</v>
      </c>
      <c r="B149" s="11" t="s">
        <v>525</v>
      </c>
      <c r="C149" s="11" t="s">
        <v>32</v>
      </c>
      <c r="D149" s="11" t="s">
        <v>114</v>
      </c>
      <c r="E149" s="12">
        <v>30.1</v>
      </c>
      <c r="F149" s="11" t="s">
        <v>26</v>
      </c>
      <c r="G149" s="11" t="str">
        <f t="shared" si="26"/>
        <v>Litres</v>
      </c>
      <c r="H149" s="13">
        <v>83</v>
      </c>
      <c r="I149" s="11" t="s">
        <v>19</v>
      </c>
      <c r="J149" s="12">
        <v>73376</v>
      </c>
      <c r="K149" s="12" t="str">
        <f t="shared" si="18"/>
        <v>High</v>
      </c>
      <c r="L149" s="11" t="s">
        <v>20</v>
      </c>
      <c r="M149" s="14">
        <v>44955</v>
      </c>
      <c r="N149" s="14" t="str">
        <f t="shared" si="19"/>
        <v>29/01/2023</v>
      </c>
      <c r="O149" s="14" t="str">
        <f t="shared" si="20"/>
        <v>2023</v>
      </c>
      <c r="P149" s="11" t="s">
        <v>527</v>
      </c>
      <c r="Q149" s="11" t="s">
        <v>54</v>
      </c>
      <c r="R149" s="11">
        <v>17</v>
      </c>
      <c r="S149" s="11" t="str">
        <f t="shared" si="21"/>
        <v>17 + yrs</v>
      </c>
      <c r="T149" s="12">
        <v>96.3</v>
      </c>
      <c r="U149" s="11" t="str">
        <f t="shared" si="22"/>
        <v>(51 - 100)</v>
      </c>
      <c r="V149" s="12">
        <f t="shared" si="23"/>
        <v>2.7574750830564785</v>
      </c>
      <c r="W149" s="12">
        <f t="shared" si="24"/>
        <v>884.04819277108436</v>
      </c>
      <c r="X149" s="12">
        <f t="shared" si="25"/>
        <v>1.1602409638554216</v>
      </c>
    </row>
    <row r="150" spans="1:24">
      <c r="A150" s="11">
        <v>149</v>
      </c>
      <c r="B150" s="11" t="s">
        <v>2451</v>
      </c>
      <c r="C150" s="11" t="s">
        <v>16</v>
      </c>
      <c r="D150" s="11" t="s">
        <v>33</v>
      </c>
      <c r="E150" s="12">
        <v>58.9</v>
      </c>
      <c r="F150" s="11" t="s">
        <v>62</v>
      </c>
      <c r="G150" s="11" t="str">
        <f t="shared" si="26"/>
        <v>kWh</v>
      </c>
      <c r="H150" s="13">
        <v>460</v>
      </c>
      <c r="I150" s="11" t="s">
        <v>19</v>
      </c>
      <c r="J150" s="12">
        <v>87447</v>
      </c>
      <c r="K150" s="12" t="str">
        <f t="shared" si="18"/>
        <v>High</v>
      </c>
      <c r="L150" s="11" t="s">
        <v>20</v>
      </c>
      <c r="M150" s="14">
        <v>45616</v>
      </c>
      <c r="N150" s="14" t="str">
        <f t="shared" si="19"/>
        <v>20/11/2024</v>
      </c>
      <c r="O150" s="14" t="str">
        <f t="shared" si="20"/>
        <v>2024</v>
      </c>
      <c r="P150" s="11" t="s">
        <v>530</v>
      </c>
      <c r="Q150" s="11" t="s">
        <v>112</v>
      </c>
      <c r="R150" s="11">
        <v>4</v>
      </c>
      <c r="S150" s="11" t="str">
        <f t="shared" si="21"/>
        <v>0 - 4 yrs</v>
      </c>
      <c r="T150" s="12">
        <v>186.3</v>
      </c>
      <c r="U150" s="11" t="str">
        <f t="shared" si="22"/>
        <v>(151 - 200)</v>
      </c>
      <c r="V150" s="12">
        <f t="shared" si="23"/>
        <v>7.8098471986417657</v>
      </c>
      <c r="W150" s="12">
        <f t="shared" si="24"/>
        <v>190.10217391304349</v>
      </c>
      <c r="X150" s="12">
        <f t="shared" si="25"/>
        <v>0.40500000000000003</v>
      </c>
    </row>
    <row r="151" spans="1:24">
      <c r="A151" s="11">
        <v>150</v>
      </c>
      <c r="B151" s="11" t="s">
        <v>531</v>
      </c>
      <c r="C151" s="11" t="s">
        <v>16</v>
      </c>
      <c r="D151" s="11" t="s">
        <v>17</v>
      </c>
      <c r="E151" s="12">
        <v>67.900000000000006</v>
      </c>
      <c r="F151" s="11" t="s">
        <v>62</v>
      </c>
      <c r="G151" s="11" t="str">
        <f t="shared" si="26"/>
        <v>kWh</v>
      </c>
      <c r="H151" s="13">
        <v>265</v>
      </c>
      <c r="I151" s="11" t="s">
        <v>19</v>
      </c>
      <c r="J151" s="12">
        <v>35455</v>
      </c>
      <c r="K151" s="12" t="str">
        <f t="shared" si="18"/>
        <v>Low</v>
      </c>
      <c r="L151" s="11" t="s">
        <v>20</v>
      </c>
      <c r="M151" s="14">
        <v>45070</v>
      </c>
      <c r="N151" s="14" t="str">
        <f t="shared" si="19"/>
        <v>24/05/2023</v>
      </c>
      <c r="O151" s="14" t="str">
        <f t="shared" si="20"/>
        <v>2023</v>
      </c>
      <c r="P151" s="11" t="s">
        <v>533</v>
      </c>
      <c r="Q151" s="11" t="s">
        <v>2648</v>
      </c>
      <c r="R151" s="11">
        <v>2</v>
      </c>
      <c r="S151" s="11" t="str">
        <f t="shared" si="21"/>
        <v>0 - 4 yrs</v>
      </c>
      <c r="T151" s="12">
        <v>187.3</v>
      </c>
      <c r="U151" s="11" t="str">
        <f t="shared" si="22"/>
        <v>(151 - 200)</v>
      </c>
      <c r="V151" s="12">
        <f t="shared" si="23"/>
        <v>3.9027982326951394</v>
      </c>
      <c r="W151" s="12">
        <f t="shared" si="24"/>
        <v>133.79245283018867</v>
      </c>
      <c r="X151" s="12">
        <f t="shared" si="25"/>
        <v>0.70679245283018877</v>
      </c>
    </row>
    <row r="152" spans="1:24">
      <c r="A152" s="11">
        <v>151</v>
      </c>
      <c r="B152" s="11" t="s">
        <v>534</v>
      </c>
      <c r="C152" s="11" t="s">
        <v>32</v>
      </c>
      <c r="D152" s="11" t="s">
        <v>33</v>
      </c>
      <c r="E152" s="12">
        <v>65.5</v>
      </c>
      <c r="F152" s="11" t="s">
        <v>26</v>
      </c>
      <c r="G152" s="11" t="str">
        <f t="shared" si="26"/>
        <v>Litres</v>
      </c>
      <c r="H152" s="13">
        <v>619</v>
      </c>
      <c r="I152" s="11" t="s">
        <v>19</v>
      </c>
      <c r="J152" s="12">
        <v>81795</v>
      </c>
      <c r="K152" s="12" t="str">
        <f t="shared" si="18"/>
        <v>High</v>
      </c>
      <c r="L152" s="11" t="s">
        <v>20</v>
      </c>
      <c r="M152" s="14">
        <v>45138</v>
      </c>
      <c r="N152" s="14" t="str">
        <f t="shared" si="19"/>
        <v>31/07/2023</v>
      </c>
      <c r="O152" s="14" t="str">
        <f t="shared" si="20"/>
        <v>2023</v>
      </c>
      <c r="P152" s="11" t="s">
        <v>536</v>
      </c>
      <c r="Q152" s="11" t="s">
        <v>48</v>
      </c>
      <c r="R152" s="11">
        <v>8</v>
      </c>
      <c r="S152" s="11" t="str">
        <f t="shared" si="21"/>
        <v>5 - 8 yrs</v>
      </c>
      <c r="T152" s="12">
        <v>139</v>
      </c>
      <c r="U152" s="11" t="str">
        <f t="shared" si="22"/>
        <v>(101 - 150)</v>
      </c>
      <c r="V152" s="12">
        <f t="shared" si="23"/>
        <v>9.4503816793893129</v>
      </c>
      <c r="W152" s="12">
        <f t="shared" si="24"/>
        <v>132.14054927302101</v>
      </c>
      <c r="X152" s="12">
        <f t="shared" si="25"/>
        <v>0.2245557350565428</v>
      </c>
    </row>
    <row r="153" spans="1:24">
      <c r="A153" s="11">
        <v>152</v>
      </c>
      <c r="B153" s="11" t="s">
        <v>537</v>
      </c>
      <c r="C153" s="11" t="s">
        <v>32</v>
      </c>
      <c r="D153" s="11" t="s">
        <v>114</v>
      </c>
      <c r="E153" s="12">
        <v>73.599999999999994</v>
      </c>
      <c r="F153" s="11" t="s">
        <v>56</v>
      </c>
      <c r="G153" s="11" t="str">
        <f t="shared" si="26"/>
        <v>Litres</v>
      </c>
      <c r="H153" s="13">
        <v>504</v>
      </c>
      <c r="I153" s="11" t="s">
        <v>19</v>
      </c>
      <c r="J153" s="12">
        <v>37699</v>
      </c>
      <c r="K153" s="12" t="str">
        <f t="shared" si="18"/>
        <v>Medium</v>
      </c>
      <c r="L153" s="11" t="s">
        <v>20</v>
      </c>
      <c r="M153" s="14">
        <v>45021</v>
      </c>
      <c r="N153" s="14" t="str">
        <f t="shared" si="19"/>
        <v>05/04/2023</v>
      </c>
      <c r="O153" s="14" t="str">
        <f t="shared" si="20"/>
        <v>2023</v>
      </c>
      <c r="P153" s="11" t="s">
        <v>539</v>
      </c>
      <c r="Q153" s="11" t="s">
        <v>54</v>
      </c>
      <c r="R153" s="11">
        <v>14</v>
      </c>
      <c r="S153" s="11" t="str">
        <f t="shared" si="21"/>
        <v>13 - 16 yrs</v>
      </c>
      <c r="T153" s="12">
        <v>254.2</v>
      </c>
      <c r="U153" s="11" t="str">
        <f t="shared" si="22"/>
        <v>(251 - 300)</v>
      </c>
      <c r="V153" s="12">
        <f t="shared" si="23"/>
        <v>6.8478260869565224</v>
      </c>
      <c r="W153" s="12">
        <f t="shared" si="24"/>
        <v>74.799603174603178</v>
      </c>
      <c r="X153" s="12">
        <f t="shared" si="25"/>
        <v>0.50436507936507935</v>
      </c>
    </row>
    <row r="154" spans="1:24">
      <c r="A154" s="11">
        <v>153</v>
      </c>
      <c r="B154" s="11" t="s">
        <v>540</v>
      </c>
      <c r="C154" s="11" t="s">
        <v>39</v>
      </c>
      <c r="D154" s="11" t="s">
        <v>17</v>
      </c>
      <c r="E154" s="12">
        <v>76.3</v>
      </c>
      <c r="F154" s="11" t="s">
        <v>2643</v>
      </c>
      <c r="G154" s="11" t="str">
        <f t="shared" si="26"/>
        <v>Litres</v>
      </c>
      <c r="H154" s="13">
        <v>391</v>
      </c>
      <c r="I154" s="11" t="s">
        <v>19</v>
      </c>
      <c r="J154" s="12">
        <v>29015</v>
      </c>
      <c r="K154" s="12" t="str">
        <f t="shared" si="18"/>
        <v>Low</v>
      </c>
      <c r="L154" s="11" t="s">
        <v>20</v>
      </c>
      <c r="M154" s="14">
        <v>45662</v>
      </c>
      <c r="N154" s="14" t="str">
        <f t="shared" si="19"/>
        <v>05/01/2025</v>
      </c>
      <c r="O154" s="14" t="str">
        <f t="shared" si="20"/>
        <v>2025</v>
      </c>
      <c r="P154" s="11" t="s">
        <v>542</v>
      </c>
      <c r="Q154" s="11" t="s">
        <v>117</v>
      </c>
      <c r="R154" s="11">
        <v>20</v>
      </c>
      <c r="S154" s="11" t="str">
        <f t="shared" si="21"/>
        <v>17 + yrs</v>
      </c>
      <c r="T154" s="12">
        <v>167</v>
      </c>
      <c r="U154" s="11" t="str">
        <f t="shared" si="22"/>
        <v>(151 - 200)</v>
      </c>
      <c r="V154" s="12">
        <f t="shared" si="23"/>
        <v>5.1245085190039319</v>
      </c>
      <c r="W154" s="12">
        <f t="shared" si="24"/>
        <v>74.207161125319686</v>
      </c>
      <c r="X154" s="12">
        <f t="shared" si="25"/>
        <v>0.42710997442455245</v>
      </c>
    </row>
    <row r="155" spans="1:24">
      <c r="A155" s="11">
        <v>154</v>
      </c>
      <c r="B155" s="11" t="s">
        <v>2452</v>
      </c>
      <c r="C155" s="11" t="s">
        <v>50</v>
      </c>
      <c r="D155" s="11" t="s">
        <v>33</v>
      </c>
      <c r="E155" s="12">
        <v>23.9</v>
      </c>
      <c r="F155" s="11" t="s">
        <v>41</v>
      </c>
      <c r="G155" s="11" t="str">
        <f t="shared" si="26"/>
        <v>Litres</v>
      </c>
      <c r="H155" s="13">
        <v>315</v>
      </c>
      <c r="I155" s="11" t="s">
        <v>19</v>
      </c>
      <c r="J155" s="12">
        <v>38512</v>
      </c>
      <c r="K155" s="12" t="str">
        <f t="shared" si="18"/>
        <v>Medium</v>
      </c>
      <c r="L155" s="11" t="s">
        <v>20</v>
      </c>
      <c r="M155" s="14">
        <v>44941</v>
      </c>
      <c r="N155" s="14" t="str">
        <f t="shared" si="19"/>
        <v>15/01/2023</v>
      </c>
      <c r="O155" s="14" t="str">
        <f t="shared" si="20"/>
        <v>2023</v>
      </c>
      <c r="P155" s="11" t="s">
        <v>545</v>
      </c>
      <c r="Q155" s="11" t="s">
        <v>48</v>
      </c>
      <c r="R155" s="11">
        <v>1</v>
      </c>
      <c r="S155" s="11" t="str">
        <f t="shared" si="21"/>
        <v>0 - 4 yrs</v>
      </c>
      <c r="T155" s="12">
        <v>81.5</v>
      </c>
      <c r="U155" s="11" t="str">
        <f t="shared" si="22"/>
        <v>(51 - 100)</v>
      </c>
      <c r="V155" s="12">
        <f t="shared" si="23"/>
        <v>13.179916317991633</v>
      </c>
      <c r="W155" s="12">
        <f t="shared" si="24"/>
        <v>122.26031746031747</v>
      </c>
      <c r="X155" s="12">
        <f t="shared" si="25"/>
        <v>0.25873015873015875</v>
      </c>
    </row>
    <row r="156" spans="1:24">
      <c r="A156" s="11">
        <v>155</v>
      </c>
      <c r="B156" s="11" t="s">
        <v>546</v>
      </c>
      <c r="C156" s="11" t="s">
        <v>16</v>
      </c>
      <c r="D156" s="11" t="s">
        <v>17</v>
      </c>
      <c r="E156" s="12">
        <v>24</v>
      </c>
      <c r="F156" s="11" t="s">
        <v>41</v>
      </c>
      <c r="G156" s="11" t="str">
        <f t="shared" si="26"/>
        <v>Litres</v>
      </c>
      <c r="H156" s="13">
        <v>58</v>
      </c>
      <c r="I156" s="11" t="s">
        <v>19</v>
      </c>
      <c r="J156" s="12">
        <v>61886</v>
      </c>
      <c r="K156" s="12" t="str">
        <f t="shared" si="18"/>
        <v>Moderate</v>
      </c>
      <c r="L156" s="11" t="s">
        <v>20</v>
      </c>
      <c r="M156" s="14">
        <v>45466</v>
      </c>
      <c r="N156" s="14" t="str">
        <f t="shared" si="19"/>
        <v>23/06/2024</v>
      </c>
      <c r="O156" s="14" t="str">
        <f t="shared" si="20"/>
        <v>2024</v>
      </c>
      <c r="P156" s="11" t="s">
        <v>479</v>
      </c>
      <c r="Q156" s="11" t="s">
        <v>117</v>
      </c>
      <c r="R156" s="11">
        <v>10</v>
      </c>
      <c r="S156" s="11" t="str">
        <f t="shared" si="21"/>
        <v>9 - 12 yrs</v>
      </c>
      <c r="T156" s="12">
        <v>79.8</v>
      </c>
      <c r="U156" s="11" t="str">
        <f t="shared" si="22"/>
        <v>(51 - 100)</v>
      </c>
      <c r="V156" s="12">
        <f t="shared" si="23"/>
        <v>2.4166666666666665</v>
      </c>
      <c r="W156" s="12">
        <f t="shared" si="24"/>
        <v>1067</v>
      </c>
      <c r="X156" s="12">
        <f t="shared" si="25"/>
        <v>1.3758620689655172</v>
      </c>
    </row>
    <row r="157" spans="1:24">
      <c r="A157" s="11">
        <v>156</v>
      </c>
      <c r="B157" s="11" t="s">
        <v>2453</v>
      </c>
      <c r="C157" s="11" t="s">
        <v>39</v>
      </c>
      <c r="D157" s="11" t="s">
        <v>17</v>
      </c>
      <c r="E157" s="12">
        <v>14.1</v>
      </c>
      <c r="F157" s="11" t="s">
        <v>62</v>
      </c>
      <c r="G157" s="11" t="str">
        <f t="shared" si="26"/>
        <v>kWh</v>
      </c>
      <c r="H157" s="13">
        <v>545</v>
      </c>
      <c r="I157" s="11" t="s">
        <v>19</v>
      </c>
      <c r="J157" s="12">
        <v>9073</v>
      </c>
      <c r="K157" s="12" t="str">
        <f t="shared" si="18"/>
        <v>Very Low</v>
      </c>
      <c r="L157" s="11" t="s">
        <v>20</v>
      </c>
      <c r="M157" s="14">
        <v>44934</v>
      </c>
      <c r="N157" s="14" t="str">
        <f t="shared" si="19"/>
        <v>08/01/2023</v>
      </c>
      <c r="O157" s="14" t="str">
        <f t="shared" si="20"/>
        <v>2023</v>
      </c>
      <c r="P157" s="11" t="s">
        <v>549</v>
      </c>
      <c r="Q157" s="11" t="s">
        <v>2648</v>
      </c>
      <c r="R157" s="11">
        <v>15</v>
      </c>
      <c r="S157" s="11" t="str">
        <f t="shared" si="21"/>
        <v>13 - 16 yrs</v>
      </c>
      <c r="T157" s="12">
        <v>35.9</v>
      </c>
      <c r="U157" s="11" t="str">
        <f t="shared" si="22"/>
        <v>(0 - 50)</v>
      </c>
      <c r="V157" s="12">
        <f t="shared" si="23"/>
        <v>38.652482269503544</v>
      </c>
      <c r="W157" s="12">
        <f t="shared" si="24"/>
        <v>16.647706422018349</v>
      </c>
      <c r="X157" s="12">
        <f t="shared" si="25"/>
        <v>6.5871559633027515E-2</v>
      </c>
    </row>
    <row r="158" spans="1:24">
      <c r="A158" s="11">
        <v>157</v>
      </c>
      <c r="B158" s="11" t="s">
        <v>550</v>
      </c>
      <c r="C158" s="11" t="s">
        <v>32</v>
      </c>
      <c r="D158" s="11" t="s">
        <v>17</v>
      </c>
      <c r="E158" s="12">
        <v>62.4</v>
      </c>
      <c r="F158" s="11" t="s">
        <v>56</v>
      </c>
      <c r="G158" s="11" t="str">
        <f t="shared" si="26"/>
        <v>Litres</v>
      </c>
      <c r="H158" s="13">
        <v>274</v>
      </c>
      <c r="I158" s="11" t="s">
        <v>19</v>
      </c>
      <c r="J158" s="12">
        <v>80995</v>
      </c>
      <c r="K158" s="12" t="str">
        <f t="shared" si="18"/>
        <v>High</v>
      </c>
      <c r="L158" s="11" t="s">
        <v>20</v>
      </c>
      <c r="M158" s="14">
        <v>45409</v>
      </c>
      <c r="N158" s="14" t="str">
        <f t="shared" si="19"/>
        <v>27/04/2024</v>
      </c>
      <c r="O158" s="14" t="str">
        <f t="shared" si="20"/>
        <v>2024</v>
      </c>
      <c r="P158" s="11" t="s">
        <v>552</v>
      </c>
      <c r="Q158" s="11" t="s">
        <v>117</v>
      </c>
      <c r="R158" s="11">
        <v>1</v>
      </c>
      <c r="S158" s="11" t="str">
        <f t="shared" si="21"/>
        <v>0 - 4 yrs</v>
      </c>
      <c r="T158" s="12">
        <v>174.2</v>
      </c>
      <c r="U158" s="11" t="str">
        <f t="shared" si="22"/>
        <v>(151 - 200)</v>
      </c>
      <c r="V158" s="12">
        <f t="shared" si="23"/>
        <v>4.3910256410256414</v>
      </c>
      <c r="W158" s="12">
        <f t="shared" si="24"/>
        <v>295.60218978102188</v>
      </c>
      <c r="X158" s="12">
        <f t="shared" si="25"/>
        <v>0.6357664233576642</v>
      </c>
    </row>
    <row r="159" spans="1:24">
      <c r="A159" s="11">
        <v>158</v>
      </c>
      <c r="B159" s="11" t="s">
        <v>2454</v>
      </c>
      <c r="C159" s="11" t="s">
        <v>39</v>
      </c>
      <c r="D159" s="11" t="s">
        <v>17</v>
      </c>
      <c r="E159" s="12">
        <v>51.4</v>
      </c>
      <c r="F159" s="11" t="s">
        <v>26</v>
      </c>
      <c r="G159" s="11" t="str">
        <f t="shared" si="26"/>
        <v>Litres</v>
      </c>
      <c r="H159" s="13">
        <v>300</v>
      </c>
      <c r="I159" s="11" t="s">
        <v>19</v>
      </c>
      <c r="J159" s="12">
        <v>85849</v>
      </c>
      <c r="K159" s="12" t="str">
        <f t="shared" si="18"/>
        <v>High</v>
      </c>
      <c r="L159" s="11" t="s">
        <v>20</v>
      </c>
      <c r="M159" s="14">
        <v>45188</v>
      </c>
      <c r="N159" s="14" t="str">
        <f t="shared" si="19"/>
        <v>19/09/2023</v>
      </c>
      <c r="O159" s="14" t="str">
        <f t="shared" si="20"/>
        <v>2023</v>
      </c>
      <c r="P159" s="11" t="s">
        <v>555</v>
      </c>
      <c r="Q159" s="11" t="s">
        <v>69</v>
      </c>
      <c r="R159" s="11">
        <v>11</v>
      </c>
      <c r="S159" s="11" t="str">
        <f t="shared" si="21"/>
        <v>9 - 12 yrs</v>
      </c>
      <c r="T159" s="12">
        <v>175.6</v>
      </c>
      <c r="U159" s="11" t="str">
        <f t="shared" si="22"/>
        <v>(151 - 200)</v>
      </c>
      <c r="V159" s="12">
        <f t="shared" si="23"/>
        <v>5.8365758754863819</v>
      </c>
      <c r="W159" s="12">
        <f t="shared" si="24"/>
        <v>286.16333333333336</v>
      </c>
      <c r="X159" s="12">
        <f t="shared" si="25"/>
        <v>0.58533333333333326</v>
      </c>
    </row>
    <row r="160" spans="1:24">
      <c r="A160" s="11">
        <v>159</v>
      </c>
      <c r="B160" s="11" t="s">
        <v>556</v>
      </c>
      <c r="C160" s="11" t="s">
        <v>32</v>
      </c>
      <c r="D160" s="11" t="s">
        <v>33</v>
      </c>
      <c r="E160" s="12">
        <v>35.4</v>
      </c>
      <c r="F160" s="11" t="s">
        <v>41</v>
      </c>
      <c r="G160" s="11" t="str">
        <f t="shared" si="26"/>
        <v>Litres</v>
      </c>
      <c r="H160" s="13">
        <v>389</v>
      </c>
      <c r="I160" s="11" t="s">
        <v>19</v>
      </c>
      <c r="J160" s="12">
        <v>43138</v>
      </c>
      <c r="K160" s="12" t="str">
        <f t="shared" si="18"/>
        <v>Medium</v>
      </c>
      <c r="L160" s="11" t="s">
        <v>20</v>
      </c>
      <c r="M160" s="14">
        <v>45794</v>
      </c>
      <c r="N160" s="14" t="str">
        <f t="shared" si="19"/>
        <v>17/05/2025</v>
      </c>
      <c r="O160" s="14" t="str">
        <f t="shared" si="20"/>
        <v>2025</v>
      </c>
      <c r="P160" s="11" t="s">
        <v>558</v>
      </c>
      <c r="Q160" s="11" t="s">
        <v>48</v>
      </c>
      <c r="R160" s="11">
        <v>5</v>
      </c>
      <c r="S160" s="11" t="str">
        <f t="shared" si="21"/>
        <v>5 - 8 yrs</v>
      </c>
      <c r="T160" s="12">
        <v>84.7</v>
      </c>
      <c r="U160" s="11" t="str">
        <f t="shared" si="22"/>
        <v>(51 - 100)</v>
      </c>
      <c r="V160" s="12">
        <f t="shared" si="23"/>
        <v>10.988700564971753</v>
      </c>
      <c r="W160" s="12">
        <f t="shared" si="24"/>
        <v>110.89460154241645</v>
      </c>
      <c r="X160" s="12">
        <f t="shared" si="25"/>
        <v>0.21773778920308484</v>
      </c>
    </row>
    <row r="161" spans="1:24">
      <c r="A161" s="11">
        <v>160</v>
      </c>
      <c r="B161" s="11" t="s">
        <v>559</v>
      </c>
      <c r="C161" s="11" t="s">
        <v>16</v>
      </c>
      <c r="D161" s="11" t="s">
        <v>17</v>
      </c>
      <c r="E161" s="12">
        <v>51.3</v>
      </c>
      <c r="F161" s="11" t="s">
        <v>26</v>
      </c>
      <c r="G161" s="11" t="str">
        <f t="shared" si="26"/>
        <v>Litres</v>
      </c>
      <c r="H161" s="13">
        <v>456</v>
      </c>
      <c r="I161" s="11" t="s">
        <v>19</v>
      </c>
      <c r="J161" s="12">
        <v>11362</v>
      </c>
      <c r="K161" s="12" t="str">
        <f t="shared" si="18"/>
        <v>Very Low</v>
      </c>
      <c r="L161" s="11" t="s">
        <v>20</v>
      </c>
      <c r="M161" s="14">
        <v>45603</v>
      </c>
      <c r="N161" s="14" t="str">
        <f t="shared" si="19"/>
        <v>07/11/2024</v>
      </c>
      <c r="O161" s="14" t="str">
        <f t="shared" si="20"/>
        <v>2024</v>
      </c>
      <c r="P161" s="11" t="s">
        <v>561</v>
      </c>
      <c r="Q161" s="11" t="s">
        <v>54</v>
      </c>
      <c r="R161" s="11">
        <v>3</v>
      </c>
      <c r="S161" s="11" t="str">
        <f t="shared" si="21"/>
        <v>0 - 4 yrs</v>
      </c>
      <c r="T161" s="12">
        <v>155.9</v>
      </c>
      <c r="U161" s="11" t="str">
        <f t="shared" si="22"/>
        <v>(151 - 200)</v>
      </c>
      <c r="V161" s="12">
        <f t="shared" si="23"/>
        <v>8.8888888888888893</v>
      </c>
      <c r="W161" s="12">
        <f t="shared" si="24"/>
        <v>24.916666666666668</v>
      </c>
      <c r="X161" s="12">
        <f t="shared" si="25"/>
        <v>0.34188596491228074</v>
      </c>
    </row>
    <row r="162" spans="1:24">
      <c r="A162" s="11">
        <v>161</v>
      </c>
      <c r="B162" s="11" t="s">
        <v>562</v>
      </c>
      <c r="C162" s="11" t="s">
        <v>32</v>
      </c>
      <c r="D162" s="11" t="s">
        <v>61</v>
      </c>
      <c r="E162" s="12">
        <v>10</v>
      </c>
      <c r="F162" s="11" t="s">
        <v>2643</v>
      </c>
      <c r="G162" s="11" t="str">
        <f t="shared" si="26"/>
        <v>Litres</v>
      </c>
      <c r="H162" s="13">
        <v>253</v>
      </c>
      <c r="I162" s="11" t="s">
        <v>19</v>
      </c>
      <c r="J162" s="12">
        <v>97499</v>
      </c>
      <c r="K162" s="12" t="str">
        <f t="shared" si="18"/>
        <v>Very High</v>
      </c>
      <c r="L162" s="11" t="s">
        <v>20</v>
      </c>
      <c r="M162" s="14">
        <v>45483</v>
      </c>
      <c r="N162" s="14" t="str">
        <f t="shared" si="19"/>
        <v>10/07/2024</v>
      </c>
      <c r="O162" s="14" t="str">
        <f t="shared" si="20"/>
        <v>2024</v>
      </c>
      <c r="P162" s="11" t="s">
        <v>564</v>
      </c>
      <c r="Q162" s="11" t="s">
        <v>86</v>
      </c>
      <c r="R162" s="11">
        <v>8</v>
      </c>
      <c r="S162" s="11" t="str">
        <f t="shared" si="21"/>
        <v>5 - 8 yrs</v>
      </c>
      <c r="T162" s="12">
        <v>0</v>
      </c>
      <c r="U162" s="11" t="str">
        <f t="shared" si="22"/>
        <v>(0 - 50)</v>
      </c>
      <c r="V162" s="12">
        <f t="shared" si="23"/>
        <v>25.3</v>
      </c>
      <c r="W162" s="12">
        <f t="shared" si="24"/>
        <v>385.37154150197631</v>
      </c>
      <c r="X162" s="12">
        <f t="shared" si="25"/>
        <v>0</v>
      </c>
    </row>
    <row r="163" spans="1:24">
      <c r="A163" s="11">
        <v>162</v>
      </c>
      <c r="B163" s="11" t="s">
        <v>565</v>
      </c>
      <c r="C163" s="11" t="s">
        <v>50</v>
      </c>
      <c r="D163" s="11" t="s">
        <v>33</v>
      </c>
      <c r="E163" s="12">
        <v>62.4</v>
      </c>
      <c r="F163" s="11" t="s">
        <v>56</v>
      </c>
      <c r="G163" s="11" t="str">
        <f t="shared" si="26"/>
        <v>Litres</v>
      </c>
      <c r="H163" s="13">
        <v>320</v>
      </c>
      <c r="I163" s="11" t="s">
        <v>19</v>
      </c>
      <c r="J163" s="12">
        <v>99714</v>
      </c>
      <c r="K163" s="12" t="str">
        <f t="shared" si="18"/>
        <v>Very High</v>
      </c>
      <c r="L163" s="11" t="s">
        <v>20</v>
      </c>
      <c r="M163" s="14">
        <v>45402</v>
      </c>
      <c r="N163" s="14" t="str">
        <f t="shared" si="19"/>
        <v>20/04/2024</v>
      </c>
      <c r="O163" s="14" t="str">
        <f t="shared" si="20"/>
        <v>2024</v>
      </c>
      <c r="P163" s="11" t="s">
        <v>404</v>
      </c>
      <c r="Q163" s="11" t="s">
        <v>121</v>
      </c>
      <c r="R163" s="11">
        <v>3</v>
      </c>
      <c r="S163" s="11" t="str">
        <f t="shared" si="21"/>
        <v>0 - 4 yrs</v>
      </c>
      <c r="T163" s="12">
        <v>200</v>
      </c>
      <c r="U163" s="11" t="str">
        <f t="shared" si="22"/>
        <v>(151 - 200)</v>
      </c>
      <c r="V163" s="12">
        <f t="shared" si="23"/>
        <v>5.1282051282051286</v>
      </c>
      <c r="W163" s="12">
        <f t="shared" si="24"/>
        <v>311.60624999999999</v>
      </c>
      <c r="X163" s="12">
        <f t="shared" si="25"/>
        <v>0.625</v>
      </c>
    </row>
    <row r="164" spans="1:24">
      <c r="A164" s="11">
        <v>163</v>
      </c>
      <c r="B164" s="11" t="s">
        <v>2455</v>
      </c>
      <c r="C164" s="11" t="s">
        <v>16</v>
      </c>
      <c r="D164" s="11" t="s">
        <v>33</v>
      </c>
      <c r="E164" s="12">
        <v>70</v>
      </c>
      <c r="F164" s="11" t="s">
        <v>56</v>
      </c>
      <c r="G164" s="11" t="str">
        <f t="shared" si="26"/>
        <v>Litres</v>
      </c>
      <c r="H164" s="13">
        <v>300</v>
      </c>
      <c r="I164" s="11" t="s">
        <v>19</v>
      </c>
      <c r="J164" s="12">
        <v>106948</v>
      </c>
      <c r="K164" s="12" t="str">
        <f t="shared" si="18"/>
        <v>Very High</v>
      </c>
      <c r="L164" s="11" t="s">
        <v>20</v>
      </c>
      <c r="M164" s="14">
        <v>45823</v>
      </c>
      <c r="N164" s="14" t="str">
        <f t="shared" si="19"/>
        <v>15/06/2025</v>
      </c>
      <c r="O164" s="14" t="str">
        <f t="shared" si="20"/>
        <v>2025</v>
      </c>
      <c r="P164" s="11" t="s">
        <v>569</v>
      </c>
      <c r="Q164" s="11" t="s">
        <v>69</v>
      </c>
      <c r="R164" s="11">
        <v>5</v>
      </c>
      <c r="S164" s="11" t="str">
        <f t="shared" si="21"/>
        <v>5 - 8 yrs</v>
      </c>
      <c r="T164" s="12">
        <v>227.3</v>
      </c>
      <c r="U164" s="11" t="str">
        <f t="shared" si="22"/>
        <v>(201 - 250)</v>
      </c>
      <c r="V164" s="12">
        <f t="shared" si="23"/>
        <v>4.2857142857142856</v>
      </c>
      <c r="W164" s="12">
        <f t="shared" si="24"/>
        <v>356.49333333333334</v>
      </c>
      <c r="X164" s="12">
        <f t="shared" si="25"/>
        <v>0.75766666666666671</v>
      </c>
    </row>
    <row r="165" spans="1:24">
      <c r="A165" s="11">
        <v>164</v>
      </c>
      <c r="B165" s="11" t="s">
        <v>570</v>
      </c>
      <c r="C165" s="11" t="s">
        <v>39</v>
      </c>
      <c r="D165" s="11" t="s">
        <v>114</v>
      </c>
      <c r="E165" s="12">
        <v>38.700000000000003</v>
      </c>
      <c r="F165" s="11" t="s">
        <v>2643</v>
      </c>
      <c r="G165" s="11" t="str">
        <f t="shared" si="26"/>
        <v>Litres</v>
      </c>
      <c r="H165" s="13">
        <v>138</v>
      </c>
      <c r="I165" s="11" t="s">
        <v>19</v>
      </c>
      <c r="J165" s="12">
        <v>8255</v>
      </c>
      <c r="K165" s="12" t="str">
        <f t="shared" si="18"/>
        <v>Very Low</v>
      </c>
      <c r="L165" s="11" t="s">
        <v>20</v>
      </c>
      <c r="M165" s="14">
        <v>45164</v>
      </c>
      <c r="N165" s="14" t="str">
        <f t="shared" si="19"/>
        <v>26/08/2023</v>
      </c>
      <c r="O165" s="14" t="str">
        <f t="shared" si="20"/>
        <v>2023</v>
      </c>
      <c r="P165" s="11" t="s">
        <v>572</v>
      </c>
      <c r="Q165" s="11" t="s">
        <v>2648</v>
      </c>
      <c r="R165" s="11">
        <v>15</v>
      </c>
      <c r="S165" s="11" t="str">
        <f t="shared" si="21"/>
        <v>13 - 16 yrs</v>
      </c>
      <c r="T165" s="12">
        <v>99.4</v>
      </c>
      <c r="U165" s="11" t="str">
        <f t="shared" si="22"/>
        <v>(51 - 100)</v>
      </c>
      <c r="V165" s="12">
        <f t="shared" si="23"/>
        <v>3.5658914728682167</v>
      </c>
      <c r="W165" s="12">
        <f t="shared" si="24"/>
        <v>59.818840579710148</v>
      </c>
      <c r="X165" s="12">
        <f t="shared" si="25"/>
        <v>0.72028985507246379</v>
      </c>
    </row>
    <row r="166" spans="1:24">
      <c r="A166" s="11">
        <v>165</v>
      </c>
      <c r="B166" s="11" t="s">
        <v>573</v>
      </c>
      <c r="C166" s="11" t="s">
        <v>39</v>
      </c>
      <c r="D166" s="11" t="s">
        <v>33</v>
      </c>
      <c r="E166" s="12">
        <v>68.099999999999994</v>
      </c>
      <c r="F166" s="11" t="s">
        <v>41</v>
      </c>
      <c r="G166" s="11" t="str">
        <f t="shared" si="26"/>
        <v>Litres</v>
      </c>
      <c r="H166" s="13">
        <v>199</v>
      </c>
      <c r="I166" s="11" t="s">
        <v>19</v>
      </c>
      <c r="J166" s="12">
        <v>7334</v>
      </c>
      <c r="K166" s="12" t="str">
        <f t="shared" ref="K166:K229" si="27">IF(J166&lt;18000,"Very Low",IF(J166&lt;36000,"Low",IF(J166&lt;54000,"Medium",IF(J166&lt;72000,"Moderate",IF(J166&lt;90000,"High",IF(J166&lt;108000,"Very High","Extreme"))))))</f>
        <v>Very Low</v>
      </c>
      <c r="L166" s="11" t="s">
        <v>20</v>
      </c>
      <c r="M166" s="14">
        <v>44974</v>
      </c>
      <c r="N166" s="14" t="str">
        <f t="shared" ref="N166:N229" si="28">TEXT(M166,"dd/mm/yyyy")</f>
        <v>17/02/2023</v>
      </c>
      <c r="O166" s="14" t="str">
        <f t="shared" ref="O166:O229" si="29">TEXT(M166,"yyyy")</f>
        <v>2023</v>
      </c>
      <c r="P166" s="11" t="s">
        <v>575</v>
      </c>
      <c r="Q166" s="11" t="s">
        <v>54</v>
      </c>
      <c r="R166" s="11">
        <v>2</v>
      </c>
      <c r="S166" s="11" t="str">
        <f t="shared" ref="S166:S229" si="30">IF(R166&lt;=4,"0 - 4 yrs",IF(R166&lt;=8,"5 - 8 yrs",IF(R166&lt;=12,"9 - 12 yrs",IF(R166&lt;=16,"13 - 16 yrs","17 + yrs"))))</f>
        <v>0 - 4 yrs</v>
      </c>
      <c r="T166" s="12">
        <v>179.8</v>
      </c>
      <c r="U166" s="11" t="str">
        <f t="shared" ref="U166:U229" si="31">IF(T166&lt;=50,"(0 - 50)",IF(T166&lt;=100,"(51 - 100)",IF(T166&lt;=150,"(101 - 150)",IF(T166&lt;=200,"(151 - 200)",IF(T166&lt;=250,"(201 - 250)",IF(T166&lt;=300,"(251 - 300)","(301 - 350)"))))))</f>
        <v>(151 - 200)</v>
      </c>
      <c r="V166" s="12">
        <f t="shared" ref="V166:V229" si="32">H166/E166</f>
        <v>2.9221732745961821</v>
      </c>
      <c r="W166" s="12">
        <f t="shared" ref="W166:W229" si="33">J166/H166</f>
        <v>36.854271356783919</v>
      </c>
      <c r="X166" s="12">
        <f t="shared" ref="X166:X229" si="34">T166/H166</f>
        <v>0.9035175879396985</v>
      </c>
    </row>
    <row r="167" spans="1:24">
      <c r="A167" s="11">
        <v>166</v>
      </c>
      <c r="B167" s="11" t="s">
        <v>576</v>
      </c>
      <c r="C167" s="11" t="s">
        <v>32</v>
      </c>
      <c r="D167" s="11" t="s">
        <v>17</v>
      </c>
      <c r="E167" s="12">
        <v>96.6</v>
      </c>
      <c r="F167" s="11" t="s">
        <v>2643</v>
      </c>
      <c r="G167" s="11" t="str">
        <f t="shared" si="26"/>
        <v>Litres</v>
      </c>
      <c r="H167" s="13">
        <v>499</v>
      </c>
      <c r="I167" s="11" t="s">
        <v>19</v>
      </c>
      <c r="J167" s="12">
        <v>62853</v>
      </c>
      <c r="K167" s="12" t="str">
        <f t="shared" si="27"/>
        <v>Moderate</v>
      </c>
      <c r="L167" s="11" t="s">
        <v>20</v>
      </c>
      <c r="M167" s="14">
        <v>45166</v>
      </c>
      <c r="N167" s="14" t="str">
        <f t="shared" si="28"/>
        <v>28/08/2023</v>
      </c>
      <c r="O167" s="14" t="str">
        <f t="shared" si="29"/>
        <v>2023</v>
      </c>
      <c r="P167" s="11" t="s">
        <v>578</v>
      </c>
      <c r="Q167" s="11" t="s">
        <v>48</v>
      </c>
      <c r="R167" s="11">
        <v>20</v>
      </c>
      <c r="S167" s="11" t="str">
        <f t="shared" si="30"/>
        <v>17 + yrs</v>
      </c>
      <c r="T167" s="12">
        <v>241.4</v>
      </c>
      <c r="U167" s="11" t="str">
        <f t="shared" si="31"/>
        <v>(201 - 250)</v>
      </c>
      <c r="V167" s="12">
        <f t="shared" si="32"/>
        <v>5.1656314699792967</v>
      </c>
      <c r="W167" s="12">
        <f t="shared" si="33"/>
        <v>125.95791583166333</v>
      </c>
      <c r="X167" s="12">
        <f t="shared" si="34"/>
        <v>0.48376753507014031</v>
      </c>
    </row>
    <row r="168" spans="1:24">
      <c r="A168" s="11">
        <v>167</v>
      </c>
      <c r="B168" s="11" t="s">
        <v>334</v>
      </c>
      <c r="C168" s="11" t="s">
        <v>50</v>
      </c>
      <c r="D168" s="11" t="s">
        <v>33</v>
      </c>
      <c r="E168" s="12">
        <v>29.4</v>
      </c>
      <c r="F168" s="11" t="s">
        <v>26</v>
      </c>
      <c r="G168" s="11" t="str">
        <f t="shared" si="26"/>
        <v>Litres</v>
      </c>
      <c r="H168" s="13">
        <v>414</v>
      </c>
      <c r="I168" s="11" t="s">
        <v>19</v>
      </c>
      <c r="J168" s="12">
        <v>35546</v>
      </c>
      <c r="K168" s="12" t="str">
        <f t="shared" si="27"/>
        <v>Low</v>
      </c>
      <c r="L168" s="11" t="s">
        <v>20</v>
      </c>
      <c r="M168" s="14">
        <v>44977</v>
      </c>
      <c r="N168" s="14" t="str">
        <f t="shared" si="28"/>
        <v>20/02/2023</v>
      </c>
      <c r="O168" s="14" t="str">
        <f t="shared" si="29"/>
        <v>2023</v>
      </c>
      <c r="P168" s="11" t="s">
        <v>580</v>
      </c>
      <c r="Q168" s="11" t="s">
        <v>112</v>
      </c>
      <c r="R168" s="11">
        <v>18</v>
      </c>
      <c r="S168" s="11" t="str">
        <f t="shared" si="30"/>
        <v>17 + yrs</v>
      </c>
      <c r="T168" s="12">
        <v>98.9</v>
      </c>
      <c r="U168" s="11" t="str">
        <f t="shared" si="31"/>
        <v>(51 - 100)</v>
      </c>
      <c r="V168" s="12">
        <f t="shared" si="32"/>
        <v>14.081632653061225</v>
      </c>
      <c r="W168" s="12">
        <f t="shared" si="33"/>
        <v>85.859903381642511</v>
      </c>
      <c r="X168" s="12">
        <f t="shared" si="34"/>
        <v>0.2388888888888889</v>
      </c>
    </row>
    <row r="169" spans="1:24">
      <c r="A169" s="11">
        <v>168</v>
      </c>
      <c r="B169" s="11" t="s">
        <v>581</v>
      </c>
      <c r="C169" s="11" t="s">
        <v>50</v>
      </c>
      <c r="D169" s="11" t="s">
        <v>17</v>
      </c>
      <c r="E169" s="12">
        <v>40.6</v>
      </c>
      <c r="F169" s="11" t="s">
        <v>2643</v>
      </c>
      <c r="G169" s="11" t="str">
        <f t="shared" si="26"/>
        <v>Litres</v>
      </c>
      <c r="H169" s="13">
        <v>431</v>
      </c>
      <c r="I169" s="11" t="s">
        <v>19</v>
      </c>
      <c r="J169" s="12">
        <v>103632</v>
      </c>
      <c r="K169" s="12" t="str">
        <f t="shared" si="27"/>
        <v>Very High</v>
      </c>
      <c r="L169" s="11" t="s">
        <v>20</v>
      </c>
      <c r="M169" s="14">
        <v>45441</v>
      </c>
      <c r="N169" s="14" t="str">
        <f t="shared" si="28"/>
        <v>29/05/2024</v>
      </c>
      <c r="O169" s="14" t="str">
        <f t="shared" si="29"/>
        <v>2024</v>
      </c>
      <c r="P169" s="11" t="s">
        <v>583</v>
      </c>
      <c r="Q169" s="11" t="s">
        <v>69</v>
      </c>
      <c r="R169" s="11">
        <v>1</v>
      </c>
      <c r="S169" s="11" t="str">
        <f t="shared" si="30"/>
        <v>0 - 4 yrs</v>
      </c>
      <c r="T169" s="12">
        <v>121.5</v>
      </c>
      <c r="U169" s="11" t="str">
        <f t="shared" si="31"/>
        <v>(101 - 150)</v>
      </c>
      <c r="V169" s="12">
        <f t="shared" si="32"/>
        <v>10.615763546798028</v>
      </c>
      <c r="W169" s="12">
        <f t="shared" si="33"/>
        <v>240.44547563805105</v>
      </c>
      <c r="X169" s="12">
        <f t="shared" si="34"/>
        <v>0.28190255220417632</v>
      </c>
    </row>
    <row r="170" spans="1:24">
      <c r="A170" s="11">
        <v>169</v>
      </c>
      <c r="B170" s="11" t="s">
        <v>584</v>
      </c>
      <c r="C170" s="11" t="s">
        <v>50</v>
      </c>
      <c r="D170" s="11" t="s">
        <v>33</v>
      </c>
      <c r="E170" s="12">
        <v>24.7</v>
      </c>
      <c r="F170" s="11" t="s">
        <v>62</v>
      </c>
      <c r="G170" s="11" t="str">
        <f t="shared" si="26"/>
        <v>kWh</v>
      </c>
      <c r="H170" s="13">
        <v>35</v>
      </c>
      <c r="I170" s="11" t="s">
        <v>19</v>
      </c>
      <c r="J170" s="12">
        <v>52137</v>
      </c>
      <c r="K170" s="12" t="str">
        <f t="shared" si="27"/>
        <v>Medium</v>
      </c>
      <c r="L170" s="11" t="s">
        <v>20</v>
      </c>
      <c r="M170" s="14">
        <v>45766</v>
      </c>
      <c r="N170" s="14" t="str">
        <f t="shared" si="28"/>
        <v>19/04/2025</v>
      </c>
      <c r="O170" s="14" t="str">
        <f t="shared" si="29"/>
        <v>2025</v>
      </c>
      <c r="P170" s="11" t="s">
        <v>586</v>
      </c>
      <c r="Q170" s="11" t="s">
        <v>86</v>
      </c>
      <c r="R170" s="11">
        <v>10</v>
      </c>
      <c r="S170" s="11" t="str">
        <f t="shared" si="30"/>
        <v>9 - 12 yrs</v>
      </c>
      <c r="T170" s="12">
        <v>74.3</v>
      </c>
      <c r="U170" s="11" t="str">
        <f t="shared" si="31"/>
        <v>(51 - 100)</v>
      </c>
      <c r="V170" s="12">
        <f t="shared" si="32"/>
        <v>1.417004048582996</v>
      </c>
      <c r="W170" s="12">
        <f t="shared" si="33"/>
        <v>1489.6285714285714</v>
      </c>
      <c r="X170" s="12">
        <f t="shared" si="34"/>
        <v>2.1228571428571428</v>
      </c>
    </row>
    <row r="171" spans="1:24">
      <c r="A171" s="11">
        <v>170</v>
      </c>
      <c r="B171" s="11" t="s">
        <v>587</v>
      </c>
      <c r="C171" s="11" t="s">
        <v>39</v>
      </c>
      <c r="D171" s="11" t="s">
        <v>17</v>
      </c>
      <c r="E171" s="12">
        <v>63.8</v>
      </c>
      <c r="F171" s="11" t="s">
        <v>56</v>
      </c>
      <c r="G171" s="11" t="str">
        <f t="shared" si="26"/>
        <v>Litres</v>
      </c>
      <c r="H171" s="13">
        <v>138</v>
      </c>
      <c r="I171" s="11" t="s">
        <v>19</v>
      </c>
      <c r="J171" s="12">
        <v>95963</v>
      </c>
      <c r="K171" s="12" t="str">
        <f t="shared" si="27"/>
        <v>Very High</v>
      </c>
      <c r="L171" s="11" t="s">
        <v>20</v>
      </c>
      <c r="M171" s="14">
        <v>45180</v>
      </c>
      <c r="N171" s="14" t="str">
        <f t="shared" si="28"/>
        <v>11/09/2023</v>
      </c>
      <c r="O171" s="14" t="str">
        <f t="shared" si="29"/>
        <v>2023</v>
      </c>
      <c r="P171" s="11" t="s">
        <v>589</v>
      </c>
      <c r="Q171" s="11" t="s">
        <v>2648</v>
      </c>
      <c r="R171" s="11">
        <v>14</v>
      </c>
      <c r="S171" s="11" t="str">
        <f t="shared" si="30"/>
        <v>13 - 16 yrs</v>
      </c>
      <c r="T171" s="12">
        <v>166.9</v>
      </c>
      <c r="U171" s="11" t="str">
        <f t="shared" si="31"/>
        <v>(151 - 200)</v>
      </c>
      <c r="V171" s="12">
        <f t="shared" si="32"/>
        <v>2.1630094043887147</v>
      </c>
      <c r="W171" s="12">
        <f t="shared" si="33"/>
        <v>695.3840579710145</v>
      </c>
      <c r="X171" s="12">
        <f t="shared" si="34"/>
        <v>1.2094202898550726</v>
      </c>
    </row>
    <row r="172" spans="1:24">
      <c r="A172" s="11">
        <v>171</v>
      </c>
      <c r="B172" s="11" t="s">
        <v>590</v>
      </c>
      <c r="C172" s="11" t="s">
        <v>32</v>
      </c>
      <c r="D172" s="11" t="s">
        <v>61</v>
      </c>
      <c r="E172" s="12">
        <v>10</v>
      </c>
      <c r="F172" s="11" t="s">
        <v>62</v>
      </c>
      <c r="G172" s="11" t="str">
        <f t="shared" si="26"/>
        <v>kWh</v>
      </c>
      <c r="H172" s="13">
        <v>451</v>
      </c>
      <c r="I172" s="11" t="s">
        <v>19</v>
      </c>
      <c r="J172" s="12">
        <v>98039</v>
      </c>
      <c r="K172" s="12" t="str">
        <f t="shared" si="27"/>
        <v>Very High</v>
      </c>
      <c r="L172" s="11" t="s">
        <v>20</v>
      </c>
      <c r="M172" s="14">
        <v>45469</v>
      </c>
      <c r="N172" s="14" t="str">
        <f t="shared" si="28"/>
        <v>26/06/2024</v>
      </c>
      <c r="O172" s="14" t="str">
        <f t="shared" si="29"/>
        <v>2024</v>
      </c>
      <c r="P172" s="11" t="s">
        <v>592</v>
      </c>
      <c r="Q172" s="11" t="s">
        <v>117</v>
      </c>
      <c r="R172" s="11">
        <v>12</v>
      </c>
      <c r="S172" s="11" t="str">
        <f t="shared" si="30"/>
        <v>9 - 12 yrs</v>
      </c>
      <c r="T172" s="12">
        <v>0</v>
      </c>
      <c r="U172" s="11" t="str">
        <f t="shared" si="31"/>
        <v>(0 - 50)</v>
      </c>
      <c r="V172" s="12">
        <f t="shared" si="32"/>
        <v>45.1</v>
      </c>
      <c r="W172" s="12">
        <f t="shared" si="33"/>
        <v>217.38137472283813</v>
      </c>
      <c r="X172" s="12">
        <f t="shared" si="34"/>
        <v>0</v>
      </c>
    </row>
    <row r="173" spans="1:24">
      <c r="A173" s="11">
        <v>172</v>
      </c>
      <c r="B173" s="11" t="s">
        <v>593</v>
      </c>
      <c r="C173" s="11" t="s">
        <v>50</v>
      </c>
      <c r="D173" s="11" t="s">
        <v>17</v>
      </c>
      <c r="E173" s="12">
        <v>5.0999999999999996</v>
      </c>
      <c r="F173" s="11" t="s">
        <v>41</v>
      </c>
      <c r="G173" s="11" t="str">
        <f t="shared" si="26"/>
        <v>Litres</v>
      </c>
      <c r="H173" s="13">
        <v>161</v>
      </c>
      <c r="I173" s="11" t="s">
        <v>19</v>
      </c>
      <c r="J173" s="12">
        <v>20373</v>
      </c>
      <c r="K173" s="12" t="str">
        <f t="shared" si="27"/>
        <v>Low</v>
      </c>
      <c r="L173" s="11" t="s">
        <v>20</v>
      </c>
      <c r="M173" s="14">
        <v>45388</v>
      </c>
      <c r="N173" s="14" t="str">
        <f t="shared" si="28"/>
        <v>06/04/2024</v>
      </c>
      <c r="O173" s="14" t="str">
        <f t="shared" si="29"/>
        <v>2024</v>
      </c>
      <c r="P173" s="11" t="s">
        <v>595</v>
      </c>
      <c r="Q173" s="11" t="s">
        <v>117</v>
      </c>
      <c r="R173" s="11">
        <v>15</v>
      </c>
      <c r="S173" s="11" t="str">
        <f t="shared" si="30"/>
        <v>13 - 16 yrs</v>
      </c>
      <c r="T173" s="12">
        <v>10.4</v>
      </c>
      <c r="U173" s="11" t="str">
        <f t="shared" si="31"/>
        <v>(0 - 50)</v>
      </c>
      <c r="V173" s="12">
        <f t="shared" si="32"/>
        <v>31.568627450980394</v>
      </c>
      <c r="W173" s="12">
        <f t="shared" si="33"/>
        <v>126.54037267080746</v>
      </c>
      <c r="X173" s="12">
        <f t="shared" si="34"/>
        <v>6.4596273291925466E-2</v>
      </c>
    </row>
    <row r="174" spans="1:24">
      <c r="A174" s="11">
        <v>173</v>
      </c>
      <c r="B174" s="11" t="s">
        <v>596</v>
      </c>
      <c r="C174" s="11" t="s">
        <v>39</v>
      </c>
      <c r="D174" s="11" t="s">
        <v>33</v>
      </c>
      <c r="E174" s="12">
        <v>11</v>
      </c>
      <c r="F174" s="11" t="s">
        <v>56</v>
      </c>
      <c r="G174" s="11" t="str">
        <f t="shared" si="26"/>
        <v>Litres</v>
      </c>
      <c r="H174" s="13">
        <v>192</v>
      </c>
      <c r="I174" s="11" t="s">
        <v>19</v>
      </c>
      <c r="J174" s="12">
        <v>13010</v>
      </c>
      <c r="K174" s="12" t="str">
        <f t="shared" si="27"/>
        <v>Very Low</v>
      </c>
      <c r="L174" s="11" t="s">
        <v>20</v>
      </c>
      <c r="M174" s="14">
        <v>45684</v>
      </c>
      <c r="N174" s="14" t="str">
        <f t="shared" si="28"/>
        <v>27/01/2025</v>
      </c>
      <c r="O174" s="14" t="str">
        <f t="shared" si="29"/>
        <v>2025</v>
      </c>
      <c r="P174" s="11" t="s">
        <v>555</v>
      </c>
      <c r="Q174" s="11" t="s">
        <v>121</v>
      </c>
      <c r="R174" s="11">
        <v>18</v>
      </c>
      <c r="S174" s="11" t="str">
        <f t="shared" si="30"/>
        <v>17 + yrs</v>
      </c>
      <c r="T174" s="12">
        <v>29</v>
      </c>
      <c r="U174" s="11" t="str">
        <f t="shared" si="31"/>
        <v>(0 - 50)</v>
      </c>
      <c r="V174" s="12">
        <f t="shared" si="32"/>
        <v>17.454545454545453</v>
      </c>
      <c r="W174" s="12">
        <f t="shared" si="33"/>
        <v>67.760416666666671</v>
      </c>
      <c r="X174" s="12">
        <f t="shared" si="34"/>
        <v>0.15104166666666666</v>
      </c>
    </row>
    <row r="175" spans="1:24">
      <c r="A175" s="11">
        <v>174</v>
      </c>
      <c r="B175" s="11" t="s">
        <v>598</v>
      </c>
      <c r="C175" s="11" t="s">
        <v>50</v>
      </c>
      <c r="D175" s="11" t="s">
        <v>61</v>
      </c>
      <c r="E175" s="12">
        <v>10</v>
      </c>
      <c r="F175" s="11" t="s">
        <v>41</v>
      </c>
      <c r="G175" s="11" t="str">
        <f t="shared" si="26"/>
        <v>Litres</v>
      </c>
      <c r="H175" s="13">
        <v>149</v>
      </c>
      <c r="I175" s="11" t="s">
        <v>19</v>
      </c>
      <c r="J175" s="12">
        <v>46391</v>
      </c>
      <c r="K175" s="12" t="str">
        <f t="shared" si="27"/>
        <v>Medium</v>
      </c>
      <c r="L175" s="11" t="s">
        <v>20</v>
      </c>
      <c r="M175" s="14">
        <v>45584</v>
      </c>
      <c r="N175" s="14" t="str">
        <f t="shared" si="28"/>
        <v>19/10/2024</v>
      </c>
      <c r="O175" s="14" t="str">
        <f t="shared" si="29"/>
        <v>2024</v>
      </c>
      <c r="P175" s="11" t="s">
        <v>600</v>
      </c>
      <c r="Q175" s="11" t="s">
        <v>441</v>
      </c>
      <c r="R175" s="11">
        <v>4</v>
      </c>
      <c r="S175" s="11" t="str">
        <f t="shared" si="30"/>
        <v>0 - 4 yrs</v>
      </c>
      <c r="T175" s="12">
        <v>0</v>
      </c>
      <c r="U175" s="11" t="str">
        <f t="shared" si="31"/>
        <v>(0 - 50)</v>
      </c>
      <c r="V175" s="12">
        <f t="shared" si="32"/>
        <v>14.9</v>
      </c>
      <c r="W175" s="12">
        <f t="shared" si="33"/>
        <v>311.34899328859058</v>
      </c>
      <c r="X175" s="12">
        <f t="shared" si="34"/>
        <v>0</v>
      </c>
    </row>
    <row r="176" spans="1:24">
      <c r="A176" s="11">
        <v>175</v>
      </c>
      <c r="B176" s="11" t="s">
        <v>601</v>
      </c>
      <c r="C176" s="11" t="s">
        <v>39</v>
      </c>
      <c r="D176" s="11" t="s">
        <v>33</v>
      </c>
      <c r="E176" s="12">
        <v>52.5</v>
      </c>
      <c r="F176" s="11" t="s">
        <v>62</v>
      </c>
      <c r="G176" s="11" t="str">
        <f t="shared" si="26"/>
        <v>kWh</v>
      </c>
      <c r="H176" s="13">
        <v>430</v>
      </c>
      <c r="I176" s="11" t="s">
        <v>19</v>
      </c>
      <c r="J176" s="12">
        <v>82731</v>
      </c>
      <c r="K176" s="12" t="str">
        <f t="shared" si="27"/>
        <v>High</v>
      </c>
      <c r="L176" s="11" t="s">
        <v>20</v>
      </c>
      <c r="M176" s="14">
        <v>45608</v>
      </c>
      <c r="N176" s="14" t="str">
        <f t="shared" si="28"/>
        <v>12/11/2024</v>
      </c>
      <c r="O176" s="14" t="str">
        <f t="shared" si="29"/>
        <v>2024</v>
      </c>
      <c r="P176" s="11" t="s">
        <v>603</v>
      </c>
      <c r="Q176" s="11" t="s">
        <v>121</v>
      </c>
      <c r="R176" s="11">
        <v>2</v>
      </c>
      <c r="S176" s="11" t="str">
        <f t="shared" si="30"/>
        <v>0 - 4 yrs</v>
      </c>
      <c r="T176" s="12">
        <v>136.9</v>
      </c>
      <c r="U176" s="11" t="str">
        <f t="shared" si="31"/>
        <v>(101 - 150)</v>
      </c>
      <c r="V176" s="12">
        <f t="shared" si="32"/>
        <v>8.1904761904761898</v>
      </c>
      <c r="W176" s="12">
        <f t="shared" si="33"/>
        <v>192.39767441860465</v>
      </c>
      <c r="X176" s="12">
        <f t="shared" si="34"/>
        <v>0.31837209302325581</v>
      </c>
    </row>
    <row r="177" spans="1:24">
      <c r="A177" s="11">
        <v>176</v>
      </c>
      <c r="B177" s="11" t="s">
        <v>604</v>
      </c>
      <c r="C177" s="11" t="s">
        <v>50</v>
      </c>
      <c r="D177" s="11" t="s">
        <v>61</v>
      </c>
      <c r="E177" s="12">
        <v>10</v>
      </c>
      <c r="F177" s="11" t="s">
        <v>62</v>
      </c>
      <c r="G177" s="11" t="str">
        <f t="shared" si="26"/>
        <v>kWh</v>
      </c>
      <c r="H177" s="13">
        <v>134</v>
      </c>
      <c r="I177" s="11" t="s">
        <v>19</v>
      </c>
      <c r="J177" s="12">
        <v>18672</v>
      </c>
      <c r="K177" s="12" t="str">
        <f t="shared" si="27"/>
        <v>Low</v>
      </c>
      <c r="L177" s="11" t="s">
        <v>20</v>
      </c>
      <c r="M177" s="14">
        <v>45050</v>
      </c>
      <c r="N177" s="14" t="str">
        <f t="shared" si="28"/>
        <v>04/05/2023</v>
      </c>
      <c r="O177" s="14" t="str">
        <f t="shared" si="29"/>
        <v>2023</v>
      </c>
      <c r="P177" s="11" t="s">
        <v>606</v>
      </c>
      <c r="Q177" s="11" t="s">
        <v>112</v>
      </c>
      <c r="R177" s="11">
        <v>2</v>
      </c>
      <c r="S177" s="11" t="str">
        <f t="shared" si="30"/>
        <v>0 - 4 yrs</v>
      </c>
      <c r="T177" s="12">
        <v>0</v>
      </c>
      <c r="U177" s="11" t="str">
        <f t="shared" si="31"/>
        <v>(0 - 50)</v>
      </c>
      <c r="V177" s="12">
        <f t="shared" si="32"/>
        <v>13.4</v>
      </c>
      <c r="W177" s="12">
        <f t="shared" si="33"/>
        <v>139.34328358208955</v>
      </c>
      <c r="X177" s="12">
        <f t="shared" si="34"/>
        <v>0</v>
      </c>
    </row>
    <row r="178" spans="1:24">
      <c r="A178" s="11">
        <v>177</v>
      </c>
      <c r="B178" s="11" t="s">
        <v>607</v>
      </c>
      <c r="C178" s="11" t="s">
        <v>16</v>
      </c>
      <c r="D178" s="11" t="s">
        <v>33</v>
      </c>
      <c r="E178" s="12">
        <v>82.8</v>
      </c>
      <c r="F178" s="11" t="s">
        <v>2643</v>
      </c>
      <c r="G178" s="11" t="str">
        <f t="shared" si="26"/>
        <v>Litres</v>
      </c>
      <c r="H178" s="13">
        <v>593</v>
      </c>
      <c r="I178" s="11" t="s">
        <v>19</v>
      </c>
      <c r="J178" s="12">
        <v>32730</v>
      </c>
      <c r="K178" s="12" t="str">
        <f t="shared" si="27"/>
        <v>Low</v>
      </c>
      <c r="L178" s="11" t="s">
        <v>20</v>
      </c>
      <c r="M178" s="14">
        <v>45423</v>
      </c>
      <c r="N178" s="14" t="str">
        <f t="shared" si="28"/>
        <v>11/05/2024</v>
      </c>
      <c r="O178" s="14" t="str">
        <f t="shared" si="29"/>
        <v>2024</v>
      </c>
      <c r="P178" s="11" t="s">
        <v>609</v>
      </c>
      <c r="Q178" s="11" t="s">
        <v>117</v>
      </c>
      <c r="R178" s="11">
        <v>2</v>
      </c>
      <c r="S178" s="11" t="str">
        <f t="shared" si="30"/>
        <v>0 - 4 yrs</v>
      </c>
      <c r="T178" s="12">
        <v>258.10000000000002</v>
      </c>
      <c r="U178" s="11" t="str">
        <f t="shared" si="31"/>
        <v>(251 - 300)</v>
      </c>
      <c r="V178" s="12">
        <f t="shared" si="32"/>
        <v>7.1618357487922708</v>
      </c>
      <c r="W178" s="12">
        <f t="shared" si="33"/>
        <v>55.193929173693085</v>
      </c>
      <c r="X178" s="12">
        <f t="shared" si="34"/>
        <v>0.43524451939291742</v>
      </c>
    </row>
    <row r="179" spans="1:24">
      <c r="A179" s="11">
        <v>178</v>
      </c>
      <c r="B179" s="11" t="s">
        <v>610</v>
      </c>
      <c r="C179" s="11" t="s">
        <v>39</v>
      </c>
      <c r="D179" s="11" t="s">
        <v>61</v>
      </c>
      <c r="E179" s="12">
        <v>10</v>
      </c>
      <c r="F179" s="11" t="s">
        <v>56</v>
      </c>
      <c r="G179" s="11" t="str">
        <f t="shared" si="26"/>
        <v>Litres</v>
      </c>
      <c r="H179" s="13">
        <v>589</v>
      </c>
      <c r="I179" s="11" t="s">
        <v>19</v>
      </c>
      <c r="J179" s="12">
        <v>106486</v>
      </c>
      <c r="K179" s="12" t="str">
        <f t="shared" si="27"/>
        <v>Very High</v>
      </c>
      <c r="L179" s="11" t="s">
        <v>20</v>
      </c>
      <c r="M179" s="14">
        <v>45173</v>
      </c>
      <c r="N179" s="14" t="str">
        <f t="shared" si="28"/>
        <v>04/09/2023</v>
      </c>
      <c r="O179" s="14" t="str">
        <f t="shared" si="29"/>
        <v>2023</v>
      </c>
      <c r="P179" s="11" t="s">
        <v>612</v>
      </c>
      <c r="Q179" s="11" t="s">
        <v>121</v>
      </c>
      <c r="R179" s="11">
        <v>6</v>
      </c>
      <c r="S179" s="11" t="str">
        <f t="shared" si="30"/>
        <v>5 - 8 yrs</v>
      </c>
      <c r="T179" s="12">
        <v>0</v>
      </c>
      <c r="U179" s="11" t="str">
        <f t="shared" si="31"/>
        <v>(0 - 50)</v>
      </c>
      <c r="V179" s="12">
        <f t="shared" si="32"/>
        <v>58.9</v>
      </c>
      <c r="W179" s="12">
        <f t="shared" si="33"/>
        <v>180.79117147707979</v>
      </c>
      <c r="X179" s="12">
        <f t="shared" si="34"/>
        <v>0</v>
      </c>
    </row>
    <row r="180" spans="1:24">
      <c r="A180" s="11">
        <v>179</v>
      </c>
      <c r="B180" s="11" t="s">
        <v>613</v>
      </c>
      <c r="C180" s="11" t="s">
        <v>16</v>
      </c>
      <c r="D180" s="11" t="s">
        <v>61</v>
      </c>
      <c r="E180" s="12">
        <v>10</v>
      </c>
      <c r="F180" s="11" t="s">
        <v>56</v>
      </c>
      <c r="G180" s="11" t="str">
        <f t="shared" si="26"/>
        <v>Litres</v>
      </c>
      <c r="H180" s="13">
        <v>625</v>
      </c>
      <c r="I180" s="11" t="s">
        <v>19</v>
      </c>
      <c r="J180" s="12">
        <v>114028</v>
      </c>
      <c r="K180" s="12" t="str">
        <f t="shared" si="27"/>
        <v>Extreme</v>
      </c>
      <c r="L180" s="11" t="s">
        <v>20</v>
      </c>
      <c r="M180" s="14">
        <v>45083</v>
      </c>
      <c r="N180" s="14" t="str">
        <f t="shared" si="28"/>
        <v>06/06/2023</v>
      </c>
      <c r="O180" s="14" t="str">
        <f t="shared" si="29"/>
        <v>2023</v>
      </c>
      <c r="P180" s="11" t="s">
        <v>615</v>
      </c>
      <c r="Q180" s="11" t="s">
        <v>69</v>
      </c>
      <c r="R180" s="11">
        <v>3</v>
      </c>
      <c r="S180" s="11" t="str">
        <f t="shared" si="30"/>
        <v>0 - 4 yrs</v>
      </c>
      <c r="T180" s="12">
        <v>0</v>
      </c>
      <c r="U180" s="11" t="str">
        <f t="shared" si="31"/>
        <v>(0 - 50)</v>
      </c>
      <c r="V180" s="12">
        <f t="shared" si="32"/>
        <v>62.5</v>
      </c>
      <c r="W180" s="12">
        <f t="shared" si="33"/>
        <v>182.44479999999999</v>
      </c>
      <c r="X180" s="12">
        <f t="shared" si="34"/>
        <v>0</v>
      </c>
    </row>
    <row r="181" spans="1:24">
      <c r="A181" s="11">
        <v>180</v>
      </c>
      <c r="B181" s="11" t="s">
        <v>616</v>
      </c>
      <c r="C181" s="11" t="s">
        <v>32</v>
      </c>
      <c r="D181" s="11" t="s">
        <v>114</v>
      </c>
      <c r="E181" s="12">
        <v>34.299999999999997</v>
      </c>
      <c r="F181" s="11" t="s">
        <v>2643</v>
      </c>
      <c r="G181" s="11" t="str">
        <f t="shared" si="26"/>
        <v>Litres</v>
      </c>
      <c r="H181" s="13">
        <v>690</v>
      </c>
      <c r="I181" s="11" t="s">
        <v>19</v>
      </c>
      <c r="J181" s="12">
        <v>50545</v>
      </c>
      <c r="K181" s="12" t="str">
        <f t="shared" si="27"/>
        <v>Medium</v>
      </c>
      <c r="L181" s="11" t="s">
        <v>20</v>
      </c>
      <c r="M181" s="14">
        <v>44951</v>
      </c>
      <c r="N181" s="14" t="str">
        <f t="shared" si="28"/>
        <v>25/01/2023</v>
      </c>
      <c r="O181" s="14" t="str">
        <f t="shared" si="29"/>
        <v>2023</v>
      </c>
      <c r="P181" s="11" t="s">
        <v>618</v>
      </c>
      <c r="Q181" s="11" t="s">
        <v>48</v>
      </c>
      <c r="R181" s="11">
        <v>10</v>
      </c>
      <c r="S181" s="11" t="str">
        <f t="shared" si="30"/>
        <v>9 - 12 yrs</v>
      </c>
      <c r="T181" s="12">
        <v>104.8</v>
      </c>
      <c r="U181" s="11" t="str">
        <f t="shared" si="31"/>
        <v>(101 - 150)</v>
      </c>
      <c r="V181" s="12">
        <f t="shared" si="32"/>
        <v>20.11661807580175</v>
      </c>
      <c r="W181" s="12">
        <f t="shared" si="33"/>
        <v>73.253623188405797</v>
      </c>
      <c r="X181" s="12">
        <f t="shared" si="34"/>
        <v>0.15188405797101448</v>
      </c>
    </row>
    <row r="182" spans="1:24">
      <c r="A182" s="11">
        <v>181</v>
      </c>
      <c r="B182" s="11" t="s">
        <v>619</v>
      </c>
      <c r="C182" s="11" t="s">
        <v>32</v>
      </c>
      <c r="D182" s="11" t="s">
        <v>33</v>
      </c>
      <c r="E182" s="12">
        <v>7.6</v>
      </c>
      <c r="F182" s="11" t="s">
        <v>41</v>
      </c>
      <c r="G182" s="11" t="str">
        <f t="shared" si="26"/>
        <v>Litres</v>
      </c>
      <c r="H182" s="13">
        <v>237</v>
      </c>
      <c r="I182" s="11" t="s">
        <v>19</v>
      </c>
      <c r="J182" s="12">
        <v>68594</v>
      </c>
      <c r="K182" s="12" t="str">
        <f t="shared" si="27"/>
        <v>Moderate</v>
      </c>
      <c r="L182" s="11" t="s">
        <v>20</v>
      </c>
      <c r="M182" s="14">
        <v>44948</v>
      </c>
      <c r="N182" s="14" t="str">
        <f t="shared" si="28"/>
        <v>22/01/2023</v>
      </c>
      <c r="O182" s="14" t="str">
        <f t="shared" si="29"/>
        <v>2023</v>
      </c>
      <c r="P182" s="11" t="s">
        <v>621</v>
      </c>
      <c r="Q182" s="11" t="s">
        <v>121</v>
      </c>
      <c r="R182" s="11">
        <v>3</v>
      </c>
      <c r="S182" s="11" t="str">
        <f t="shared" si="30"/>
        <v>0 - 4 yrs</v>
      </c>
      <c r="T182" s="12">
        <v>26.2</v>
      </c>
      <c r="U182" s="11" t="str">
        <f t="shared" si="31"/>
        <v>(0 - 50)</v>
      </c>
      <c r="V182" s="12">
        <f t="shared" si="32"/>
        <v>31.184210526315791</v>
      </c>
      <c r="W182" s="12">
        <f t="shared" si="33"/>
        <v>289.42616033755274</v>
      </c>
      <c r="X182" s="12">
        <f t="shared" si="34"/>
        <v>0.11054852320675106</v>
      </c>
    </row>
    <row r="183" spans="1:24">
      <c r="A183" s="11">
        <v>182</v>
      </c>
      <c r="B183" s="11" t="s">
        <v>2456</v>
      </c>
      <c r="C183" s="11" t="s">
        <v>32</v>
      </c>
      <c r="D183" s="11" t="s">
        <v>33</v>
      </c>
      <c r="E183" s="12">
        <v>22.8</v>
      </c>
      <c r="F183" s="11" t="s">
        <v>2643</v>
      </c>
      <c r="G183" s="11" t="str">
        <f t="shared" si="26"/>
        <v>Litres</v>
      </c>
      <c r="H183" s="13">
        <v>417</v>
      </c>
      <c r="I183" s="11" t="s">
        <v>19</v>
      </c>
      <c r="J183" s="12">
        <v>5505</v>
      </c>
      <c r="K183" s="12" t="str">
        <f t="shared" si="27"/>
        <v>Very Low</v>
      </c>
      <c r="L183" s="11" t="s">
        <v>20</v>
      </c>
      <c r="M183" s="14">
        <v>45229</v>
      </c>
      <c r="N183" s="14" t="str">
        <f t="shared" si="28"/>
        <v>30/10/2023</v>
      </c>
      <c r="O183" s="14" t="str">
        <f t="shared" si="29"/>
        <v>2023</v>
      </c>
      <c r="P183" s="11" t="s">
        <v>624</v>
      </c>
      <c r="Q183" s="11" t="s">
        <v>2648</v>
      </c>
      <c r="R183" s="11">
        <v>17</v>
      </c>
      <c r="S183" s="11" t="str">
        <f t="shared" si="30"/>
        <v>17 + yrs</v>
      </c>
      <c r="T183" s="12">
        <v>77.400000000000006</v>
      </c>
      <c r="U183" s="11" t="str">
        <f t="shared" si="31"/>
        <v>(51 - 100)</v>
      </c>
      <c r="V183" s="12">
        <f t="shared" si="32"/>
        <v>18.289473684210527</v>
      </c>
      <c r="W183" s="12">
        <f t="shared" si="33"/>
        <v>13.201438848920864</v>
      </c>
      <c r="X183" s="12">
        <f t="shared" si="34"/>
        <v>0.18561151079136692</v>
      </c>
    </row>
    <row r="184" spans="1:24">
      <c r="A184" s="11">
        <v>183</v>
      </c>
      <c r="B184" s="11" t="s">
        <v>625</v>
      </c>
      <c r="C184" s="11" t="s">
        <v>50</v>
      </c>
      <c r="D184" s="11" t="s">
        <v>114</v>
      </c>
      <c r="E184" s="12">
        <v>53.9</v>
      </c>
      <c r="F184" s="11" t="s">
        <v>41</v>
      </c>
      <c r="G184" s="11" t="str">
        <f t="shared" si="26"/>
        <v>Litres</v>
      </c>
      <c r="H184" s="13">
        <v>683</v>
      </c>
      <c r="I184" s="11" t="s">
        <v>19</v>
      </c>
      <c r="J184" s="12">
        <v>119408</v>
      </c>
      <c r="K184" s="12" t="str">
        <f t="shared" si="27"/>
        <v>Extreme</v>
      </c>
      <c r="L184" s="11" t="s">
        <v>20</v>
      </c>
      <c r="M184" s="14">
        <v>45217</v>
      </c>
      <c r="N184" s="14" t="str">
        <f t="shared" si="28"/>
        <v>18/10/2023</v>
      </c>
      <c r="O184" s="14" t="str">
        <f t="shared" si="29"/>
        <v>2023</v>
      </c>
      <c r="P184" s="11" t="s">
        <v>627</v>
      </c>
      <c r="Q184" s="11" t="s">
        <v>54</v>
      </c>
      <c r="R184" s="11">
        <v>16</v>
      </c>
      <c r="S184" s="11" t="str">
        <f t="shared" si="30"/>
        <v>13 - 16 yrs</v>
      </c>
      <c r="T184" s="12">
        <v>173.8</v>
      </c>
      <c r="U184" s="11" t="str">
        <f t="shared" si="31"/>
        <v>(151 - 200)</v>
      </c>
      <c r="V184" s="12">
        <f t="shared" si="32"/>
        <v>12.671614100185529</v>
      </c>
      <c r="W184" s="12">
        <f t="shared" si="33"/>
        <v>174.82869692532944</v>
      </c>
      <c r="X184" s="12">
        <f t="shared" si="34"/>
        <v>0.25446559297218158</v>
      </c>
    </row>
    <row r="185" spans="1:24">
      <c r="A185" s="11">
        <v>184</v>
      </c>
      <c r="B185" s="11" t="s">
        <v>628</v>
      </c>
      <c r="C185" s="11" t="s">
        <v>32</v>
      </c>
      <c r="D185" s="11" t="s">
        <v>17</v>
      </c>
      <c r="E185" s="12">
        <v>14.6</v>
      </c>
      <c r="F185" s="11" t="s">
        <v>62</v>
      </c>
      <c r="G185" s="11" t="str">
        <f t="shared" si="26"/>
        <v>kWh</v>
      </c>
      <c r="H185" s="13">
        <v>506</v>
      </c>
      <c r="I185" s="11" t="s">
        <v>19</v>
      </c>
      <c r="J185" s="12">
        <v>52954</v>
      </c>
      <c r="K185" s="12" t="str">
        <f t="shared" si="27"/>
        <v>Medium</v>
      </c>
      <c r="L185" s="11" t="s">
        <v>20</v>
      </c>
      <c r="M185" s="14">
        <v>45448</v>
      </c>
      <c r="N185" s="14" t="str">
        <f t="shared" si="28"/>
        <v>05/06/2024</v>
      </c>
      <c r="O185" s="14" t="str">
        <f t="shared" si="29"/>
        <v>2024</v>
      </c>
      <c r="P185" s="11" t="s">
        <v>630</v>
      </c>
      <c r="Q185" s="11" t="s">
        <v>54</v>
      </c>
      <c r="R185" s="11">
        <v>2</v>
      </c>
      <c r="S185" s="11" t="str">
        <f t="shared" si="30"/>
        <v>0 - 4 yrs</v>
      </c>
      <c r="T185" s="12">
        <v>39.1</v>
      </c>
      <c r="U185" s="11" t="str">
        <f t="shared" si="31"/>
        <v>(0 - 50)</v>
      </c>
      <c r="V185" s="12">
        <f t="shared" si="32"/>
        <v>34.657534246575345</v>
      </c>
      <c r="W185" s="12">
        <f t="shared" si="33"/>
        <v>104.65217391304348</v>
      </c>
      <c r="X185" s="12">
        <f t="shared" si="34"/>
        <v>7.7272727272727271E-2</v>
      </c>
    </row>
    <row r="186" spans="1:24">
      <c r="A186" s="11">
        <v>185</v>
      </c>
      <c r="B186" s="11" t="s">
        <v>631</v>
      </c>
      <c r="C186" s="11" t="s">
        <v>16</v>
      </c>
      <c r="D186" s="11" t="s">
        <v>61</v>
      </c>
      <c r="E186" s="12">
        <v>10</v>
      </c>
      <c r="F186" s="11" t="s">
        <v>41</v>
      </c>
      <c r="G186" s="11" t="str">
        <f t="shared" si="26"/>
        <v>Litres</v>
      </c>
      <c r="H186" s="13">
        <v>38</v>
      </c>
      <c r="I186" s="11" t="s">
        <v>19</v>
      </c>
      <c r="J186" s="12">
        <v>42245</v>
      </c>
      <c r="K186" s="12" t="str">
        <f t="shared" si="27"/>
        <v>Medium</v>
      </c>
      <c r="L186" s="11" t="s">
        <v>20</v>
      </c>
      <c r="M186" s="14">
        <v>45322</v>
      </c>
      <c r="N186" s="14" t="str">
        <f t="shared" si="28"/>
        <v>31/01/2024</v>
      </c>
      <c r="O186" s="14" t="str">
        <f t="shared" si="29"/>
        <v>2024</v>
      </c>
      <c r="P186" s="11" t="s">
        <v>633</v>
      </c>
      <c r="Q186" s="11" t="s">
        <v>59</v>
      </c>
      <c r="R186" s="11">
        <v>5</v>
      </c>
      <c r="S186" s="11" t="str">
        <f t="shared" si="30"/>
        <v>5 - 8 yrs</v>
      </c>
      <c r="T186" s="12">
        <v>0</v>
      </c>
      <c r="U186" s="11" t="str">
        <f t="shared" si="31"/>
        <v>(0 - 50)</v>
      </c>
      <c r="V186" s="12">
        <f t="shared" si="32"/>
        <v>3.8</v>
      </c>
      <c r="W186" s="12">
        <f t="shared" si="33"/>
        <v>1111.7105263157894</v>
      </c>
      <c r="X186" s="12">
        <f t="shared" si="34"/>
        <v>0</v>
      </c>
    </row>
    <row r="187" spans="1:24">
      <c r="A187" s="11">
        <v>186</v>
      </c>
      <c r="B187" s="11" t="s">
        <v>634</v>
      </c>
      <c r="C187" s="11" t="s">
        <v>50</v>
      </c>
      <c r="D187" s="11" t="s">
        <v>17</v>
      </c>
      <c r="E187" s="12">
        <v>25.2</v>
      </c>
      <c r="F187" s="11" t="s">
        <v>62</v>
      </c>
      <c r="G187" s="11" t="str">
        <f t="shared" si="26"/>
        <v>kWh</v>
      </c>
      <c r="H187" s="13">
        <v>219</v>
      </c>
      <c r="I187" s="11" t="s">
        <v>19</v>
      </c>
      <c r="J187" s="12">
        <v>107353</v>
      </c>
      <c r="K187" s="12" t="str">
        <f t="shared" si="27"/>
        <v>Very High</v>
      </c>
      <c r="L187" s="11" t="s">
        <v>20</v>
      </c>
      <c r="M187" s="14">
        <v>45408</v>
      </c>
      <c r="N187" s="14" t="str">
        <f t="shared" si="28"/>
        <v>26/04/2024</v>
      </c>
      <c r="O187" s="14" t="str">
        <f t="shared" si="29"/>
        <v>2024</v>
      </c>
      <c r="P187" s="11" t="s">
        <v>636</v>
      </c>
      <c r="Q187" s="11" t="s">
        <v>112</v>
      </c>
      <c r="R187" s="11">
        <v>5</v>
      </c>
      <c r="S187" s="11" t="str">
        <f t="shared" si="30"/>
        <v>5 - 8 yrs</v>
      </c>
      <c r="T187" s="12">
        <v>84</v>
      </c>
      <c r="U187" s="11" t="str">
        <f t="shared" si="31"/>
        <v>(51 - 100)</v>
      </c>
      <c r="V187" s="12">
        <f t="shared" si="32"/>
        <v>8.6904761904761916</v>
      </c>
      <c r="W187" s="12">
        <f t="shared" si="33"/>
        <v>490.19634703196346</v>
      </c>
      <c r="X187" s="12">
        <f t="shared" si="34"/>
        <v>0.38356164383561642</v>
      </c>
    </row>
    <row r="188" spans="1:24">
      <c r="A188" s="11">
        <v>187</v>
      </c>
      <c r="B188" s="11" t="s">
        <v>637</v>
      </c>
      <c r="C188" s="11" t="s">
        <v>32</v>
      </c>
      <c r="D188" s="11" t="s">
        <v>114</v>
      </c>
      <c r="E188" s="12">
        <v>80.5</v>
      </c>
      <c r="F188" s="11" t="s">
        <v>2643</v>
      </c>
      <c r="G188" s="11" t="str">
        <f t="shared" si="26"/>
        <v>Litres</v>
      </c>
      <c r="H188" s="13">
        <v>657</v>
      </c>
      <c r="I188" s="11" t="s">
        <v>19</v>
      </c>
      <c r="J188" s="12">
        <v>34762</v>
      </c>
      <c r="K188" s="12" t="str">
        <f t="shared" si="27"/>
        <v>Low</v>
      </c>
      <c r="L188" s="11" t="s">
        <v>20</v>
      </c>
      <c r="M188" s="14">
        <v>45010</v>
      </c>
      <c r="N188" s="14" t="str">
        <f t="shared" si="28"/>
        <v>25/03/2023</v>
      </c>
      <c r="O188" s="14" t="str">
        <f t="shared" si="29"/>
        <v>2023</v>
      </c>
      <c r="P188" s="11" t="s">
        <v>639</v>
      </c>
      <c r="Q188" s="11" t="s">
        <v>117</v>
      </c>
      <c r="R188" s="11">
        <v>20</v>
      </c>
      <c r="S188" s="11" t="str">
        <f t="shared" si="30"/>
        <v>17 + yrs</v>
      </c>
      <c r="T188" s="12">
        <v>205.7</v>
      </c>
      <c r="U188" s="11" t="str">
        <f t="shared" si="31"/>
        <v>(201 - 250)</v>
      </c>
      <c r="V188" s="12">
        <f t="shared" si="32"/>
        <v>8.1614906832298129</v>
      </c>
      <c r="W188" s="12">
        <f t="shared" si="33"/>
        <v>52.910197869101978</v>
      </c>
      <c r="X188" s="12">
        <f t="shared" si="34"/>
        <v>0.31308980213089799</v>
      </c>
    </row>
    <row r="189" spans="1:24">
      <c r="A189" s="11">
        <v>188</v>
      </c>
      <c r="B189" s="11" t="s">
        <v>2457</v>
      </c>
      <c r="C189" s="11" t="s">
        <v>39</v>
      </c>
      <c r="D189" s="11" t="s">
        <v>17</v>
      </c>
      <c r="E189" s="12">
        <v>54.2</v>
      </c>
      <c r="F189" s="11" t="s">
        <v>2643</v>
      </c>
      <c r="G189" s="11" t="str">
        <f t="shared" si="26"/>
        <v>Litres</v>
      </c>
      <c r="H189" s="13">
        <v>698</v>
      </c>
      <c r="I189" s="11" t="s">
        <v>19</v>
      </c>
      <c r="J189" s="12">
        <v>34213</v>
      </c>
      <c r="K189" s="12" t="str">
        <f t="shared" si="27"/>
        <v>Low</v>
      </c>
      <c r="L189" s="11" t="s">
        <v>20</v>
      </c>
      <c r="M189" s="14">
        <v>45136</v>
      </c>
      <c r="N189" s="14" t="str">
        <f t="shared" si="28"/>
        <v>29/07/2023</v>
      </c>
      <c r="O189" s="14" t="str">
        <f t="shared" si="29"/>
        <v>2023</v>
      </c>
      <c r="P189" s="11" t="s">
        <v>642</v>
      </c>
      <c r="Q189" s="11" t="s">
        <v>117</v>
      </c>
      <c r="R189" s="11">
        <v>20</v>
      </c>
      <c r="S189" s="11" t="str">
        <f t="shared" si="30"/>
        <v>17 + yrs</v>
      </c>
      <c r="T189" s="12">
        <v>141.80000000000001</v>
      </c>
      <c r="U189" s="11" t="str">
        <f t="shared" si="31"/>
        <v>(101 - 150)</v>
      </c>
      <c r="V189" s="12">
        <f t="shared" si="32"/>
        <v>12.878228782287822</v>
      </c>
      <c r="W189" s="12">
        <f t="shared" si="33"/>
        <v>49.015759312320917</v>
      </c>
      <c r="X189" s="12">
        <f t="shared" si="34"/>
        <v>0.2031518624641834</v>
      </c>
    </row>
    <row r="190" spans="1:24">
      <c r="A190" s="11">
        <v>189</v>
      </c>
      <c r="B190" s="11" t="s">
        <v>643</v>
      </c>
      <c r="C190" s="11" t="s">
        <v>50</v>
      </c>
      <c r="D190" s="11" t="s">
        <v>17</v>
      </c>
      <c r="E190" s="12">
        <v>19.7</v>
      </c>
      <c r="F190" s="11" t="s">
        <v>26</v>
      </c>
      <c r="G190" s="11" t="str">
        <f t="shared" si="26"/>
        <v>Litres</v>
      </c>
      <c r="H190" s="13">
        <v>320</v>
      </c>
      <c r="I190" s="11" t="s">
        <v>19</v>
      </c>
      <c r="J190" s="12">
        <v>8340</v>
      </c>
      <c r="K190" s="12" t="str">
        <f t="shared" si="27"/>
        <v>Very Low</v>
      </c>
      <c r="L190" s="11" t="s">
        <v>20</v>
      </c>
      <c r="M190" s="14">
        <v>45839</v>
      </c>
      <c r="N190" s="14" t="str">
        <f t="shared" si="28"/>
        <v>01/07/2025</v>
      </c>
      <c r="O190" s="14" t="str">
        <f t="shared" si="29"/>
        <v>2025</v>
      </c>
      <c r="P190" s="11" t="s">
        <v>645</v>
      </c>
      <c r="Q190" s="11" t="s">
        <v>86</v>
      </c>
      <c r="R190" s="11">
        <v>2</v>
      </c>
      <c r="S190" s="11" t="str">
        <f t="shared" si="30"/>
        <v>0 - 4 yrs</v>
      </c>
      <c r="T190" s="12">
        <v>57</v>
      </c>
      <c r="U190" s="11" t="str">
        <f t="shared" si="31"/>
        <v>(51 - 100)</v>
      </c>
      <c r="V190" s="12">
        <f t="shared" si="32"/>
        <v>16.243654822335024</v>
      </c>
      <c r="W190" s="12">
        <f t="shared" si="33"/>
        <v>26.0625</v>
      </c>
      <c r="X190" s="12">
        <f t="shared" si="34"/>
        <v>0.17812500000000001</v>
      </c>
    </row>
    <row r="191" spans="1:24">
      <c r="A191" s="11">
        <v>190</v>
      </c>
      <c r="B191" s="11" t="s">
        <v>2458</v>
      </c>
      <c r="C191" s="11" t="s">
        <v>50</v>
      </c>
      <c r="D191" s="11" t="s">
        <v>17</v>
      </c>
      <c r="E191" s="12">
        <v>62.4</v>
      </c>
      <c r="F191" s="11" t="s">
        <v>2643</v>
      </c>
      <c r="G191" s="11" t="str">
        <f t="shared" si="26"/>
        <v>Litres</v>
      </c>
      <c r="H191" s="13">
        <v>316</v>
      </c>
      <c r="I191" s="11" t="s">
        <v>19</v>
      </c>
      <c r="J191" s="12">
        <v>32163</v>
      </c>
      <c r="K191" s="12" t="str">
        <f t="shared" si="27"/>
        <v>Low</v>
      </c>
      <c r="L191" s="11" t="s">
        <v>20</v>
      </c>
      <c r="M191" s="14">
        <v>45392</v>
      </c>
      <c r="N191" s="14" t="str">
        <f t="shared" si="28"/>
        <v>10/04/2024</v>
      </c>
      <c r="O191" s="14" t="str">
        <f t="shared" si="29"/>
        <v>2024</v>
      </c>
      <c r="P191" s="11" t="s">
        <v>648</v>
      </c>
      <c r="Q191" s="11" t="s">
        <v>54</v>
      </c>
      <c r="R191" s="11">
        <v>16</v>
      </c>
      <c r="S191" s="11" t="str">
        <f t="shared" si="30"/>
        <v>13 - 16 yrs</v>
      </c>
      <c r="T191" s="12">
        <v>127.8</v>
      </c>
      <c r="U191" s="11" t="str">
        <f t="shared" si="31"/>
        <v>(101 - 150)</v>
      </c>
      <c r="V191" s="12">
        <f t="shared" si="32"/>
        <v>5.0641025641025639</v>
      </c>
      <c r="W191" s="12">
        <f t="shared" si="33"/>
        <v>101.78164556962025</v>
      </c>
      <c r="X191" s="12">
        <f t="shared" si="34"/>
        <v>0.40443037974683543</v>
      </c>
    </row>
    <row r="192" spans="1:24">
      <c r="A192" s="11">
        <v>191</v>
      </c>
      <c r="B192" s="11" t="s">
        <v>649</v>
      </c>
      <c r="C192" s="11" t="s">
        <v>16</v>
      </c>
      <c r="D192" s="11" t="s">
        <v>61</v>
      </c>
      <c r="E192" s="12">
        <v>10</v>
      </c>
      <c r="F192" s="11" t="s">
        <v>56</v>
      </c>
      <c r="G192" s="11" t="str">
        <f t="shared" si="26"/>
        <v>Litres</v>
      </c>
      <c r="H192" s="13">
        <v>288</v>
      </c>
      <c r="I192" s="11" t="s">
        <v>19</v>
      </c>
      <c r="J192" s="12">
        <v>2345</v>
      </c>
      <c r="K192" s="12" t="str">
        <f t="shared" si="27"/>
        <v>Very Low</v>
      </c>
      <c r="L192" s="11" t="s">
        <v>20</v>
      </c>
      <c r="M192" s="14">
        <v>45202</v>
      </c>
      <c r="N192" s="14" t="str">
        <f t="shared" si="28"/>
        <v>03/10/2023</v>
      </c>
      <c r="O192" s="14" t="str">
        <f t="shared" si="29"/>
        <v>2023</v>
      </c>
      <c r="P192" s="11" t="s">
        <v>558</v>
      </c>
      <c r="Q192" s="11" t="s">
        <v>441</v>
      </c>
      <c r="R192" s="11">
        <v>1</v>
      </c>
      <c r="S192" s="11" t="str">
        <f t="shared" si="30"/>
        <v>0 - 4 yrs</v>
      </c>
      <c r="T192" s="12">
        <v>0</v>
      </c>
      <c r="U192" s="11" t="str">
        <f t="shared" si="31"/>
        <v>(0 - 50)</v>
      </c>
      <c r="V192" s="12">
        <f t="shared" si="32"/>
        <v>28.8</v>
      </c>
      <c r="W192" s="12">
        <f t="shared" si="33"/>
        <v>8.1423611111111107</v>
      </c>
      <c r="X192" s="12">
        <f t="shared" si="34"/>
        <v>0</v>
      </c>
    </row>
    <row r="193" spans="1:24">
      <c r="A193" s="11">
        <v>192</v>
      </c>
      <c r="B193" s="11" t="s">
        <v>2450</v>
      </c>
      <c r="C193" s="11" t="s">
        <v>50</v>
      </c>
      <c r="D193" s="11" t="s">
        <v>17</v>
      </c>
      <c r="E193" s="12">
        <v>69.5</v>
      </c>
      <c r="F193" s="11" t="s">
        <v>56</v>
      </c>
      <c r="G193" s="11" t="str">
        <f t="shared" si="26"/>
        <v>Litres</v>
      </c>
      <c r="H193" s="13">
        <v>571</v>
      </c>
      <c r="I193" s="11" t="s">
        <v>19</v>
      </c>
      <c r="J193" s="12">
        <v>40895</v>
      </c>
      <c r="K193" s="12" t="str">
        <f t="shared" si="27"/>
        <v>Medium</v>
      </c>
      <c r="L193" s="11" t="s">
        <v>20</v>
      </c>
      <c r="M193" s="14">
        <v>45730</v>
      </c>
      <c r="N193" s="14" t="str">
        <f t="shared" si="28"/>
        <v>14/03/2025</v>
      </c>
      <c r="O193" s="14" t="str">
        <f t="shared" si="29"/>
        <v>2025</v>
      </c>
      <c r="P193" s="11" t="s">
        <v>652</v>
      </c>
      <c r="Q193" s="11" t="s">
        <v>117</v>
      </c>
      <c r="R193" s="11">
        <v>11</v>
      </c>
      <c r="S193" s="11" t="str">
        <f t="shared" si="30"/>
        <v>9 - 12 yrs</v>
      </c>
      <c r="T193" s="12">
        <v>208.4</v>
      </c>
      <c r="U193" s="11" t="str">
        <f t="shared" si="31"/>
        <v>(201 - 250)</v>
      </c>
      <c r="V193" s="12">
        <f t="shared" si="32"/>
        <v>8.2158273381294968</v>
      </c>
      <c r="W193" s="12">
        <f t="shared" si="33"/>
        <v>71.619964973730305</v>
      </c>
      <c r="X193" s="12">
        <f t="shared" si="34"/>
        <v>0.36497373029772329</v>
      </c>
    </row>
    <row r="194" spans="1:24">
      <c r="A194" s="11">
        <v>193</v>
      </c>
      <c r="B194" s="11" t="s">
        <v>653</v>
      </c>
      <c r="C194" s="11" t="s">
        <v>32</v>
      </c>
      <c r="D194" s="11" t="s">
        <v>33</v>
      </c>
      <c r="E194" s="12">
        <v>58.6</v>
      </c>
      <c r="F194" s="11" t="s">
        <v>26</v>
      </c>
      <c r="G194" s="11" t="str">
        <f t="shared" ref="G194:G257" si="35">IF(OR(F194="L",F194="ltrs",F194="liters"),"Litres",F194)</f>
        <v>Litres</v>
      </c>
      <c r="H194" s="13">
        <v>400</v>
      </c>
      <c r="I194" s="11" t="s">
        <v>19</v>
      </c>
      <c r="J194" s="12">
        <v>8707</v>
      </c>
      <c r="K194" s="12" t="str">
        <f t="shared" si="27"/>
        <v>Very Low</v>
      </c>
      <c r="L194" s="11" t="s">
        <v>20</v>
      </c>
      <c r="M194" s="14">
        <v>45111</v>
      </c>
      <c r="N194" s="14" t="str">
        <f t="shared" si="28"/>
        <v>04/07/2023</v>
      </c>
      <c r="O194" s="14" t="str">
        <f t="shared" si="29"/>
        <v>2023</v>
      </c>
      <c r="P194" s="11" t="s">
        <v>655</v>
      </c>
      <c r="Q194" s="11" t="s">
        <v>441</v>
      </c>
      <c r="R194" s="11">
        <v>1</v>
      </c>
      <c r="S194" s="11" t="str">
        <f t="shared" si="30"/>
        <v>0 - 4 yrs</v>
      </c>
      <c r="T194" s="12">
        <v>168.8</v>
      </c>
      <c r="U194" s="11" t="str">
        <f t="shared" si="31"/>
        <v>(151 - 200)</v>
      </c>
      <c r="V194" s="12">
        <f t="shared" si="32"/>
        <v>6.8259385665529004</v>
      </c>
      <c r="W194" s="12">
        <f t="shared" si="33"/>
        <v>21.767499999999998</v>
      </c>
      <c r="X194" s="12">
        <f t="shared" si="34"/>
        <v>0.42200000000000004</v>
      </c>
    </row>
    <row r="195" spans="1:24">
      <c r="A195" s="11">
        <v>194</v>
      </c>
      <c r="B195" s="11" t="s">
        <v>631</v>
      </c>
      <c r="C195" s="11" t="s">
        <v>16</v>
      </c>
      <c r="D195" s="11" t="s">
        <v>61</v>
      </c>
      <c r="E195" s="12">
        <v>10</v>
      </c>
      <c r="F195" s="11" t="s">
        <v>56</v>
      </c>
      <c r="G195" s="11" t="str">
        <f t="shared" si="35"/>
        <v>Litres</v>
      </c>
      <c r="H195" s="13">
        <v>200</v>
      </c>
      <c r="I195" s="11" t="s">
        <v>19</v>
      </c>
      <c r="J195" s="12">
        <v>28658</v>
      </c>
      <c r="K195" s="12" t="str">
        <f t="shared" si="27"/>
        <v>Low</v>
      </c>
      <c r="L195" s="11" t="s">
        <v>20</v>
      </c>
      <c r="M195" s="14">
        <v>45791</v>
      </c>
      <c r="N195" s="14" t="str">
        <f t="shared" si="28"/>
        <v>14/05/2025</v>
      </c>
      <c r="O195" s="14" t="str">
        <f t="shared" si="29"/>
        <v>2025</v>
      </c>
      <c r="P195" s="11" t="s">
        <v>657</v>
      </c>
      <c r="Q195" s="11" t="s">
        <v>69</v>
      </c>
      <c r="R195" s="11">
        <v>7</v>
      </c>
      <c r="S195" s="11" t="str">
        <f t="shared" si="30"/>
        <v>5 - 8 yrs</v>
      </c>
      <c r="T195" s="12">
        <v>0</v>
      </c>
      <c r="U195" s="11" t="str">
        <f t="shared" si="31"/>
        <v>(0 - 50)</v>
      </c>
      <c r="V195" s="12">
        <f t="shared" si="32"/>
        <v>20</v>
      </c>
      <c r="W195" s="12">
        <f t="shared" si="33"/>
        <v>143.29</v>
      </c>
      <c r="X195" s="12">
        <f t="shared" si="34"/>
        <v>0</v>
      </c>
    </row>
    <row r="196" spans="1:24">
      <c r="A196" s="11">
        <v>195</v>
      </c>
      <c r="B196" s="11" t="s">
        <v>658</v>
      </c>
      <c r="C196" s="11" t="s">
        <v>39</v>
      </c>
      <c r="D196" s="11" t="s">
        <v>61</v>
      </c>
      <c r="E196" s="12">
        <v>10</v>
      </c>
      <c r="F196" s="11" t="s">
        <v>2643</v>
      </c>
      <c r="G196" s="11" t="str">
        <f t="shared" si="35"/>
        <v>Litres</v>
      </c>
      <c r="H196" s="13">
        <v>294</v>
      </c>
      <c r="I196" s="11" t="s">
        <v>19</v>
      </c>
      <c r="J196" s="12">
        <v>71489</v>
      </c>
      <c r="K196" s="12" t="str">
        <f t="shared" si="27"/>
        <v>Moderate</v>
      </c>
      <c r="L196" s="11" t="s">
        <v>20</v>
      </c>
      <c r="M196" s="14">
        <v>44971</v>
      </c>
      <c r="N196" s="14" t="str">
        <f t="shared" si="28"/>
        <v>14/02/2023</v>
      </c>
      <c r="O196" s="14" t="str">
        <f t="shared" si="29"/>
        <v>2023</v>
      </c>
      <c r="P196" s="11" t="s">
        <v>564</v>
      </c>
      <c r="Q196" s="11" t="s">
        <v>441</v>
      </c>
      <c r="R196" s="11">
        <v>8</v>
      </c>
      <c r="S196" s="11" t="str">
        <f t="shared" si="30"/>
        <v>5 - 8 yrs</v>
      </c>
      <c r="T196" s="12">
        <v>0</v>
      </c>
      <c r="U196" s="11" t="str">
        <f t="shared" si="31"/>
        <v>(0 - 50)</v>
      </c>
      <c r="V196" s="12">
        <f t="shared" si="32"/>
        <v>29.4</v>
      </c>
      <c r="W196" s="12">
        <f t="shared" si="33"/>
        <v>243.15986394557822</v>
      </c>
      <c r="X196" s="12">
        <f t="shared" si="34"/>
        <v>0</v>
      </c>
    </row>
    <row r="197" spans="1:24">
      <c r="A197" s="11">
        <v>196</v>
      </c>
      <c r="B197" s="11" t="s">
        <v>660</v>
      </c>
      <c r="C197" s="11" t="s">
        <v>16</v>
      </c>
      <c r="D197" s="11" t="s">
        <v>33</v>
      </c>
      <c r="E197" s="12">
        <v>68.2</v>
      </c>
      <c r="F197" s="11" t="s">
        <v>2643</v>
      </c>
      <c r="G197" s="11" t="str">
        <f t="shared" si="35"/>
        <v>Litres</v>
      </c>
      <c r="H197" s="13">
        <v>365</v>
      </c>
      <c r="I197" s="11" t="s">
        <v>19</v>
      </c>
      <c r="J197" s="12">
        <v>29379</v>
      </c>
      <c r="K197" s="12" t="str">
        <f t="shared" si="27"/>
        <v>Low</v>
      </c>
      <c r="L197" s="11" t="s">
        <v>20</v>
      </c>
      <c r="M197" s="14">
        <v>45042</v>
      </c>
      <c r="N197" s="14" t="str">
        <f t="shared" si="28"/>
        <v>26/04/2023</v>
      </c>
      <c r="O197" s="14" t="str">
        <f t="shared" si="29"/>
        <v>2023</v>
      </c>
      <c r="P197" s="11" t="s">
        <v>558</v>
      </c>
      <c r="Q197" s="11" t="s">
        <v>48</v>
      </c>
      <c r="R197" s="11">
        <v>9</v>
      </c>
      <c r="S197" s="11" t="str">
        <f t="shared" si="30"/>
        <v>9 - 12 yrs</v>
      </c>
      <c r="T197" s="12">
        <v>238.5</v>
      </c>
      <c r="U197" s="11" t="str">
        <f t="shared" si="31"/>
        <v>(201 - 250)</v>
      </c>
      <c r="V197" s="12">
        <f t="shared" si="32"/>
        <v>5.3519061583577709</v>
      </c>
      <c r="W197" s="12">
        <f t="shared" si="33"/>
        <v>80.490410958904107</v>
      </c>
      <c r="X197" s="12">
        <f t="shared" si="34"/>
        <v>0.65342465753424661</v>
      </c>
    </row>
    <row r="198" spans="1:24">
      <c r="A198" s="11">
        <v>197</v>
      </c>
      <c r="B198" s="11" t="s">
        <v>2459</v>
      </c>
      <c r="C198" s="11" t="s">
        <v>50</v>
      </c>
      <c r="D198" s="11" t="s">
        <v>17</v>
      </c>
      <c r="E198" s="12">
        <v>82.7</v>
      </c>
      <c r="F198" s="11" t="s">
        <v>41</v>
      </c>
      <c r="G198" s="11" t="str">
        <f t="shared" si="35"/>
        <v>Litres</v>
      </c>
      <c r="H198" s="13">
        <v>441</v>
      </c>
      <c r="I198" s="11" t="s">
        <v>19</v>
      </c>
      <c r="J198" s="12">
        <v>52878</v>
      </c>
      <c r="K198" s="12" t="str">
        <f t="shared" si="27"/>
        <v>Medium</v>
      </c>
      <c r="L198" s="11" t="s">
        <v>20</v>
      </c>
      <c r="M198" s="14">
        <v>45479</v>
      </c>
      <c r="N198" s="14" t="str">
        <f t="shared" si="28"/>
        <v>06/07/2024</v>
      </c>
      <c r="O198" s="14" t="str">
        <f t="shared" si="29"/>
        <v>2024</v>
      </c>
      <c r="P198" s="11" t="s">
        <v>664</v>
      </c>
      <c r="Q198" s="11" t="s">
        <v>2648</v>
      </c>
      <c r="R198" s="11">
        <v>4</v>
      </c>
      <c r="S198" s="11" t="str">
        <f t="shared" si="30"/>
        <v>0 - 4 yrs</v>
      </c>
      <c r="T198" s="12">
        <v>190.1</v>
      </c>
      <c r="U198" s="11" t="str">
        <f t="shared" si="31"/>
        <v>(151 - 200)</v>
      </c>
      <c r="V198" s="12">
        <f t="shared" si="32"/>
        <v>5.3325272067714629</v>
      </c>
      <c r="W198" s="12">
        <f t="shared" si="33"/>
        <v>119.9047619047619</v>
      </c>
      <c r="X198" s="12">
        <f t="shared" si="34"/>
        <v>0.43106575963718818</v>
      </c>
    </row>
    <row r="199" spans="1:24">
      <c r="A199" s="11">
        <v>198</v>
      </c>
      <c r="B199" s="11" t="s">
        <v>665</v>
      </c>
      <c r="C199" s="11" t="s">
        <v>16</v>
      </c>
      <c r="D199" s="11" t="s">
        <v>17</v>
      </c>
      <c r="E199" s="12">
        <v>69.400000000000006</v>
      </c>
      <c r="F199" s="11" t="s">
        <v>26</v>
      </c>
      <c r="G199" s="11" t="str">
        <f t="shared" si="35"/>
        <v>Litres</v>
      </c>
      <c r="H199" s="13">
        <v>116</v>
      </c>
      <c r="I199" s="11" t="s">
        <v>19</v>
      </c>
      <c r="J199" s="12">
        <v>106845</v>
      </c>
      <c r="K199" s="12" t="str">
        <f t="shared" si="27"/>
        <v>Very High</v>
      </c>
      <c r="L199" s="11" t="s">
        <v>20</v>
      </c>
      <c r="M199" s="14">
        <v>45015</v>
      </c>
      <c r="N199" s="14" t="str">
        <f t="shared" si="28"/>
        <v>30/03/2023</v>
      </c>
      <c r="O199" s="14" t="str">
        <f t="shared" si="29"/>
        <v>2023</v>
      </c>
      <c r="P199" s="11" t="s">
        <v>667</v>
      </c>
      <c r="Q199" s="11" t="s">
        <v>121</v>
      </c>
      <c r="R199" s="11">
        <v>11</v>
      </c>
      <c r="S199" s="11" t="str">
        <f t="shared" si="30"/>
        <v>9 - 12 yrs</v>
      </c>
      <c r="T199" s="12">
        <v>207.5</v>
      </c>
      <c r="U199" s="11" t="str">
        <f t="shared" si="31"/>
        <v>(201 - 250)</v>
      </c>
      <c r="V199" s="12">
        <f t="shared" si="32"/>
        <v>1.6714697406340056</v>
      </c>
      <c r="W199" s="12">
        <f t="shared" si="33"/>
        <v>921.07758620689651</v>
      </c>
      <c r="X199" s="12">
        <f t="shared" si="34"/>
        <v>1.7887931034482758</v>
      </c>
    </row>
    <row r="200" spans="1:24">
      <c r="A200" s="11">
        <v>199</v>
      </c>
      <c r="B200" s="11" t="s">
        <v>668</v>
      </c>
      <c r="C200" s="11" t="s">
        <v>50</v>
      </c>
      <c r="D200" s="11" t="s">
        <v>114</v>
      </c>
      <c r="E200" s="12">
        <v>63.3</v>
      </c>
      <c r="F200" s="11" t="s">
        <v>41</v>
      </c>
      <c r="G200" s="11" t="str">
        <f t="shared" si="35"/>
        <v>Litres</v>
      </c>
      <c r="H200" s="13">
        <v>136</v>
      </c>
      <c r="I200" s="11" t="s">
        <v>19</v>
      </c>
      <c r="J200" s="12">
        <v>92967</v>
      </c>
      <c r="K200" s="12" t="str">
        <f t="shared" si="27"/>
        <v>Very High</v>
      </c>
      <c r="L200" s="11" t="s">
        <v>20</v>
      </c>
      <c r="M200" s="14">
        <v>45169</v>
      </c>
      <c r="N200" s="14" t="str">
        <f t="shared" si="28"/>
        <v>31/08/2023</v>
      </c>
      <c r="O200" s="14" t="str">
        <f t="shared" si="29"/>
        <v>2023</v>
      </c>
      <c r="P200" s="11" t="s">
        <v>670</v>
      </c>
      <c r="Q200" s="11" t="s">
        <v>69</v>
      </c>
      <c r="R200" s="11">
        <v>2</v>
      </c>
      <c r="S200" s="11" t="str">
        <f t="shared" si="30"/>
        <v>0 - 4 yrs</v>
      </c>
      <c r="T200" s="12">
        <v>163.80000000000001</v>
      </c>
      <c r="U200" s="11" t="str">
        <f t="shared" si="31"/>
        <v>(151 - 200)</v>
      </c>
      <c r="V200" s="12">
        <f t="shared" si="32"/>
        <v>2.1484992101105846</v>
      </c>
      <c r="W200" s="12">
        <f t="shared" si="33"/>
        <v>683.58088235294122</v>
      </c>
      <c r="X200" s="12">
        <f t="shared" si="34"/>
        <v>1.2044117647058825</v>
      </c>
    </row>
    <row r="201" spans="1:24">
      <c r="A201" s="11">
        <v>200</v>
      </c>
      <c r="B201" s="11" t="s">
        <v>671</v>
      </c>
      <c r="C201" s="11" t="s">
        <v>32</v>
      </c>
      <c r="D201" s="11" t="s">
        <v>114</v>
      </c>
      <c r="E201" s="12">
        <v>34.700000000000003</v>
      </c>
      <c r="F201" s="11" t="s">
        <v>62</v>
      </c>
      <c r="G201" s="11" t="str">
        <f t="shared" si="35"/>
        <v>kWh</v>
      </c>
      <c r="H201" s="13">
        <v>599</v>
      </c>
      <c r="I201" s="11" t="s">
        <v>19</v>
      </c>
      <c r="J201" s="12">
        <v>47048</v>
      </c>
      <c r="K201" s="12" t="str">
        <f t="shared" si="27"/>
        <v>Medium</v>
      </c>
      <c r="L201" s="11" t="s">
        <v>20</v>
      </c>
      <c r="M201" s="14">
        <v>45111</v>
      </c>
      <c r="N201" s="14" t="str">
        <f t="shared" si="28"/>
        <v>04/07/2023</v>
      </c>
      <c r="O201" s="14" t="str">
        <f t="shared" si="29"/>
        <v>2023</v>
      </c>
      <c r="P201" s="11" t="s">
        <v>672</v>
      </c>
      <c r="Q201" s="11" t="s">
        <v>121</v>
      </c>
      <c r="R201" s="11">
        <v>11</v>
      </c>
      <c r="S201" s="11" t="str">
        <f t="shared" si="30"/>
        <v>9 - 12 yrs</v>
      </c>
      <c r="T201" s="12">
        <v>90.5</v>
      </c>
      <c r="U201" s="11" t="str">
        <f t="shared" si="31"/>
        <v>(51 - 100)</v>
      </c>
      <c r="V201" s="12">
        <f t="shared" si="32"/>
        <v>17.262247838616712</v>
      </c>
      <c r="W201" s="12">
        <f t="shared" si="33"/>
        <v>78.544240400667775</v>
      </c>
      <c r="X201" s="12">
        <f t="shared" si="34"/>
        <v>0.15108514190317196</v>
      </c>
    </row>
    <row r="202" spans="1:24">
      <c r="A202" s="11">
        <v>201</v>
      </c>
      <c r="B202" s="11" t="s">
        <v>2460</v>
      </c>
      <c r="C202" s="11" t="s">
        <v>16</v>
      </c>
      <c r="D202" s="11" t="s">
        <v>17</v>
      </c>
      <c r="E202" s="12">
        <v>7.7</v>
      </c>
      <c r="F202" s="11" t="s">
        <v>62</v>
      </c>
      <c r="G202" s="11" t="str">
        <f t="shared" si="35"/>
        <v>kWh</v>
      </c>
      <c r="H202" s="13">
        <v>421</v>
      </c>
      <c r="I202" s="11" t="s">
        <v>19</v>
      </c>
      <c r="J202" s="12">
        <v>101121</v>
      </c>
      <c r="K202" s="12" t="str">
        <f t="shared" si="27"/>
        <v>Very High</v>
      </c>
      <c r="L202" s="11" t="s">
        <v>20</v>
      </c>
      <c r="M202" s="14">
        <v>44979</v>
      </c>
      <c r="N202" s="14" t="str">
        <f t="shared" si="28"/>
        <v>22/02/2023</v>
      </c>
      <c r="O202" s="14" t="str">
        <f t="shared" si="29"/>
        <v>2023</v>
      </c>
      <c r="P202" s="11" t="s">
        <v>675</v>
      </c>
      <c r="Q202" s="11" t="s">
        <v>54</v>
      </c>
      <c r="R202" s="11">
        <v>6</v>
      </c>
      <c r="S202" s="11" t="str">
        <f t="shared" si="30"/>
        <v>5 - 8 yrs</v>
      </c>
      <c r="T202" s="12">
        <v>24.1</v>
      </c>
      <c r="U202" s="11" t="str">
        <f t="shared" si="31"/>
        <v>(0 - 50)</v>
      </c>
      <c r="V202" s="12">
        <f t="shared" si="32"/>
        <v>54.675324675324674</v>
      </c>
      <c r="W202" s="12">
        <f t="shared" si="33"/>
        <v>240.19239904988123</v>
      </c>
      <c r="X202" s="12">
        <f t="shared" si="34"/>
        <v>5.7244655581947745E-2</v>
      </c>
    </row>
    <row r="203" spans="1:24">
      <c r="A203" s="11">
        <v>202</v>
      </c>
      <c r="B203" s="11" t="s">
        <v>676</v>
      </c>
      <c r="C203" s="11" t="s">
        <v>39</v>
      </c>
      <c r="D203" s="11" t="s">
        <v>33</v>
      </c>
      <c r="E203" s="12">
        <v>43.1</v>
      </c>
      <c r="F203" s="11" t="s">
        <v>56</v>
      </c>
      <c r="G203" s="11" t="str">
        <f t="shared" si="35"/>
        <v>Litres</v>
      </c>
      <c r="H203" s="13">
        <v>607</v>
      </c>
      <c r="I203" s="11" t="s">
        <v>19</v>
      </c>
      <c r="J203" s="12">
        <v>73544</v>
      </c>
      <c r="K203" s="12" t="str">
        <f t="shared" si="27"/>
        <v>High</v>
      </c>
      <c r="L203" s="11" t="s">
        <v>20</v>
      </c>
      <c r="M203" s="14">
        <v>45540</v>
      </c>
      <c r="N203" s="14" t="str">
        <f t="shared" si="28"/>
        <v>05/09/2024</v>
      </c>
      <c r="O203" s="14" t="str">
        <f t="shared" si="29"/>
        <v>2024</v>
      </c>
      <c r="P203" s="11" t="s">
        <v>678</v>
      </c>
      <c r="Q203" s="11" t="s">
        <v>441</v>
      </c>
      <c r="R203" s="11">
        <v>6</v>
      </c>
      <c r="S203" s="11" t="str">
        <f t="shared" si="30"/>
        <v>5 - 8 yrs</v>
      </c>
      <c r="T203" s="12">
        <v>117.3</v>
      </c>
      <c r="U203" s="11" t="str">
        <f t="shared" si="31"/>
        <v>(101 - 150)</v>
      </c>
      <c r="V203" s="12">
        <f t="shared" si="32"/>
        <v>14.08352668213457</v>
      </c>
      <c r="W203" s="12">
        <f t="shared" si="33"/>
        <v>121.15980230642504</v>
      </c>
      <c r="X203" s="12">
        <f t="shared" si="34"/>
        <v>0.19324546952224053</v>
      </c>
    </row>
    <row r="204" spans="1:24">
      <c r="A204" s="11">
        <v>203</v>
      </c>
      <c r="B204" s="11" t="s">
        <v>679</v>
      </c>
      <c r="C204" s="11" t="s">
        <v>16</v>
      </c>
      <c r="D204" s="11" t="s">
        <v>17</v>
      </c>
      <c r="E204" s="12">
        <v>11.6</v>
      </c>
      <c r="F204" s="11" t="s">
        <v>26</v>
      </c>
      <c r="G204" s="11" t="str">
        <f t="shared" si="35"/>
        <v>Litres</v>
      </c>
      <c r="H204" s="13">
        <v>253</v>
      </c>
      <c r="I204" s="11" t="s">
        <v>19</v>
      </c>
      <c r="J204" s="12">
        <v>78036</v>
      </c>
      <c r="K204" s="12" t="str">
        <f t="shared" si="27"/>
        <v>High</v>
      </c>
      <c r="L204" s="11" t="s">
        <v>20</v>
      </c>
      <c r="M204" s="14">
        <v>44942</v>
      </c>
      <c r="N204" s="14" t="str">
        <f t="shared" si="28"/>
        <v>16/01/2023</v>
      </c>
      <c r="O204" s="14" t="str">
        <f t="shared" si="29"/>
        <v>2023</v>
      </c>
      <c r="P204" s="11" t="s">
        <v>533</v>
      </c>
      <c r="Q204" s="11" t="s">
        <v>59</v>
      </c>
      <c r="R204" s="11">
        <v>13</v>
      </c>
      <c r="S204" s="11" t="str">
        <f t="shared" si="30"/>
        <v>13 - 16 yrs</v>
      </c>
      <c r="T204" s="12">
        <v>26.8</v>
      </c>
      <c r="U204" s="11" t="str">
        <f t="shared" si="31"/>
        <v>(0 - 50)</v>
      </c>
      <c r="V204" s="12">
        <f t="shared" si="32"/>
        <v>21.810344827586206</v>
      </c>
      <c r="W204" s="12">
        <f t="shared" si="33"/>
        <v>308.44268774703556</v>
      </c>
      <c r="X204" s="12">
        <f t="shared" si="34"/>
        <v>0.10592885375494071</v>
      </c>
    </row>
    <row r="205" spans="1:24">
      <c r="A205" s="11">
        <v>204</v>
      </c>
      <c r="B205" s="11" t="s">
        <v>681</v>
      </c>
      <c r="C205" s="11" t="s">
        <v>32</v>
      </c>
      <c r="D205" s="11" t="s">
        <v>33</v>
      </c>
      <c r="E205" s="12">
        <v>60.7</v>
      </c>
      <c r="F205" s="11" t="s">
        <v>62</v>
      </c>
      <c r="G205" s="11" t="str">
        <f t="shared" si="35"/>
        <v>kWh</v>
      </c>
      <c r="H205" s="13">
        <v>304</v>
      </c>
      <c r="I205" s="11" t="s">
        <v>19</v>
      </c>
      <c r="J205" s="12">
        <v>10736</v>
      </c>
      <c r="K205" s="12" t="str">
        <f t="shared" si="27"/>
        <v>Very Low</v>
      </c>
      <c r="L205" s="11" t="s">
        <v>20</v>
      </c>
      <c r="M205" s="14">
        <v>45779</v>
      </c>
      <c r="N205" s="14" t="str">
        <f t="shared" si="28"/>
        <v>02/05/2025</v>
      </c>
      <c r="O205" s="14" t="str">
        <f t="shared" si="29"/>
        <v>2025</v>
      </c>
      <c r="P205" s="11" t="s">
        <v>683</v>
      </c>
      <c r="Q205" s="11" t="s">
        <v>441</v>
      </c>
      <c r="R205" s="11">
        <v>8</v>
      </c>
      <c r="S205" s="11" t="str">
        <f t="shared" si="30"/>
        <v>5 - 8 yrs</v>
      </c>
      <c r="T205" s="12">
        <v>139.69999999999999</v>
      </c>
      <c r="U205" s="11" t="str">
        <f t="shared" si="31"/>
        <v>(101 - 150)</v>
      </c>
      <c r="V205" s="12">
        <f t="shared" si="32"/>
        <v>5.0082372322899502</v>
      </c>
      <c r="W205" s="12">
        <f t="shared" si="33"/>
        <v>35.315789473684212</v>
      </c>
      <c r="X205" s="12">
        <f t="shared" si="34"/>
        <v>0.4595394736842105</v>
      </c>
    </row>
    <row r="206" spans="1:24">
      <c r="A206" s="11">
        <v>205</v>
      </c>
      <c r="B206" s="11" t="s">
        <v>684</v>
      </c>
      <c r="C206" s="11" t="s">
        <v>39</v>
      </c>
      <c r="D206" s="11" t="s">
        <v>17</v>
      </c>
      <c r="E206" s="12">
        <v>86.3</v>
      </c>
      <c r="F206" s="11" t="s">
        <v>2643</v>
      </c>
      <c r="G206" s="11" t="str">
        <f t="shared" si="35"/>
        <v>Litres</v>
      </c>
      <c r="H206" s="13">
        <v>663</v>
      </c>
      <c r="I206" s="11" t="s">
        <v>19</v>
      </c>
      <c r="J206" s="12">
        <v>117198</v>
      </c>
      <c r="K206" s="12" t="str">
        <f t="shared" si="27"/>
        <v>Extreme</v>
      </c>
      <c r="L206" s="11" t="s">
        <v>20</v>
      </c>
      <c r="M206" s="14">
        <v>45776</v>
      </c>
      <c r="N206" s="14" t="str">
        <f t="shared" si="28"/>
        <v>29/04/2025</v>
      </c>
      <c r="O206" s="14" t="str">
        <f t="shared" si="29"/>
        <v>2025</v>
      </c>
      <c r="P206" s="11" t="s">
        <v>686</v>
      </c>
      <c r="Q206" s="11" t="s">
        <v>2648</v>
      </c>
      <c r="R206" s="11">
        <v>8</v>
      </c>
      <c r="S206" s="11" t="str">
        <f t="shared" si="30"/>
        <v>5 - 8 yrs</v>
      </c>
      <c r="T206" s="12">
        <v>244.5</v>
      </c>
      <c r="U206" s="11" t="str">
        <f t="shared" si="31"/>
        <v>(201 - 250)</v>
      </c>
      <c r="V206" s="12">
        <f t="shared" si="32"/>
        <v>7.6825028968713793</v>
      </c>
      <c r="W206" s="12">
        <f t="shared" si="33"/>
        <v>176.76923076923077</v>
      </c>
      <c r="X206" s="12">
        <f t="shared" si="34"/>
        <v>0.36877828054298645</v>
      </c>
    </row>
    <row r="207" spans="1:24">
      <c r="A207" s="11">
        <v>206</v>
      </c>
      <c r="B207" s="11" t="s">
        <v>687</v>
      </c>
      <c r="C207" s="11" t="s">
        <v>50</v>
      </c>
      <c r="D207" s="11" t="s">
        <v>33</v>
      </c>
      <c r="E207" s="12">
        <v>58.3</v>
      </c>
      <c r="F207" s="11" t="s">
        <v>56</v>
      </c>
      <c r="G207" s="11" t="str">
        <f t="shared" si="35"/>
        <v>Litres</v>
      </c>
      <c r="H207" s="13">
        <v>113</v>
      </c>
      <c r="I207" s="11" t="s">
        <v>19</v>
      </c>
      <c r="J207" s="12">
        <v>47490</v>
      </c>
      <c r="K207" s="12" t="str">
        <f t="shared" si="27"/>
        <v>Medium</v>
      </c>
      <c r="L207" s="11" t="s">
        <v>20</v>
      </c>
      <c r="M207" s="14">
        <v>45179</v>
      </c>
      <c r="N207" s="14" t="str">
        <f t="shared" si="28"/>
        <v>10/09/2023</v>
      </c>
      <c r="O207" s="14" t="str">
        <f t="shared" si="29"/>
        <v>2023</v>
      </c>
      <c r="P207" s="11" t="s">
        <v>689</v>
      </c>
      <c r="Q207" s="11" t="s">
        <v>48</v>
      </c>
      <c r="R207" s="11">
        <v>2</v>
      </c>
      <c r="S207" s="11" t="str">
        <f t="shared" si="30"/>
        <v>0 - 4 yrs</v>
      </c>
      <c r="T207" s="12">
        <v>130.6</v>
      </c>
      <c r="U207" s="11" t="str">
        <f t="shared" si="31"/>
        <v>(101 - 150)</v>
      </c>
      <c r="V207" s="12">
        <f t="shared" si="32"/>
        <v>1.9382504288164666</v>
      </c>
      <c r="W207" s="12">
        <f t="shared" si="33"/>
        <v>420.26548672566372</v>
      </c>
      <c r="X207" s="12">
        <f t="shared" si="34"/>
        <v>1.1557522123893804</v>
      </c>
    </row>
    <row r="208" spans="1:24">
      <c r="A208" s="11">
        <v>207</v>
      </c>
      <c r="B208" s="11" t="s">
        <v>690</v>
      </c>
      <c r="C208" s="11" t="s">
        <v>39</v>
      </c>
      <c r="D208" s="11" t="s">
        <v>114</v>
      </c>
      <c r="E208" s="12">
        <v>23.8</v>
      </c>
      <c r="F208" s="11" t="s">
        <v>26</v>
      </c>
      <c r="G208" s="11" t="str">
        <f t="shared" si="35"/>
        <v>Litres</v>
      </c>
      <c r="H208" s="13">
        <v>526</v>
      </c>
      <c r="I208" s="11" t="s">
        <v>19</v>
      </c>
      <c r="J208" s="12">
        <v>21670</v>
      </c>
      <c r="K208" s="12" t="str">
        <f t="shared" si="27"/>
        <v>Low</v>
      </c>
      <c r="L208" s="11" t="s">
        <v>20</v>
      </c>
      <c r="M208" s="14">
        <v>44990</v>
      </c>
      <c r="N208" s="14" t="str">
        <f t="shared" si="28"/>
        <v>05/03/2023</v>
      </c>
      <c r="O208" s="14" t="str">
        <f t="shared" si="29"/>
        <v>2023</v>
      </c>
      <c r="P208" s="11" t="s">
        <v>692</v>
      </c>
      <c r="Q208" s="11" t="s">
        <v>112</v>
      </c>
      <c r="R208" s="11">
        <v>13</v>
      </c>
      <c r="S208" s="11" t="str">
        <f t="shared" si="30"/>
        <v>13 - 16 yrs</v>
      </c>
      <c r="T208" s="12">
        <v>72</v>
      </c>
      <c r="U208" s="11" t="str">
        <f t="shared" si="31"/>
        <v>(51 - 100)</v>
      </c>
      <c r="V208" s="12">
        <f t="shared" si="32"/>
        <v>22.100840336134453</v>
      </c>
      <c r="W208" s="12">
        <f t="shared" si="33"/>
        <v>41.197718631178709</v>
      </c>
      <c r="X208" s="12">
        <f t="shared" si="34"/>
        <v>0.13688212927756654</v>
      </c>
    </row>
    <row r="209" spans="1:24">
      <c r="A209" s="11">
        <v>208</v>
      </c>
      <c r="B209" s="11" t="s">
        <v>2461</v>
      </c>
      <c r="C209" s="11" t="s">
        <v>16</v>
      </c>
      <c r="D209" s="11" t="s">
        <v>17</v>
      </c>
      <c r="E209" s="12">
        <v>17.5</v>
      </c>
      <c r="F209" s="11" t="s">
        <v>2643</v>
      </c>
      <c r="G209" s="11" t="str">
        <f t="shared" si="35"/>
        <v>Litres</v>
      </c>
      <c r="H209" s="13">
        <v>697</v>
      </c>
      <c r="I209" s="11" t="s">
        <v>19</v>
      </c>
      <c r="J209" s="12">
        <v>20104</v>
      </c>
      <c r="K209" s="12" t="str">
        <f t="shared" si="27"/>
        <v>Low</v>
      </c>
      <c r="L209" s="11" t="s">
        <v>20</v>
      </c>
      <c r="M209" s="14">
        <v>45209</v>
      </c>
      <c r="N209" s="14" t="str">
        <f t="shared" si="28"/>
        <v>10/10/2023</v>
      </c>
      <c r="O209" s="14" t="str">
        <f t="shared" si="29"/>
        <v>2023</v>
      </c>
      <c r="P209" s="11" t="s">
        <v>695</v>
      </c>
      <c r="Q209" s="11" t="s">
        <v>86</v>
      </c>
      <c r="R209" s="11">
        <v>13</v>
      </c>
      <c r="S209" s="11" t="str">
        <f t="shared" si="30"/>
        <v>13 - 16 yrs</v>
      </c>
      <c r="T209" s="12">
        <v>39.6</v>
      </c>
      <c r="U209" s="11" t="str">
        <f t="shared" si="31"/>
        <v>(0 - 50)</v>
      </c>
      <c r="V209" s="12">
        <f t="shared" si="32"/>
        <v>39.828571428571429</v>
      </c>
      <c r="W209" s="12">
        <f t="shared" si="33"/>
        <v>28.843615494978479</v>
      </c>
      <c r="X209" s="12">
        <f t="shared" si="34"/>
        <v>5.6814921090387376E-2</v>
      </c>
    </row>
    <row r="210" spans="1:24">
      <c r="A210" s="11">
        <v>209</v>
      </c>
      <c r="B210" s="11" t="s">
        <v>2462</v>
      </c>
      <c r="C210" s="11" t="s">
        <v>32</v>
      </c>
      <c r="D210" s="11" t="s">
        <v>61</v>
      </c>
      <c r="E210" s="12">
        <v>10</v>
      </c>
      <c r="F210" s="11" t="s">
        <v>62</v>
      </c>
      <c r="G210" s="11" t="str">
        <f t="shared" si="35"/>
        <v>kWh</v>
      </c>
      <c r="H210" s="13">
        <v>329</v>
      </c>
      <c r="I210" s="11" t="s">
        <v>19</v>
      </c>
      <c r="J210" s="12">
        <v>28372</v>
      </c>
      <c r="K210" s="12" t="str">
        <f t="shared" si="27"/>
        <v>Low</v>
      </c>
      <c r="L210" s="11" t="s">
        <v>20</v>
      </c>
      <c r="M210" s="14">
        <v>45676</v>
      </c>
      <c r="N210" s="14" t="str">
        <f t="shared" si="28"/>
        <v>19/01/2025</v>
      </c>
      <c r="O210" s="14" t="str">
        <f t="shared" si="29"/>
        <v>2025</v>
      </c>
      <c r="P210" s="11" t="s">
        <v>698</v>
      </c>
      <c r="Q210" s="11" t="s">
        <v>117</v>
      </c>
      <c r="R210" s="11">
        <v>6</v>
      </c>
      <c r="S210" s="11" t="str">
        <f t="shared" si="30"/>
        <v>5 - 8 yrs</v>
      </c>
      <c r="T210" s="12">
        <v>0</v>
      </c>
      <c r="U210" s="11" t="str">
        <f t="shared" si="31"/>
        <v>(0 - 50)</v>
      </c>
      <c r="V210" s="12">
        <f t="shared" si="32"/>
        <v>32.9</v>
      </c>
      <c r="W210" s="12">
        <f t="shared" si="33"/>
        <v>86.237082066869306</v>
      </c>
      <c r="X210" s="12">
        <f t="shared" si="34"/>
        <v>0</v>
      </c>
    </row>
    <row r="211" spans="1:24">
      <c r="A211" s="11">
        <v>210</v>
      </c>
      <c r="B211" s="11" t="s">
        <v>699</v>
      </c>
      <c r="C211" s="11" t="s">
        <v>32</v>
      </c>
      <c r="D211" s="11" t="s">
        <v>61</v>
      </c>
      <c r="E211" s="12">
        <v>10</v>
      </c>
      <c r="F211" s="11" t="s">
        <v>62</v>
      </c>
      <c r="G211" s="11" t="str">
        <f t="shared" si="35"/>
        <v>kWh</v>
      </c>
      <c r="H211" s="13">
        <v>199</v>
      </c>
      <c r="I211" s="11" t="s">
        <v>19</v>
      </c>
      <c r="J211" s="12">
        <v>111817</v>
      </c>
      <c r="K211" s="12" t="str">
        <f t="shared" si="27"/>
        <v>Extreme</v>
      </c>
      <c r="L211" s="11" t="s">
        <v>20</v>
      </c>
      <c r="M211" s="14">
        <v>45341</v>
      </c>
      <c r="N211" s="14" t="str">
        <f t="shared" si="28"/>
        <v>19/02/2024</v>
      </c>
      <c r="O211" s="14" t="str">
        <f t="shared" si="29"/>
        <v>2024</v>
      </c>
      <c r="P211" s="11" t="s">
        <v>701</v>
      </c>
      <c r="Q211" s="11" t="s">
        <v>59</v>
      </c>
      <c r="R211" s="11">
        <v>10</v>
      </c>
      <c r="S211" s="11" t="str">
        <f t="shared" si="30"/>
        <v>9 - 12 yrs</v>
      </c>
      <c r="T211" s="12">
        <v>0</v>
      </c>
      <c r="U211" s="11" t="str">
        <f t="shared" si="31"/>
        <v>(0 - 50)</v>
      </c>
      <c r="V211" s="12">
        <f t="shared" si="32"/>
        <v>19.899999999999999</v>
      </c>
      <c r="W211" s="12">
        <f t="shared" si="33"/>
        <v>561.89447236180899</v>
      </c>
      <c r="X211" s="12">
        <f t="shared" si="34"/>
        <v>0</v>
      </c>
    </row>
    <row r="212" spans="1:24">
      <c r="A212" s="11">
        <v>211</v>
      </c>
      <c r="B212" s="11" t="s">
        <v>2463</v>
      </c>
      <c r="C212" s="11" t="s">
        <v>39</v>
      </c>
      <c r="D212" s="11" t="s">
        <v>33</v>
      </c>
      <c r="E212" s="12">
        <v>17.7</v>
      </c>
      <c r="F212" s="11" t="s">
        <v>56</v>
      </c>
      <c r="G212" s="11" t="str">
        <f t="shared" si="35"/>
        <v>Litres</v>
      </c>
      <c r="H212" s="13">
        <v>454</v>
      </c>
      <c r="I212" s="11" t="s">
        <v>19</v>
      </c>
      <c r="J212" s="12">
        <v>70630</v>
      </c>
      <c r="K212" s="12" t="str">
        <f t="shared" si="27"/>
        <v>Moderate</v>
      </c>
      <c r="L212" s="11" t="s">
        <v>20</v>
      </c>
      <c r="M212" s="14">
        <v>45768</v>
      </c>
      <c r="N212" s="14" t="str">
        <f t="shared" si="28"/>
        <v>21/04/2025</v>
      </c>
      <c r="O212" s="14" t="str">
        <f t="shared" si="29"/>
        <v>2025</v>
      </c>
      <c r="P212" s="11" t="s">
        <v>703</v>
      </c>
      <c r="Q212" s="11" t="s">
        <v>69</v>
      </c>
      <c r="R212" s="11">
        <v>9</v>
      </c>
      <c r="S212" s="11" t="str">
        <f t="shared" si="30"/>
        <v>9 - 12 yrs</v>
      </c>
      <c r="T212" s="12">
        <v>60.9</v>
      </c>
      <c r="U212" s="11" t="str">
        <f t="shared" si="31"/>
        <v>(51 - 100)</v>
      </c>
      <c r="V212" s="12">
        <f t="shared" si="32"/>
        <v>25.649717514124294</v>
      </c>
      <c r="W212" s="12">
        <f t="shared" si="33"/>
        <v>155.57268722466961</v>
      </c>
      <c r="X212" s="12">
        <f t="shared" si="34"/>
        <v>0.13414096916299559</v>
      </c>
    </row>
    <row r="213" spans="1:24">
      <c r="A213" s="11">
        <v>212</v>
      </c>
      <c r="B213" s="11" t="s">
        <v>2464</v>
      </c>
      <c r="C213" s="11" t="s">
        <v>16</v>
      </c>
      <c r="D213" s="11" t="s">
        <v>17</v>
      </c>
      <c r="E213" s="12">
        <v>76.400000000000006</v>
      </c>
      <c r="F213" s="11" t="s">
        <v>56</v>
      </c>
      <c r="G213" s="11" t="str">
        <f t="shared" si="35"/>
        <v>Litres</v>
      </c>
      <c r="H213" s="13">
        <v>606</v>
      </c>
      <c r="I213" s="11" t="s">
        <v>19</v>
      </c>
      <c r="J213" s="12">
        <v>11098</v>
      </c>
      <c r="K213" s="12" t="str">
        <f t="shared" si="27"/>
        <v>Very Low</v>
      </c>
      <c r="L213" s="11" t="s">
        <v>20</v>
      </c>
      <c r="M213" s="14">
        <v>45240</v>
      </c>
      <c r="N213" s="14" t="str">
        <f t="shared" si="28"/>
        <v>10/11/2023</v>
      </c>
      <c r="O213" s="14" t="str">
        <f t="shared" si="29"/>
        <v>2023</v>
      </c>
      <c r="P213" s="11" t="s">
        <v>706</v>
      </c>
      <c r="Q213" s="11" t="s">
        <v>441</v>
      </c>
      <c r="R213" s="11">
        <v>15</v>
      </c>
      <c r="S213" s="11" t="str">
        <f t="shared" si="30"/>
        <v>13 - 16 yrs</v>
      </c>
      <c r="T213" s="12">
        <v>260.60000000000002</v>
      </c>
      <c r="U213" s="11" t="str">
        <f t="shared" si="31"/>
        <v>(251 - 300)</v>
      </c>
      <c r="V213" s="12">
        <f t="shared" si="32"/>
        <v>7.9319371727748686</v>
      </c>
      <c r="W213" s="12">
        <f t="shared" si="33"/>
        <v>18.313531353135314</v>
      </c>
      <c r="X213" s="12">
        <f t="shared" si="34"/>
        <v>0.43003300330033006</v>
      </c>
    </row>
    <row r="214" spans="1:24">
      <c r="A214" s="11">
        <v>213</v>
      </c>
      <c r="B214" s="11" t="s">
        <v>707</v>
      </c>
      <c r="C214" s="11" t="s">
        <v>32</v>
      </c>
      <c r="D214" s="11" t="s">
        <v>17</v>
      </c>
      <c r="E214" s="12">
        <v>40.9</v>
      </c>
      <c r="F214" s="11" t="s">
        <v>56</v>
      </c>
      <c r="G214" s="11" t="str">
        <f t="shared" si="35"/>
        <v>Litres</v>
      </c>
      <c r="H214" s="13">
        <v>674</v>
      </c>
      <c r="I214" s="11" t="s">
        <v>19</v>
      </c>
      <c r="J214" s="12">
        <v>33923</v>
      </c>
      <c r="K214" s="12" t="str">
        <f t="shared" si="27"/>
        <v>Low</v>
      </c>
      <c r="L214" s="11" t="s">
        <v>20</v>
      </c>
      <c r="M214" s="14">
        <v>45396</v>
      </c>
      <c r="N214" s="14" t="str">
        <f t="shared" si="28"/>
        <v>14/04/2024</v>
      </c>
      <c r="O214" s="14" t="str">
        <f t="shared" si="29"/>
        <v>2024</v>
      </c>
      <c r="P214" s="11" t="s">
        <v>709</v>
      </c>
      <c r="Q214" s="11" t="s">
        <v>48</v>
      </c>
      <c r="R214" s="11">
        <v>13</v>
      </c>
      <c r="S214" s="11" t="str">
        <f t="shared" si="30"/>
        <v>13 - 16 yrs</v>
      </c>
      <c r="T214" s="12">
        <v>134</v>
      </c>
      <c r="U214" s="11" t="str">
        <f t="shared" si="31"/>
        <v>(101 - 150)</v>
      </c>
      <c r="V214" s="12">
        <f t="shared" si="32"/>
        <v>16.47921760391198</v>
      </c>
      <c r="W214" s="12">
        <f t="shared" si="33"/>
        <v>50.330860534124632</v>
      </c>
      <c r="X214" s="12">
        <f t="shared" si="34"/>
        <v>0.19881305637982197</v>
      </c>
    </row>
    <row r="215" spans="1:24">
      <c r="A215" s="11">
        <v>214</v>
      </c>
      <c r="B215" s="11" t="s">
        <v>710</v>
      </c>
      <c r="C215" s="11" t="s">
        <v>50</v>
      </c>
      <c r="D215" s="11" t="s">
        <v>17</v>
      </c>
      <c r="E215" s="12">
        <v>23.4</v>
      </c>
      <c r="F215" s="11" t="s">
        <v>41</v>
      </c>
      <c r="G215" s="11" t="str">
        <f t="shared" si="35"/>
        <v>Litres</v>
      </c>
      <c r="H215" s="13">
        <v>68</v>
      </c>
      <c r="I215" s="11" t="s">
        <v>19</v>
      </c>
      <c r="J215" s="12">
        <v>34267</v>
      </c>
      <c r="K215" s="12" t="str">
        <f t="shared" si="27"/>
        <v>Low</v>
      </c>
      <c r="L215" s="11" t="s">
        <v>20</v>
      </c>
      <c r="M215" s="14">
        <v>45588</v>
      </c>
      <c r="N215" s="14" t="str">
        <f t="shared" si="28"/>
        <v>23/10/2024</v>
      </c>
      <c r="O215" s="14" t="str">
        <f t="shared" si="29"/>
        <v>2024</v>
      </c>
      <c r="P215" s="11" t="s">
        <v>712</v>
      </c>
      <c r="Q215" s="11" t="s">
        <v>54</v>
      </c>
      <c r="R215" s="11">
        <v>8</v>
      </c>
      <c r="S215" s="11" t="str">
        <f t="shared" si="30"/>
        <v>5 - 8 yrs</v>
      </c>
      <c r="T215" s="12">
        <v>70.7</v>
      </c>
      <c r="U215" s="11" t="str">
        <f t="shared" si="31"/>
        <v>(51 - 100)</v>
      </c>
      <c r="V215" s="12">
        <f t="shared" si="32"/>
        <v>2.9059829059829063</v>
      </c>
      <c r="W215" s="12">
        <f t="shared" si="33"/>
        <v>503.9264705882353</v>
      </c>
      <c r="X215" s="12">
        <f t="shared" si="34"/>
        <v>1.0397058823529413</v>
      </c>
    </row>
    <row r="216" spans="1:24">
      <c r="A216" s="11">
        <v>215</v>
      </c>
      <c r="B216" s="11" t="s">
        <v>713</v>
      </c>
      <c r="C216" s="11" t="s">
        <v>32</v>
      </c>
      <c r="D216" s="11" t="s">
        <v>61</v>
      </c>
      <c r="E216" s="12">
        <v>10</v>
      </c>
      <c r="F216" s="11" t="s">
        <v>56</v>
      </c>
      <c r="G216" s="11" t="str">
        <f t="shared" si="35"/>
        <v>Litres</v>
      </c>
      <c r="H216" s="13">
        <v>499</v>
      </c>
      <c r="I216" s="11" t="s">
        <v>19</v>
      </c>
      <c r="J216" s="12">
        <v>100374</v>
      </c>
      <c r="K216" s="12" t="str">
        <f t="shared" si="27"/>
        <v>Very High</v>
      </c>
      <c r="L216" s="11" t="s">
        <v>20</v>
      </c>
      <c r="M216" s="14">
        <v>45323</v>
      </c>
      <c r="N216" s="14" t="str">
        <f t="shared" si="28"/>
        <v>01/02/2024</v>
      </c>
      <c r="O216" s="14" t="str">
        <f t="shared" si="29"/>
        <v>2024</v>
      </c>
      <c r="P216" s="11" t="s">
        <v>703</v>
      </c>
      <c r="Q216" s="11" t="s">
        <v>441</v>
      </c>
      <c r="R216" s="11">
        <v>9</v>
      </c>
      <c r="S216" s="11" t="str">
        <f t="shared" si="30"/>
        <v>9 - 12 yrs</v>
      </c>
      <c r="T216" s="12">
        <v>0</v>
      </c>
      <c r="U216" s="11" t="str">
        <f t="shared" si="31"/>
        <v>(0 - 50)</v>
      </c>
      <c r="V216" s="12">
        <f t="shared" si="32"/>
        <v>49.9</v>
      </c>
      <c r="W216" s="12">
        <f t="shared" si="33"/>
        <v>201.15030060120242</v>
      </c>
      <c r="X216" s="12">
        <f t="shared" si="34"/>
        <v>0</v>
      </c>
    </row>
    <row r="217" spans="1:24">
      <c r="A217" s="11">
        <v>216</v>
      </c>
      <c r="B217" s="11" t="s">
        <v>2465</v>
      </c>
      <c r="C217" s="11" t="s">
        <v>39</v>
      </c>
      <c r="D217" s="11" t="s">
        <v>33</v>
      </c>
      <c r="E217" s="12">
        <v>44.3</v>
      </c>
      <c r="F217" s="11" t="s">
        <v>62</v>
      </c>
      <c r="G217" s="11" t="str">
        <f t="shared" si="35"/>
        <v>kWh</v>
      </c>
      <c r="H217" s="13">
        <v>596</v>
      </c>
      <c r="I217" s="11" t="s">
        <v>19</v>
      </c>
      <c r="J217" s="12">
        <v>75567</v>
      </c>
      <c r="K217" s="12" t="str">
        <f t="shared" si="27"/>
        <v>High</v>
      </c>
      <c r="L217" s="11" t="s">
        <v>20</v>
      </c>
      <c r="M217" s="14">
        <v>45264</v>
      </c>
      <c r="N217" s="14" t="str">
        <f t="shared" si="28"/>
        <v>04/12/2023</v>
      </c>
      <c r="O217" s="14" t="str">
        <f t="shared" si="29"/>
        <v>2023</v>
      </c>
      <c r="P217" s="11" t="s">
        <v>717</v>
      </c>
      <c r="Q217" s="11" t="s">
        <v>441</v>
      </c>
      <c r="R217" s="11">
        <v>8</v>
      </c>
      <c r="S217" s="11" t="str">
        <f t="shared" si="30"/>
        <v>5 - 8 yrs</v>
      </c>
      <c r="T217" s="12">
        <v>114.5</v>
      </c>
      <c r="U217" s="11" t="str">
        <f t="shared" si="31"/>
        <v>(101 - 150)</v>
      </c>
      <c r="V217" s="12">
        <f t="shared" si="32"/>
        <v>13.453724604966141</v>
      </c>
      <c r="W217" s="12">
        <f t="shared" si="33"/>
        <v>126.79026845637584</v>
      </c>
      <c r="X217" s="12">
        <f t="shared" si="34"/>
        <v>0.19211409395973153</v>
      </c>
    </row>
    <row r="218" spans="1:24">
      <c r="A218" s="11">
        <v>217</v>
      </c>
      <c r="B218" s="11" t="s">
        <v>488</v>
      </c>
      <c r="C218" s="11" t="s">
        <v>16</v>
      </c>
      <c r="D218" s="11" t="s">
        <v>33</v>
      </c>
      <c r="E218" s="12">
        <v>5.3</v>
      </c>
      <c r="F218" s="11" t="s">
        <v>41</v>
      </c>
      <c r="G218" s="11" t="str">
        <f t="shared" si="35"/>
        <v>Litres</v>
      </c>
      <c r="H218" s="13">
        <v>649</v>
      </c>
      <c r="I218" s="11" t="s">
        <v>19</v>
      </c>
      <c r="J218" s="12">
        <v>5393</v>
      </c>
      <c r="K218" s="12" t="str">
        <f t="shared" si="27"/>
        <v>Very Low</v>
      </c>
      <c r="L218" s="11" t="s">
        <v>20</v>
      </c>
      <c r="M218" s="14">
        <v>45147</v>
      </c>
      <c r="N218" s="14" t="str">
        <f t="shared" si="28"/>
        <v>09/08/2023</v>
      </c>
      <c r="O218" s="14" t="str">
        <f t="shared" si="29"/>
        <v>2023</v>
      </c>
      <c r="P218" s="11" t="s">
        <v>719</v>
      </c>
      <c r="Q218" s="11" t="s">
        <v>54</v>
      </c>
      <c r="R218" s="11">
        <v>17</v>
      </c>
      <c r="S218" s="11" t="str">
        <f t="shared" si="30"/>
        <v>17 + yrs</v>
      </c>
      <c r="T218" s="12">
        <v>10.9</v>
      </c>
      <c r="U218" s="11" t="str">
        <f t="shared" si="31"/>
        <v>(0 - 50)</v>
      </c>
      <c r="V218" s="12">
        <f t="shared" si="32"/>
        <v>122.45283018867924</v>
      </c>
      <c r="W218" s="12">
        <f t="shared" si="33"/>
        <v>8.3097072419106315</v>
      </c>
      <c r="X218" s="12">
        <f t="shared" si="34"/>
        <v>1.6795069337442219E-2</v>
      </c>
    </row>
    <row r="219" spans="1:24">
      <c r="A219" s="11">
        <v>218</v>
      </c>
      <c r="B219" s="11" t="s">
        <v>720</v>
      </c>
      <c r="C219" s="11" t="s">
        <v>39</v>
      </c>
      <c r="D219" s="11" t="s">
        <v>61</v>
      </c>
      <c r="E219" s="12">
        <v>10</v>
      </c>
      <c r="F219" s="11" t="s">
        <v>2643</v>
      </c>
      <c r="G219" s="11" t="str">
        <f t="shared" si="35"/>
        <v>Litres</v>
      </c>
      <c r="H219" s="13">
        <v>493</v>
      </c>
      <c r="I219" s="11" t="s">
        <v>19</v>
      </c>
      <c r="J219" s="12">
        <v>92176</v>
      </c>
      <c r="K219" s="12" t="str">
        <f t="shared" si="27"/>
        <v>Very High</v>
      </c>
      <c r="L219" s="11" t="s">
        <v>20</v>
      </c>
      <c r="M219" s="14">
        <v>45576</v>
      </c>
      <c r="N219" s="14" t="str">
        <f t="shared" si="28"/>
        <v>11/10/2024</v>
      </c>
      <c r="O219" s="14" t="str">
        <f t="shared" si="29"/>
        <v>2024</v>
      </c>
      <c r="P219" s="11" t="s">
        <v>678</v>
      </c>
      <c r="Q219" s="11" t="s">
        <v>112</v>
      </c>
      <c r="R219" s="11">
        <v>19</v>
      </c>
      <c r="S219" s="11" t="str">
        <f t="shared" si="30"/>
        <v>17 + yrs</v>
      </c>
      <c r="T219" s="12">
        <v>0</v>
      </c>
      <c r="U219" s="11" t="str">
        <f t="shared" si="31"/>
        <v>(0 - 50)</v>
      </c>
      <c r="V219" s="12">
        <f t="shared" si="32"/>
        <v>49.3</v>
      </c>
      <c r="W219" s="12">
        <f t="shared" si="33"/>
        <v>186.96957403651115</v>
      </c>
      <c r="X219" s="12">
        <f t="shared" si="34"/>
        <v>0</v>
      </c>
    </row>
    <row r="220" spans="1:24">
      <c r="A220" s="11">
        <v>219</v>
      </c>
      <c r="B220" s="11" t="s">
        <v>210</v>
      </c>
      <c r="C220" s="11" t="s">
        <v>32</v>
      </c>
      <c r="D220" s="11" t="s">
        <v>33</v>
      </c>
      <c r="E220" s="12">
        <v>73.8</v>
      </c>
      <c r="F220" s="11" t="s">
        <v>41</v>
      </c>
      <c r="G220" s="11" t="str">
        <f t="shared" si="35"/>
        <v>Litres</v>
      </c>
      <c r="H220" s="13">
        <v>694</v>
      </c>
      <c r="I220" s="11" t="s">
        <v>19</v>
      </c>
      <c r="J220" s="12">
        <v>7500</v>
      </c>
      <c r="K220" s="12" t="str">
        <f t="shared" si="27"/>
        <v>Very Low</v>
      </c>
      <c r="L220" s="11" t="s">
        <v>20</v>
      </c>
      <c r="M220" s="14">
        <v>45109</v>
      </c>
      <c r="N220" s="14" t="str">
        <f t="shared" si="28"/>
        <v>02/07/2023</v>
      </c>
      <c r="O220" s="14" t="str">
        <f t="shared" si="29"/>
        <v>2023</v>
      </c>
      <c r="P220" s="11" t="s">
        <v>723</v>
      </c>
      <c r="Q220" s="11" t="s">
        <v>441</v>
      </c>
      <c r="R220" s="11">
        <v>9</v>
      </c>
      <c r="S220" s="11" t="str">
        <f t="shared" si="30"/>
        <v>9 - 12 yrs</v>
      </c>
      <c r="T220" s="12">
        <v>217.6</v>
      </c>
      <c r="U220" s="11" t="str">
        <f t="shared" si="31"/>
        <v>(201 - 250)</v>
      </c>
      <c r="V220" s="12">
        <f t="shared" si="32"/>
        <v>9.4037940379403793</v>
      </c>
      <c r="W220" s="12">
        <f t="shared" si="33"/>
        <v>10.806916426512968</v>
      </c>
      <c r="X220" s="12">
        <f t="shared" si="34"/>
        <v>0.31354466858789626</v>
      </c>
    </row>
    <row r="221" spans="1:24">
      <c r="A221" s="11">
        <v>220</v>
      </c>
      <c r="B221" s="11" t="s">
        <v>724</v>
      </c>
      <c r="C221" s="11" t="s">
        <v>39</v>
      </c>
      <c r="D221" s="11" t="s">
        <v>17</v>
      </c>
      <c r="E221" s="12">
        <v>15.9</v>
      </c>
      <c r="F221" s="11" t="s">
        <v>62</v>
      </c>
      <c r="G221" s="11" t="str">
        <f t="shared" si="35"/>
        <v>kWh</v>
      </c>
      <c r="H221" s="13">
        <v>60</v>
      </c>
      <c r="I221" s="11" t="s">
        <v>19</v>
      </c>
      <c r="J221" s="12">
        <v>64611</v>
      </c>
      <c r="K221" s="12" t="str">
        <f t="shared" si="27"/>
        <v>Moderate</v>
      </c>
      <c r="L221" s="11" t="s">
        <v>20</v>
      </c>
      <c r="M221" s="14">
        <v>45634</v>
      </c>
      <c r="N221" s="14" t="str">
        <f t="shared" si="28"/>
        <v>08/12/2024</v>
      </c>
      <c r="O221" s="14" t="str">
        <f t="shared" si="29"/>
        <v>2024</v>
      </c>
      <c r="P221" s="11" t="s">
        <v>726</v>
      </c>
      <c r="Q221" s="11" t="s">
        <v>59</v>
      </c>
      <c r="R221" s="11">
        <v>13</v>
      </c>
      <c r="S221" s="11" t="str">
        <f t="shared" si="30"/>
        <v>13 - 16 yrs</v>
      </c>
      <c r="T221" s="12">
        <v>35.700000000000003</v>
      </c>
      <c r="U221" s="11" t="str">
        <f t="shared" si="31"/>
        <v>(0 - 50)</v>
      </c>
      <c r="V221" s="12">
        <f t="shared" si="32"/>
        <v>3.7735849056603774</v>
      </c>
      <c r="W221" s="12">
        <f t="shared" si="33"/>
        <v>1076.8499999999999</v>
      </c>
      <c r="X221" s="12">
        <f t="shared" si="34"/>
        <v>0.59500000000000008</v>
      </c>
    </row>
    <row r="222" spans="1:24">
      <c r="A222" s="11">
        <v>221</v>
      </c>
      <c r="B222" s="11" t="s">
        <v>727</v>
      </c>
      <c r="C222" s="11" t="s">
        <v>50</v>
      </c>
      <c r="D222" s="11" t="s">
        <v>33</v>
      </c>
      <c r="E222" s="12">
        <v>47.2</v>
      </c>
      <c r="F222" s="11" t="s">
        <v>26</v>
      </c>
      <c r="G222" s="11" t="str">
        <f t="shared" si="35"/>
        <v>Litres</v>
      </c>
      <c r="H222" s="13">
        <v>135</v>
      </c>
      <c r="I222" s="11" t="s">
        <v>19</v>
      </c>
      <c r="J222" s="12">
        <v>66815</v>
      </c>
      <c r="K222" s="12" t="str">
        <f t="shared" si="27"/>
        <v>Moderate</v>
      </c>
      <c r="L222" s="11" t="s">
        <v>20</v>
      </c>
      <c r="M222" s="14">
        <v>45340</v>
      </c>
      <c r="N222" s="14" t="str">
        <f t="shared" si="28"/>
        <v>18/02/2024</v>
      </c>
      <c r="O222" s="14" t="str">
        <f t="shared" si="29"/>
        <v>2024</v>
      </c>
      <c r="P222" s="11" t="s">
        <v>686</v>
      </c>
      <c r="Q222" s="11" t="s">
        <v>441</v>
      </c>
      <c r="R222" s="11">
        <v>6</v>
      </c>
      <c r="S222" s="11" t="str">
        <f t="shared" si="30"/>
        <v>5 - 8 yrs</v>
      </c>
      <c r="T222" s="12">
        <v>163.9</v>
      </c>
      <c r="U222" s="11" t="str">
        <f t="shared" si="31"/>
        <v>(151 - 200)</v>
      </c>
      <c r="V222" s="12">
        <f t="shared" si="32"/>
        <v>2.8601694915254234</v>
      </c>
      <c r="W222" s="12">
        <f t="shared" si="33"/>
        <v>494.92592592592592</v>
      </c>
      <c r="X222" s="12">
        <f t="shared" si="34"/>
        <v>1.2140740740740741</v>
      </c>
    </row>
    <row r="223" spans="1:24">
      <c r="A223" s="11">
        <v>222</v>
      </c>
      <c r="B223" s="11" t="s">
        <v>2428</v>
      </c>
      <c r="C223" s="11" t="s">
        <v>16</v>
      </c>
      <c r="D223" s="11" t="s">
        <v>17</v>
      </c>
      <c r="E223" s="12">
        <v>65.5</v>
      </c>
      <c r="F223" s="11" t="s">
        <v>26</v>
      </c>
      <c r="G223" s="11" t="str">
        <f t="shared" si="35"/>
        <v>Litres</v>
      </c>
      <c r="H223" s="13">
        <v>404</v>
      </c>
      <c r="I223" s="11" t="s">
        <v>19</v>
      </c>
      <c r="J223" s="12">
        <v>109623</v>
      </c>
      <c r="K223" s="12" t="str">
        <f t="shared" si="27"/>
        <v>Extreme</v>
      </c>
      <c r="L223" s="11" t="s">
        <v>20</v>
      </c>
      <c r="M223" s="14">
        <v>45826</v>
      </c>
      <c r="N223" s="14" t="str">
        <f t="shared" si="28"/>
        <v>18/06/2025</v>
      </c>
      <c r="O223" s="14" t="str">
        <f t="shared" si="29"/>
        <v>2025</v>
      </c>
      <c r="P223" s="11" t="s">
        <v>730</v>
      </c>
      <c r="Q223" s="11" t="s">
        <v>441</v>
      </c>
      <c r="R223" s="11">
        <v>18</v>
      </c>
      <c r="S223" s="11" t="str">
        <f t="shared" si="30"/>
        <v>17 + yrs</v>
      </c>
      <c r="T223" s="12">
        <v>172.6</v>
      </c>
      <c r="U223" s="11" t="str">
        <f t="shared" si="31"/>
        <v>(151 - 200)</v>
      </c>
      <c r="V223" s="12">
        <f t="shared" si="32"/>
        <v>6.1679389312977095</v>
      </c>
      <c r="W223" s="12">
        <f t="shared" si="33"/>
        <v>271.34405940594058</v>
      </c>
      <c r="X223" s="12">
        <f t="shared" si="34"/>
        <v>0.42722772277227722</v>
      </c>
    </row>
    <row r="224" spans="1:24">
      <c r="A224" s="11">
        <v>223</v>
      </c>
      <c r="B224" s="11" t="s">
        <v>731</v>
      </c>
      <c r="C224" s="11" t="s">
        <v>16</v>
      </c>
      <c r="D224" s="11" t="s">
        <v>33</v>
      </c>
      <c r="E224" s="12">
        <v>28.6</v>
      </c>
      <c r="F224" s="11" t="s">
        <v>62</v>
      </c>
      <c r="G224" s="11" t="str">
        <f t="shared" si="35"/>
        <v>kWh</v>
      </c>
      <c r="H224" s="13">
        <v>101</v>
      </c>
      <c r="I224" s="11" t="s">
        <v>19</v>
      </c>
      <c r="J224" s="12">
        <v>52950</v>
      </c>
      <c r="K224" s="12" t="str">
        <f t="shared" si="27"/>
        <v>Medium</v>
      </c>
      <c r="L224" s="11" t="s">
        <v>20</v>
      </c>
      <c r="M224" s="14">
        <v>45763</v>
      </c>
      <c r="N224" s="14" t="str">
        <f t="shared" si="28"/>
        <v>16/04/2025</v>
      </c>
      <c r="O224" s="14" t="str">
        <f t="shared" si="29"/>
        <v>2025</v>
      </c>
      <c r="P224" s="11" t="s">
        <v>733</v>
      </c>
      <c r="Q224" s="11" t="s">
        <v>117</v>
      </c>
      <c r="R224" s="11">
        <v>13</v>
      </c>
      <c r="S224" s="11" t="str">
        <f t="shared" si="30"/>
        <v>13 - 16 yrs</v>
      </c>
      <c r="T224" s="12">
        <v>98</v>
      </c>
      <c r="U224" s="11" t="str">
        <f t="shared" si="31"/>
        <v>(51 - 100)</v>
      </c>
      <c r="V224" s="12">
        <f t="shared" si="32"/>
        <v>3.5314685314685312</v>
      </c>
      <c r="W224" s="12">
        <f t="shared" si="33"/>
        <v>524.25742574257424</v>
      </c>
      <c r="X224" s="12">
        <f t="shared" si="34"/>
        <v>0.97029702970297027</v>
      </c>
    </row>
    <row r="225" spans="1:24">
      <c r="A225" s="11">
        <v>224</v>
      </c>
      <c r="B225" s="11" t="s">
        <v>734</v>
      </c>
      <c r="C225" s="11" t="s">
        <v>32</v>
      </c>
      <c r="D225" s="11" t="s">
        <v>33</v>
      </c>
      <c r="E225" s="12">
        <v>48.8</v>
      </c>
      <c r="F225" s="11" t="s">
        <v>2643</v>
      </c>
      <c r="G225" s="11" t="str">
        <f t="shared" si="35"/>
        <v>Litres</v>
      </c>
      <c r="H225" s="13">
        <v>537</v>
      </c>
      <c r="I225" s="11" t="s">
        <v>19</v>
      </c>
      <c r="J225" s="12">
        <v>58133</v>
      </c>
      <c r="K225" s="12" t="str">
        <f t="shared" si="27"/>
        <v>Moderate</v>
      </c>
      <c r="L225" s="11" t="s">
        <v>20</v>
      </c>
      <c r="M225" s="14">
        <v>45583</v>
      </c>
      <c r="N225" s="14" t="str">
        <f t="shared" si="28"/>
        <v>18/10/2024</v>
      </c>
      <c r="O225" s="14" t="str">
        <f t="shared" si="29"/>
        <v>2024</v>
      </c>
      <c r="P225" s="11" t="s">
        <v>736</v>
      </c>
      <c r="Q225" s="11" t="s">
        <v>112</v>
      </c>
      <c r="R225" s="11">
        <v>4</v>
      </c>
      <c r="S225" s="11" t="str">
        <f t="shared" si="30"/>
        <v>0 - 4 yrs</v>
      </c>
      <c r="T225" s="12">
        <v>101.2</v>
      </c>
      <c r="U225" s="11" t="str">
        <f t="shared" si="31"/>
        <v>(101 - 150)</v>
      </c>
      <c r="V225" s="12">
        <f t="shared" si="32"/>
        <v>11.004098360655739</v>
      </c>
      <c r="W225" s="12">
        <f t="shared" si="33"/>
        <v>108.25512104283054</v>
      </c>
      <c r="X225" s="12">
        <f t="shared" si="34"/>
        <v>0.18845437616387337</v>
      </c>
    </row>
    <row r="226" spans="1:24">
      <c r="A226" s="11">
        <v>225</v>
      </c>
      <c r="B226" s="11" t="s">
        <v>737</v>
      </c>
      <c r="C226" s="11" t="s">
        <v>39</v>
      </c>
      <c r="D226" s="11" t="s">
        <v>17</v>
      </c>
      <c r="E226" s="12">
        <v>68.5</v>
      </c>
      <c r="F226" s="11" t="s">
        <v>26</v>
      </c>
      <c r="G226" s="11" t="str">
        <f t="shared" si="35"/>
        <v>Litres</v>
      </c>
      <c r="H226" s="13">
        <v>507</v>
      </c>
      <c r="I226" s="11" t="s">
        <v>19</v>
      </c>
      <c r="J226" s="12">
        <v>35548</v>
      </c>
      <c r="K226" s="12" t="str">
        <f t="shared" si="27"/>
        <v>Low</v>
      </c>
      <c r="L226" s="11" t="s">
        <v>20</v>
      </c>
      <c r="M226" s="14">
        <v>45791</v>
      </c>
      <c r="N226" s="14" t="str">
        <f t="shared" si="28"/>
        <v>14/05/2025</v>
      </c>
      <c r="O226" s="14" t="str">
        <f t="shared" si="29"/>
        <v>2025</v>
      </c>
      <c r="P226" s="11" t="s">
        <v>738</v>
      </c>
      <c r="Q226" s="11" t="s">
        <v>48</v>
      </c>
      <c r="R226" s="11">
        <v>11</v>
      </c>
      <c r="S226" s="11" t="str">
        <f t="shared" si="30"/>
        <v>9 - 12 yrs</v>
      </c>
      <c r="T226" s="12">
        <v>237.3</v>
      </c>
      <c r="U226" s="11" t="str">
        <f t="shared" si="31"/>
        <v>(201 - 250)</v>
      </c>
      <c r="V226" s="12">
        <f t="shared" si="32"/>
        <v>7.4014598540145986</v>
      </c>
      <c r="W226" s="12">
        <f t="shared" si="33"/>
        <v>70.11439842209073</v>
      </c>
      <c r="X226" s="12">
        <f t="shared" si="34"/>
        <v>0.46804733727810655</v>
      </c>
    </row>
    <row r="227" spans="1:24">
      <c r="A227" s="11">
        <v>226</v>
      </c>
      <c r="B227" s="11" t="s">
        <v>739</v>
      </c>
      <c r="C227" s="11" t="s">
        <v>32</v>
      </c>
      <c r="D227" s="11" t="s">
        <v>61</v>
      </c>
      <c r="E227" s="12">
        <v>10</v>
      </c>
      <c r="F227" s="11" t="s">
        <v>2643</v>
      </c>
      <c r="G227" s="11" t="str">
        <f t="shared" si="35"/>
        <v>Litres</v>
      </c>
      <c r="H227" s="13">
        <v>90</v>
      </c>
      <c r="I227" s="11" t="s">
        <v>19</v>
      </c>
      <c r="J227" s="12">
        <v>116113</v>
      </c>
      <c r="K227" s="12" t="str">
        <f t="shared" si="27"/>
        <v>Extreme</v>
      </c>
      <c r="L227" s="11" t="s">
        <v>20</v>
      </c>
      <c r="M227" s="14">
        <v>45821</v>
      </c>
      <c r="N227" s="14" t="str">
        <f t="shared" si="28"/>
        <v>13/06/2025</v>
      </c>
      <c r="O227" s="14" t="str">
        <f t="shared" si="29"/>
        <v>2025</v>
      </c>
      <c r="P227" s="11" t="s">
        <v>741</v>
      </c>
      <c r="Q227" s="11" t="s">
        <v>121</v>
      </c>
      <c r="R227" s="11">
        <v>19</v>
      </c>
      <c r="S227" s="11" t="str">
        <f t="shared" si="30"/>
        <v>17 + yrs</v>
      </c>
      <c r="T227" s="12">
        <v>0</v>
      </c>
      <c r="U227" s="11" t="str">
        <f t="shared" si="31"/>
        <v>(0 - 50)</v>
      </c>
      <c r="V227" s="12">
        <f t="shared" si="32"/>
        <v>9</v>
      </c>
      <c r="W227" s="12">
        <f t="shared" si="33"/>
        <v>1290.1444444444444</v>
      </c>
      <c r="X227" s="12">
        <f t="shared" si="34"/>
        <v>0</v>
      </c>
    </row>
    <row r="228" spans="1:24">
      <c r="A228" s="11">
        <v>227</v>
      </c>
      <c r="B228" s="11" t="s">
        <v>742</v>
      </c>
      <c r="C228" s="11" t="s">
        <v>16</v>
      </c>
      <c r="D228" s="11" t="s">
        <v>33</v>
      </c>
      <c r="E228" s="12">
        <v>26.2</v>
      </c>
      <c r="F228" s="11" t="s">
        <v>56</v>
      </c>
      <c r="G228" s="11" t="str">
        <f t="shared" si="35"/>
        <v>Litres</v>
      </c>
      <c r="H228" s="13">
        <v>690</v>
      </c>
      <c r="I228" s="11" t="s">
        <v>19</v>
      </c>
      <c r="J228" s="12">
        <v>16463</v>
      </c>
      <c r="K228" s="12" t="str">
        <f t="shared" si="27"/>
        <v>Very Low</v>
      </c>
      <c r="L228" s="11" t="s">
        <v>20</v>
      </c>
      <c r="M228" s="14">
        <v>45115</v>
      </c>
      <c r="N228" s="14" t="str">
        <f t="shared" si="28"/>
        <v>08/07/2023</v>
      </c>
      <c r="O228" s="14" t="str">
        <f t="shared" si="29"/>
        <v>2023</v>
      </c>
      <c r="P228" s="11" t="s">
        <v>744</v>
      </c>
      <c r="Q228" s="11" t="s">
        <v>117</v>
      </c>
      <c r="R228" s="11">
        <v>18</v>
      </c>
      <c r="S228" s="11" t="str">
        <f t="shared" si="30"/>
        <v>17 + yrs</v>
      </c>
      <c r="T228" s="12">
        <v>88.7</v>
      </c>
      <c r="U228" s="11" t="str">
        <f t="shared" si="31"/>
        <v>(51 - 100)</v>
      </c>
      <c r="V228" s="12">
        <f t="shared" si="32"/>
        <v>26.335877862595421</v>
      </c>
      <c r="W228" s="12">
        <f t="shared" si="33"/>
        <v>23.859420289855073</v>
      </c>
      <c r="X228" s="12">
        <f t="shared" si="34"/>
        <v>0.12855072463768116</v>
      </c>
    </row>
    <row r="229" spans="1:24">
      <c r="A229" s="11">
        <v>228</v>
      </c>
      <c r="B229" s="11" t="s">
        <v>745</v>
      </c>
      <c r="C229" s="11" t="s">
        <v>39</v>
      </c>
      <c r="D229" s="11" t="s">
        <v>61</v>
      </c>
      <c r="E229" s="12">
        <v>10</v>
      </c>
      <c r="F229" s="11" t="s">
        <v>56</v>
      </c>
      <c r="G229" s="11" t="str">
        <f t="shared" si="35"/>
        <v>Litres</v>
      </c>
      <c r="H229" s="13">
        <v>605</v>
      </c>
      <c r="I229" s="11" t="s">
        <v>19</v>
      </c>
      <c r="J229" s="12">
        <v>6088</v>
      </c>
      <c r="K229" s="12" t="str">
        <f t="shared" si="27"/>
        <v>Very Low</v>
      </c>
      <c r="L229" s="11" t="s">
        <v>20</v>
      </c>
      <c r="M229" s="14">
        <v>45237</v>
      </c>
      <c r="N229" s="14" t="str">
        <f t="shared" si="28"/>
        <v>07/11/2023</v>
      </c>
      <c r="O229" s="14" t="str">
        <f t="shared" si="29"/>
        <v>2023</v>
      </c>
      <c r="P229" s="11" t="s">
        <v>747</v>
      </c>
      <c r="Q229" s="11" t="s">
        <v>86</v>
      </c>
      <c r="R229" s="11">
        <v>9</v>
      </c>
      <c r="S229" s="11" t="str">
        <f t="shared" si="30"/>
        <v>9 - 12 yrs</v>
      </c>
      <c r="T229" s="12">
        <v>0</v>
      </c>
      <c r="U229" s="11" t="str">
        <f t="shared" si="31"/>
        <v>(0 - 50)</v>
      </c>
      <c r="V229" s="12">
        <f t="shared" si="32"/>
        <v>60.5</v>
      </c>
      <c r="W229" s="12">
        <f t="shared" si="33"/>
        <v>10.062809917355372</v>
      </c>
      <c r="X229" s="12">
        <f t="shared" si="34"/>
        <v>0</v>
      </c>
    </row>
    <row r="230" spans="1:24">
      <c r="A230" s="11">
        <v>229</v>
      </c>
      <c r="B230" s="11" t="s">
        <v>748</v>
      </c>
      <c r="C230" s="11" t="s">
        <v>16</v>
      </c>
      <c r="D230" s="11" t="s">
        <v>33</v>
      </c>
      <c r="E230" s="12">
        <v>63.2</v>
      </c>
      <c r="F230" s="11" t="s">
        <v>62</v>
      </c>
      <c r="G230" s="11" t="str">
        <f t="shared" si="35"/>
        <v>kWh</v>
      </c>
      <c r="H230" s="13">
        <v>50</v>
      </c>
      <c r="I230" s="11" t="s">
        <v>19</v>
      </c>
      <c r="J230" s="12">
        <v>70339</v>
      </c>
      <c r="K230" s="12" t="str">
        <f t="shared" ref="K230:K293" si="36">IF(J230&lt;18000,"Very Low",IF(J230&lt;36000,"Low",IF(J230&lt;54000,"Medium",IF(J230&lt;72000,"Moderate",IF(J230&lt;90000,"High",IF(J230&lt;108000,"Very High","Extreme"))))))</f>
        <v>Moderate</v>
      </c>
      <c r="L230" s="11" t="s">
        <v>20</v>
      </c>
      <c r="M230" s="14">
        <v>45526</v>
      </c>
      <c r="N230" s="14" t="str">
        <f t="shared" ref="N230:N293" si="37">TEXT(M230,"dd/mm/yyyy")</f>
        <v>22/08/2024</v>
      </c>
      <c r="O230" s="14" t="str">
        <f t="shared" ref="O230:O293" si="38">TEXT(M230,"yyyy")</f>
        <v>2024</v>
      </c>
      <c r="P230" s="11" t="s">
        <v>530</v>
      </c>
      <c r="Q230" s="11" t="s">
        <v>86</v>
      </c>
      <c r="R230" s="11">
        <v>9</v>
      </c>
      <c r="S230" s="11" t="str">
        <f t="shared" ref="S230:S293" si="39">IF(R230&lt;=4,"0 - 4 yrs",IF(R230&lt;=8,"5 - 8 yrs",IF(R230&lt;=12,"9 - 12 yrs",IF(R230&lt;=16,"13 - 16 yrs","17 + yrs"))))</f>
        <v>9 - 12 yrs</v>
      </c>
      <c r="T230" s="12">
        <v>128.80000000000001</v>
      </c>
      <c r="U230" s="11" t="str">
        <f t="shared" ref="U230:U293" si="40">IF(T230&lt;=50,"(0 - 50)",IF(T230&lt;=100,"(51 - 100)",IF(T230&lt;=150,"(101 - 150)",IF(T230&lt;=200,"(151 - 200)",IF(T230&lt;=250,"(201 - 250)",IF(T230&lt;=300,"(251 - 300)","(301 - 350)"))))))</f>
        <v>(101 - 150)</v>
      </c>
      <c r="V230" s="12">
        <f t="shared" ref="V230:V293" si="41">H230/E230</f>
        <v>0.79113924050632911</v>
      </c>
      <c r="W230" s="12">
        <f t="shared" ref="W230:W293" si="42">J230/H230</f>
        <v>1406.78</v>
      </c>
      <c r="X230" s="12">
        <f t="shared" ref="X230:X293" si="43">T230/H230</f>
        <v>2.5760000000000001</v>
      </c>
    </row>
    <row r="231" spans="1:24">
      <c r="A231" s="11">
        <v>230</v>
      </c>
      <c r="B231" s="11" t="s">
        <v>2466</v>
      </c>
      <c r="C231" s="11" t="s">
        <v>16</v>
      </c>
      <c r="D231" s="11" t="s">
        <v>17</v>
      </c>
      <c r="E231" s="12">
        <v>78.099999999999994</v>
      </c>
      <c r="F231" s="11" t="s">
        <v>26</v>
      </c>
      <c r="G231" s="11" t="str">
        <f t="shared" si="35"/>
        <v>Litres</v>
      </c>
      <c r="H231" s="13">
        <v>293</v>
      </c>
      <c r="I231" s="11" t="s">
        <v>19</v>
      </c>
      <c r="J231" s="12">
        <v>35978</v>
      </c>
      <c r="K231" s="12" t="str">
        <f t="shared" si="36"/>
        <v>Low</v>
      </c>
      <c r="L231" s="11" t="s">
        <v>20</v>
      </c>
      <c r="M231" s="14">
        <v>45554</v>
      </c>
      <c r="N231" s="14" t="str">
        <f t="shared" si="37"/>
        <v>19/09/2024</v>
      </c>
      <c r="O231" s="14" t="str">
        <f t="shared" si="38"/>
        <v>2024</v>
      </c>
      <c r="P231" s="11" t="s">
        <v>752</v>
      </c>
      <c r="Q231" s="11" t="s">
        <v>59</v>
      </c>
      <c r="R231" s="11">
        <v>19</v>
      </c>
      <c r="S231" s="11" t="str">
        <f t="shared" si="39"/>
        <v>17 + yrs</v>
      </c>
      <c r="T231" s="12">
        <v>181.8</v>
      </c>
      <c r="U231" s="11" t="str">
        <f t="shared" si="40"/>
        <v>(151 - 200)</v>
      </c>
      <c r="V231" s="12">
        <f t="shared" si="41"/>
        <v>3.7516005121638929</v>
      </c>
      <c r="W231" s="12">
        <f t="shared" si="42"/>
        <v>122.79180887372014</v>
      </c>
      <c r="X231" s="12">
        <f t="shared" si="43"/>
        <v>0.62047781569965876</v>
      </c>
    </row>
    <row r="232" spans="1:24">
      <c r="A232" s="11">
        <v>231</v>
      </c>
      <c r="B232" s="11" t="s">
        <v>299</v>
      </c>
      <c r="C232" s="11" t="s">
        <v>39</v>
      </c>
      <c r="D232" s="11" t="s">
        <v>17</v>
      </c>
      <c r="E232" s="12">
        <v>31.7</v>
      </c>
      <c r="F232" s="11" t="s">
        <v>2643</v>
      </c>
      <c r="G232" s="11" t="str">
        <f t="shared" si="35"/>
        <v>Litres</v>
      </c>
      <c r="H232" s="13">
        <v>408</v>
      </c>
      <c r="I232" s="11" t="s">
        <v>19</v>
      </c>
      <c r="J232" s="12">
        <v>97991</v>
      </c>
      <c r="K232" s="12" t="str">
        <f t="shared" si="36"/>
        <v>Very High</v>
      </c>
      <c r="L232" s="11" t="s">
        <v>20</v>
      </c>
      <c r="M232" s="14">
        <v>44969</v>
      </c>
      <c r="N232" s="14" t="str">
        <f t="shared" si="37"/>
        <v>12/02/2023</v>
      </c>
      <c r="O232" s="14" t="str">
        <f t="shared" si="38"/>
        <v>2023</v>
      </c>
      <c r="P232" s="11" t="s">
        <v>754</v>
      </c>
      <c r="Q232" s="11" t="s">
        <v>54</v>
      </c>
      <c r="R232" s="11">
        <v>17</v>
      </c>
      <c r="S232" s="11" t="str">
        <f t="shared" si="39"/>
        <v>17 + yrs</v>
      </c>
      <c r="T232" s="12">
        <v>98.7</v>
      </c>
      <c r="U232" s="11" t="str">
        <f t="shared" si="40"/>
        <v>(51 - 100)</v>
      </c>
      <c r="V232" s="12">
        <f t="shared" si="41"/>
        <v>12.870662460567823</v>
      </c>
      <c r="W232" s="12">
        <f t="shared" si="42"/>
        <v>240.17401960784315</v>
      </c>
      <c r="X232" s="12">
        <f t="shared" si="43"/>
        <v>0.24191176470588235</v>
      </c>
    </row>
    <row r="233" spans="1:24">
      <c r="A233" s="11">
        <v>232</v>
      </c>
      <c r="B233" s="11" t="s">
        <v>755</v>
      </c>
      <c r="C233" s="11" t="s">
        <v>50</v>
      </c>
      <c r="D233" s="11" t="s">
        <v>17</v>
      </c>
      <c r="E233" s="12">
        <v>83.7</v>
      </c>
      <c r="F233" s="11" t="s">
        <v>62</v>
      </c>
      <c r="G233" s="11" t="str">
        <f t="shared" si="35"/>
        <v>kWh</v>
      </c>
      <c r="H233" s="13">
        <v>411</v>
      </c>
      <c r="I233" s="11" t="s">
        <v>19</v>
      </c>
      <c r="J233" s="12">
        <v>62556</v>
      </c>
      <c r="K233" s="12" t="str">
        <f t="shared" si="36"/>
        <v>Moderate</v>
      </c>
      <c r="L233" s="11" t="s">
        <v>20</v>
      </c>
      <c r="M233" s="14">
        <v>45583</v>
      </c>
      <c r="N233" s="14" t="str">
        <f t="shared" si="37"/>
        <v>18/10/2024</v>
      </c>
      <c r="O233" s="14" t="str">
        <f t="shared" si="38"/>
        <v>2024</v>
      </c>
      <c r="P233" s="11" t="s">
        <v>757</v>
      </c>
      <c r="Q233" s="11" t="s">
        <v>59</v>
      </c>
      <c r="R233" s="11">
        <v>19</v>
      </c>
      <c r="S233" s="11" t="str">
        <f t="shared" si="39"/>
        <v>17 + yrs</v>
      </c>
      <c r="T233" s="12">
        <v>244.7</v>
      </c>
      <c r="U233" s="11" t="str">
        <f t="shared" si="40"/>
        <v>(201 - 250)</v>
      </c>
      <c r="V233" s="12">
        <f t="shared" si="41"/>
        <v>4.9103942652329744</v>
      </c>
      <c r="W233" s="12">
        <f t="shared" si="42"/>
        <v>152.20437956204378</v>
      </c>
      <c r="X233" s="12">
        <f t="shared" si="43"/>
        <v>0.59537712895377126</v>
      </c>
    </row>
    <row r="234" spans="1:24">
      <c r="A234" s="11">
        <v>233</v>
      </c>
      <c r="B234" s="11" t="s">
        <v>758</v>
      </c>
      <c r="C234" s="11" t="s">
        <v>39</v>
      </c>
      <c r="D234" s="11" t="s">
        <v>17</v>
      </c>
      <c r="E234" s="12">
        <v>44.6</v>
      </c>
      <c r="F234" s="11" t="s">
        <v>2643</v>
      </c>
      <c r="G234" s="11" t="str">
        <f t="shared" si="35"/>
        <v>Litres</v>
      </c>
      <c r="H234" s="13">
        <v>135</v>
      </c>
      <c r="I234" s="11" t="s">
        <v>19</v>
      </c>
      <c r="J234" s="12">
        <v>50585</v>
      </c>
      <c r="K234" s="12" t="str">
        <f t="shared" si="36"/>
        <v>Medium</v>
      </c>
      <c r="L234" s="11" t="s">
        <v>20</v>
      </c>
      <c r="M234" s="14">
        <v>45215</v>
      </c>
      <c r="N234" s="14" t="str">
        <f t="shared" si="37"/>
        <v>16/10/2023</v>
      </c>
      <c r="O234" s="14" t="str">
        <f t="shared" si="38"/>
        <v>2023</v>
      </c>
      <c r="P234" s="11" t="s">
        <v>390</v>
      </c>
      <c r="Q234" s="11" t="s">
        <v>69</v>
      </c>
      <c r="R234" s="11">
        <v>18</v>
      </c>
      <c r="S234" s="11" t="str">
        <f t="shared" si="39"/>
        <v>17 + yrs</v>
      </c>
      <c r="T234" s="12">
        <v>135</v>
      </c>
      <c r="U234" s="11" t="str">
        <f t="shared" si="40"/>
        <v>(101 - 150)</v>
      </c>
      <c r="V234" s="12">
        <f t="shared" si="41"/>
        <v>3.0269058295964126</v>
      </c>
      <c r="W234" s="12">
        <f t="shared" si="42"/>
        <v>374.7037037037037</v>
      </c>
      <c r="X234" s="12">
        <f t="shared" si="43"/>
        <v>1</v>
      </c>
    </row>
    <row r="235" spans="1:24">
      <c r="A235" s="11">
        <v>234</v>
      </c>
      <c r="B235" s="11" t="s">
        <v>760</v>
      </c>
      <c r="C235" s="11" t="s">
        <v>50</v>
      </c>
      <c r="D235" s="11" t="s">
        <v>33</v>
      </c>
      <c r="E235" s="12">
        <v>96.6</v>
      </c>
      <c r="F235" s="11" t="s">
        <v>56</v>
      </c>
      <c r="G235" s="11" t="str">
        <f t="shared" si="35"/>
        <v>Litres</v>
      </c>
      <c r="H235" s="13">
        <v>548</v>
      </c>
      <c r="I235" s="11" t="s">
        <v>19</v>
      </c>
      <c r="J235" s="12">
        <v>55515</v>
      </c>
      <c r="K235" s="12" t="str">
        <f t="shared" si="36"/>
        <v>Moderate</v>
      </c>
      <c r="L235" s="11" t="s">
        <v>20</v>
      </c>
      <c r="M235" s="14">
        <v>45555</v>
      </c>
      <c r="N235" s="14" t="str">
        <f t="shared" si="37"/>
        <v>20/09/2024</v>
      </c>
      <c r="O235" s="14" t="str">
        <f t="shared" si="38"/>
        <v>2024</v>
      </c>
      <c r="P235" s="11" t="s">
        <v>103</v>
      </c>
      <c r="Q235" s="11" t="s">
        <v>112</v>
      </c>
      <c r="R235" s="11">
        <v>10</v>
      </c>
      <c r="S235" s="11" t="str">
        <f t="shared" si="39"/>
        <v>9 - 12 yrs</v>
      </c>
      <c r="T235" s="12">
        <v>294.60000000000002</v>
      </c>
      <c r="U235" s="11" t="str">
        <f t="shared" si="40"/>
        <v>(251 - 300)</v>
      </c>
      <c r="V235" s="12">
        <f t="shared" si="41"/>
        <v>5.6728778467908905</v>
      </c>
      <c r="W235" s="12">
        <f t="shared" si="42"/>
        <v>101.30474452554745</v>
      </c>
      <c r="X235" s="12">
        <f t="shared" si="43"/>
        <v>0.53759124087591248</v>
      </c>
    </row>
    <row r="236" spans="1:24">
      <c r="A236" s="11">
        <v>235</v>
      </c>
      <c r="B236" s="11" t="s">
        <v>762</v>
      </c>
      <c r="C236" s="11" t="s">
        <v>50</v>
      </c>
      <c r="D236" s="11" t="s">
        <v>33</v>
      </c>
      <c r="E236" s="12">
        <v>6</v>
      </c>
      <c r="F236" s="11" t="s">
        <v>62</v>
      </c>
      <c r="G236" s="11" t="str">
        <f t="shared" si="35"/>
        <v>kWh</v>
      </c>
      <c r="H236" s="13">
        <v>539</v>
      </c>
      <c r="I236" s="11" t="s">
        <v>19</v>
      </c>
      <c r="J236" s="12">
        <v>98591</v>
      </c>
      <c r="K236" s="12" t="str">
        <f t="shared" si="36"/>
        <v>Very High</v>
      </c>
      <c r="L236" s="11" t="s">
        <v>20</v>
      </c>
      <c r="M236" s="14">
        <v>45329</v>
      </c>
      <c r="N236" s="14" t="str">
        <f t="shared" si="37"/>
        <v>07/02/2024</v>
      </c>
      <c r="O236" s="14" t="str">
        <f t="shared" si="38"/>
        <v>2024</v>
      </c>
      <c r="P236" s="11" t="s">
        <v>764</v>
      </c>
      <c r="Q236" s="11" t="s">
        <v>112</v>
      </c>
      <c r="R236" s="11">
        <v>6</v>
      </c>
      <c r="S236" s="11" t="str">
        <f t="shared" si="39"/>
        <v>5 - 8 yrs</v>
      </c>
      <c r="T236" s="12">
        <v>20.6</v>
      </c>
      <c r="U236" s="11" t="str">
        <f t="shared" si="40"/>
        <v>(0 - 50)</v>
      </c>
      <c r="V236" s="12">
        <f t="shared" si="41"/>
        <v>89.833333333333329</v>
      </c>
      <c r="W236" s="12">
        <f t="shared" si="42"/>
        <v>182.91465677179963</v>
      </c>
      <c r="X236" s="12">
        <f t="shared" si="43"/>
        <v>3.821892393320965E-2</v>
      </c>
    </row>
    <row r="237" spans="1:24">
      <c r="A237" s="11">
        <v>236</v>
      </c>
      <c r="B237" s="11" t="s">
        <v>765</v>
      </c>
      <c r="C237" s="11" t="s">
        <v>16</v>
      </c>
      <c r="D237" s="11" t="s">
        <v>33</v>
      </c>
      <c r="E237" s="12">
        <v>53.2</v>
      </c>
      <c r="F237" s="11" t="s">
        <v>26</v>
      </c>
      <c r="G237" s="11" t="str">
        <f t="shared" si="35"/>
        <v>Litres</v>
      </c>
      <c r="H237" s="13">
        <v>461</v>
      </c>
      <c r="I237" s="11" t="s">
        <v>19</v>
      </c>
      <c r="J237" s="12">
        <v>56583</v>
      </c>
      <c r="K237" s="12" t="str">
        <f t="shared" si="36"/>
        <v>Moderate</v>
      </c>
      <c r="L237" s="11" t="s">
        <v>20</v>
      </c>
      <c r="M237" s="14">
        <v>45762</v>
      </c>
      <c r="N237" s="14" t="str">
        <f t="shared" si="37"/>
        <v>15/04/2025</v>
      </c>
      <c r="O237" s="14" t="str">
        <f t="shared" si="38"/>
        <v>2025</v>
      </c>
      <c r="P237" s="11" t="s">
        <v>767</v>
      </c>
      <c r="Q237" s="11" t="s">
        <v>112</v>
      </c>
      <c r="R237" s="11">
        <v>4</v>
      </c>
      <c r="S237" s="11" t="str">
        <f t="shared" si="39"/>
        <v>0 - 4 yrs</v>
      </c>
      <c r="T237" s="12">
        <v>156.80000000000001</v>
      </c>
      <c r="U237" s="11" t="str">
        <f t="shared" si="40"/>
        <v>(151 - 200)</v>
      </c>
      <c r="V237" s="12">
        <f t="shared" si="41"/>
        <v>8.6654135338345863</v>
      </c>
      <c r="W237" s="12">
        <f t="shared" si="42"/>
        <v>122.73969631236443</v>
      </c>
      <c r="X237" s="12">
        <f t="shared" si="43"/>
        <v>0.34013015184381779</v>
      </c>
    </row>
    <row r="238" spans="1:24">
      <c r="A238" s="11">
        <v>237</v>
      </c>
      <c r="B238" s="11" t="s">
        <v>768</v>
      </c>
      <c r="C238" s="11" t="s">
        <v>39</v>
      </c>
      <c r="D238" s="11" t="s">
        <v>33</v>
      </c>
      <c r="E238" s="12">
        <v>3.8</v>
      </c>
      <c r="F238" s="11" t="s">
        <v>26</v>
      </c>
      <c r="G238" s="11" t="str">
        <f t="shared" si="35"/>
        <v>Litres</v>
      </c>
      <c r="H238" s="13">
        <v>560</v>
      </c>
      <c r="I238" s="11" t="s">
        <v>19</v>
      </c>
      <c r="J238" s="12">
        <v>61691</v>
      </c>
      <c r="K238" s="12" t="str">
        <f t="shared" si="36"/>
        <v>Moderate</v>
      </c>
      <c r="L238" s="11" t="s">
        <v>20</v>
      </c>
      <c r="M238" s="14">
        <v>45426</v>
      </c>
      <c r="N238" s="14" t="str">
        <f t="shared" si="37"/>
        <v>14/05/2024</v>
      </c>
      <c r="O238" s="14" t="str">
        <f t="shared" si="38"/>
        <v>2024</v>
      </c>
      <c r="P238" s="11" t="s">
        <v>770</v>
      </c>
      <c r="Q238" s="11" t="s">
        <v>2648</v>
      </c>
      <c r="R238" s="11">
        <v>20</v>
      </c>
      <c r="S238" s="11" t="str">
        <f t="shared" si="39"/>
        <v>17 + yrs</v>
      </c>
      <c r="T238" s="12">
        <v>10.199999999999999</v>
      </c>
      <c r="U238" s="11" t="str">
        <f t="shared" si="40"/>
        <v>(0 - 50)</v>
      </c>
      <c r="V238" s="12">
        <f t="shared" si="41"/>
        <v>147.36842105263159</v>
      </c>
      <c r="W238" s="12">
        <f t="shared" si="42"/>
        <v>110.16249999999999</v>
      </c>
      <c r="X238" s="12">
        <f t="shared" si="43"/>
        <v>1.8214285714285714E-2</v>
      </c>
    </row>
    <row r="239" spans="1:24">
      <c r="A239" s="11">
        <v>238</v>
      </c>
      <c r="B239" s="11" t="s">
        <v>2467</v>
      </c>
      <c r="C239" s="11" t="s">
        <v>32</v>
      </c>
      <c r="D239" s="11" t="s">
        <v>114</v>
      </c>
      <c r="E239" s="12">
        <v>45.9</v>
      </c>
      <c r="F239" s="11" t="s">
        <v>2643</v>
      </c>
      <c r="G239" s="11" t="str">
        <f t="shared" si="35"/>
        <v>Litres</v>
      </c>
      <c r="H239" s="13">
        <v>690</v>
      </c>
      <c r="I239" s="11" t="s">
        <v>19</v>
      </c>
      <c r="J239" s="12">
        <v>100072</v>
      </c>
      <c r="K239" s="12" t="str">
        <f t="shared" si="36"/>
        <v>Very High</v>
      </c>
      <c r="L239" s="11" t="s">
        <v>20</v>
      </c>
      <c r="M239" s="14">
        <v>45043</v>
      </c>
      <c r="N239" s="14" t="str">
        <f t="shared" si="37"/>
        <v>27/04/2023</v>
      </c>
      <c r="O239" s="14" t="str">
        <f t="shared" si="38"/>
        <v>2023</v>
      </c>
      <c r="P239" s="11" t="s">
        <v>773</v>
      </c>
      <c r="Q239" s="11" t="s">
        <v>441</v>
      </c>
      <c r="R239" s="11">
        <v>4</v>
      </c>
      <c r="S239" s="11" t="str">
        <f t="shared" si="39"/>
        <v>0 - 4 yrs</v>
      </c>
      <c r="T239" s="12">
        <v>103.9</v>
      </c>
      <c r="U239" s="11" t="str">
        <f t="shared" si="40"/>
        <v>(101 - 150)</v>
      </c>
      <c r="V239" s="12">
        <f t="shared" si="41"/>
        <v>15.032679738562091</v>
      </c>
      <c r="W239" s="12">
        <f t="shared" si="42"/>
        <v>145.03188405797101</v>
      </c>
      <c r="X239" s="12">
        <f t="shared" si="43"/>
        <v>0.15057971014492755</v>
      </c>
    </row>
    <row r="240" spans="1:24">
      <c r="A240" s="11">
        <v>239</v>
      </c>
      <c r="B240" s="11" t="s">
        <v>774</v>
      </c>
      <c r="C240" s="11" t="s">
        <v>50</v>
      </c>
      <c r="D240" s="11" t="s">
        <v>61</v>
      </c>
      <c r="E240" s="12">
        <v>10</v>
      </c>
      <c r="F240" s="11" t="s">
        <v>62</v>
      </c>
      <c r="G240" s="11" t="str">
        <f t="shared" si="35"/>
        <v>kWh</v>
      </c>
      <c r="H240" s="13">
        <v>56</v>
      </c>
      <c r="I240" s="11" t="s">
        <v>19</v>
      </c>
      <c r="J240" s="12">
        <v>52066</v>
      </c>
      <c r="K240" s="12" t="str">
        <f t="shared" si="36"/>
        <v>Medium</v>
      </c>
      <c r="L240" s="11" t="s">
        <v>20</v>
      </c>
      <c r="M240" s="14">
        <v>45608</v>
      </c>
      <c r="N240" s="14" t="str">
        <f t="shared" si="37"/>
        <v>12/11/2024</v>
      </c>
      <c r="O240" s="14" t="str">
        <f t="shared" si="38"/>
        <v>2024</v>
      </c>
      <c r="P240" s="11" t="s">
        <v>775</v>
      </c>
      <c r="Q240" s="11" t="s">
        <v>2648</v>
      </c>
      <c r="R240" s="11">
        <v>8</v>
      </c>
      <c r="S240" s="11" t="str">
        <f t="shared" si="39"/>
        <v>5 - 8 yrs</v>
      </c>
      <c r="T240" s="12">
        <v>0</v>
      </c>
      <c r="U240" s="11" t="str">
        <f t="shared" si="40"/>
        <v>(0 - 50)</v>
      </c>
      <c r="V240" s="12">
        <f t="shared" si="41"/>
        <v>5.6</v>
      </c>
      <c r="W240" s="12">
        <f t="shared" si="42"/>
        <v>929.75</v>
      </c>
      <c r="X240" s="12">
        <f t="shared" si="43"/>
        <v>0</v>
      </c>
    </row>
    <row r="241" spans="1:24">
      <c r="A241" s="11">
        <v>240</v>
      </c>
      <c r="B241" s="11" t="s">
        <v>776</v>
      </c>
      <c r="C241" s="11" t="s">
        <v>50</v>
      </c>
      <c r="D241" s="11" t="s">
        <v>17</v>
      </c>
      <c r="E241" s="12">
        <v>5.8</v>
      </c>
      <c r="F241" s="11" t="s">
        <v>56</v>
      </c>
      <c r="G241" s="11" t="str">
        <f t="shared" si="35"/>
        <v>Litres</v>
      </c>
      <c r="H241" s="13">
        <v>482</v>
      </c>
      <c r="I241" s="11" t="s">
        <v>19</v>
      </c>
      <c r="J241" s="12">
        <v>63585</v>
      </c>
      <c r="K241" s="12" t="str">
        <f t="shared" si="36"/>
        <v>Moderate</v>
      </c>
      <c r="L241" s="11" t="s">
        <v>20</v>
      </c>
      <c r="M241" s="14">
        <v>45572</v>
      </c>
      <c r="N241" s="14" t="str">
        <f t="shared" si="37"/>
        <v>07/10/2024</v>
      </c>
      <c r="O241" s="14" t="str">
        <f t="shared" si="38"/>
        <v>2024</v>
      </c>
      <c r="P241" s="11" t="s">
        <v>428</v>
      </c>
      <c r="Q241" s="11" t="s">
        <v>59</v>
      </c>
      <c r="R241" s="11">
        <v>9</v>
      </c>
      <c r="S241" s="11" t="str">
        <f t="shared" si="39"/>
        <v>9 - 12 yrs</v>
      </c>
      <c r="T241" s="12">
        <v>20</v>
      </c>
      <c r="U241" s="11" t="str">
        <f t="shared" si="40"/>
        <v>(0 - 50)</v>
      </c>
      <c r="V241" s="12">
        <f t="shared" si="41"/>
        <v>83.103448275862078</v>
      </c>
      <c r="W241" s="12">
        <f t="shared" si="42"/>
        <v>131.91908713692945</v>
      </c>
      <c r="X241" s="12">
        <f t="shared" si="43"/>
        <v>4.1493775933609957E-2</v>
      </c>
    </row>
    <row r="242" spans="1:24">
      <c r="A242" s="11">
        <v>241</v>
      </c>
      <c r="B242" s="11" t="s">
        <v>2468</v>
      </c>
      <c r="C242" s="11" t="s">
        <v>16</v>
      </c>
      <c r="D242" s="11" t="s">
        <v>17</v>
      </c>
      <c r="E242" s="12">
        <v>30.6</v>
      </c>
      <c r="F242" s="11" t="s">
        <v>2643</v>
      </c>
      <c r="G242" s="11" t="str">
        <f t="shared" si="35"/>
        <v>Litres</v>
      </c>
      <c r="H242" s="13">
        <v>406</v>
      </c>
      <c r="I242" s="11" t="s">
        <v>19</v>
      </c>
      <c r="J242" s="12">
        <v>15878</v>
      </c>
      <c r="K242" s="12" t="str">
        <f t="shared" si="36"/>
        <v>Very Low</v>
      </c>
      <c r="L242" s="11" t="s">
        <v>20</v>
      </c>
      <c r="M242" s="14">
        <v>45619</v>
      </c>
      <c r="N242" s="14" t="str">
        <f t="shared" si="37"/>
        <v>23/11/2024</v>
      </c>
      <c r="O242" s="14" t="str">
        <f t="shared" si="38"/>
        <v>2024</v>
      </c>
      <c r="P242" s="11" t="s">
        <v>780</v>
      </c>
      <c r="Q242" s="11" t="s">
        <v>117</v>
      </c>
      <c r="R242" s="11">
        <v>8</v>
      </c>
      <c r="S242" s="11" t="str">
        <f t="shared" si="39"/>
        <v>5 - 8 yrs</v>
      </c>
      <c r="T242" s="12">
        <v>86.6</v>
      </c>
      <c r="U242" s="11" t="str">
        <f t="shared" si="40"/>
        <v>(51 - 100)</v>
      </c>
      <c r="V242" s="12">
        <f t="shared" si="41"/>
        <v>13.267973856209149</v>
      </c>
      <c r="W242" s="12">
        <f t="shared" si="42"/>
        <v>39.108374384236456</v>
      </c>
      <c r="X242" s="12">
        <f t="shared" si="43"/>
        <v>0.21330049261083742</v>
      </c>
    </row>
    <row r="243" spans="1:24">
      <c r="A243" s="11">
        <v>242</v>
      </c>
      <c r="B243" s="11" t="s">
        <v>781</v>
      </c>
      <c r="C243" s="11" t="s">
        <v>39</v>
      </c>
      <c r="D243" s="11" t="s">
        <v>17</v>
      </c>
      <c r="E243" s="12">
        <v>40.1</v>
      </c>
      <c r="F243" s="11" t="s">
        <v>62</v>
      </c>
      <c r="G243" s="11" t="str">
        <f t="shared" si="35"/>
        <v>kWh</v>
      </c>
      <c r="H243" s="13">
        <v>43</v>
      </c>
      <c r="I243" s="11" t="s">
        <v>19</v>
      </c>
      <c r="J243" s="12">
        <v>60301</v>
      </c>
      <c r="K243" s="12" t="str">
        <f t="shared" si="36"/>
        <v>Moderate</v>
      </c>
      <c r="L243" s="11" t="s">
        <v>20</v>
      </c>
      <c r="M243" s="14">
        <v>45177</v>
      </c>
      <c r="N243" s="14" t="str">
        <f t="shared" si="37"/>
        <v>08/09/2023</v>
      </c>
      <c r="O243" s="14" t="str">
        <f t="shared" si="38"/>
        <v>2023</v>
      </c>
      <c r="P243" s="11" t="s">
        <v>783</v>
      </c>
      <c r="Q243" s="11" t="s">
        <v>54</v>
      </c>
      <c r="R243" s="11">
        <v>18</v>
      </c>
      <c r="S243" s="11" t="str">
        <f t="shared" si="39"/>
        <v>17 + yrs</v>
      </c>
      <c r="T243" s="12">
        <v>113.4</v>
      </c>
      <c r="U243" s="11" t="str">
        <f t="shared" si="40"/>
        <v>(101 - 150)</v>
      </c>
      <c r="V243" s="12">
        <f t="shared" si="41"/>
        <v>1.0723192019950125</v>
      </c>
      <c r="W243" s="12">
        <f t="shared" si="42"/>
        <v>1402.3488372093022</v>
      </c>
      <c r="X243" s="12">
        <f t="shared" si="43"/>
        <v>2.6372093023255814</v>
      </c>
    </row>
    <row r="244" spans="1:24">
      <c r="A244" s="11">
        <v>243</v>
      </c>
      <c r="B244" s="11" t="s">
        <v>784</v>
      </c>
      <c r="C244" s="11" t="s">
        <v>32</v>
      </c>
      <c r="D244" s="11" t="s">
        <v>17</v>
      </c>
      <c r="E244" s="12">
        <v>79.8</v>
      </c>
      <c r="F244" s="11" t="s">
        <v>56</v>
      </c>
      <c r="G244" s="11" t="str">
        <f t="shared" si="35"/>
        <v>Litres</v>
      </c>
      <c r="H244" s="13">
        <v>86</v>
      </c>
      <c r="I244" s="11" t="s">
        <v>19</v>
      </c>
      <c r="J244" s="12">
        <v>98283</v>
      </c>
      <c r="K244" s="12" t="str">
        <f t="shared" si="36"/>
        <v>Very High</v>
      </c>
      <c r="L244" s="11" t="s">
        <v>20</v>
      </c>
      <c r="M244" s="14">
        <v>45470</v>
      </c>
      <c r="N244" s="14" t="str">
        <f t="shared" si="37"/>
        <v>27/06/2024</v>
      </c>
      <c r="O244" s="14" t="str">
        <f t="shared" si="38"/>
        <v>2024</v>
      </c>
      <c r="P244" s="11" t="s">
        <v>786</v>
      </c>
      <c r="Q244" s="11" t="s">
        <v>112</v>
      </c>
      <c r="R244" s="11">
        <v>20</v>
      </c>
      <c r="S244" s="11" t="str">
        <f t="shared" si="39"/>
        <v>17 + yrs</v>
      </c>
      <c r="T244" s="12">
        <v>209.1</v>
      </c>
      <c r="U244" s="11" t="str">
        <f t="shared" si="40"/>
        <v>(201 - 250)</v>
      </c>
      <c r="V244" s="12">
        <f t="shared" si="41"/>
        <v>1.0776942355889725</v>
      </c>
      <c r="W244" s="12">
        <f t="shared" si="42"/>
        <v>1142.8255813953488</v>
      </c>
      <c r="X244" s="12">
        <f t="shared" si="43"/>
        <v>2.4313953488372091</v>
      </c>
    </row>
    <row r="245" spans="1:24">
      <c r="A245" s="11">
        <v>244</v>
      </c>
      <c r="B245" s="11" t="s">
        <v>731</v>
      </c>
      <c r="C245" s="11" t="s">
        <v>50</v>
      </c>
      <c r="D245" s="11" t="s">
        <v>114</v>
      </c>
      <c r="E245" s="12">
        <v>16</v>
      </c>
      <c r="F245" s="11" t="s">
        <v>26</v>
      </c>
      <c r="G245" s="11" t="str">
        <f t="shared" si="35"/>
        <v>Litres</v>
      </c>
      <c r="H245" s="13">
        <v>545</v>
      </c>
      <c r="I245" s="11" t="s">
        <v>19</v>
      </c>
      <c r="J245" s="12">
        <v>74402</v>
      </c>
      <c r="K245" s="12" t="str">
        <f t="shared" si="36"/>
        <v>High</v>
      </c>
      <c r="L245" s="11" t="s">
        <v>20</v>
      </c>
      <c r="M245" s="14">
        <v>45586</v>
      </c>
      <c r="N245" s="14" t="str">
        <f t="shared" si="37"/>
        <v>21/10/2024</v>
      </c>
      <c r="O245" s="14" t="str">
        <f t="shared" si="38"/>
        <v>2024</v>
      </c>
      <c r="P245" s="11" t="s">
        <v>788</v>
      </c>
      <c r="Q245" s="11" t="s">
        <v>54</v>
      </c>
      <c r="R245" s="11">
        <v>13</v>
      </c>
      <c r="S245" s="11" t="str">
        <f t="shared" si="39"/>
        <v>13 - 16 yrs</v>
      </c>
      <c r="T245" s="12">
        <v>44.2</v>
      </c>
      <c r="U245" s="11" t="str">
        <f t="shared" si="40"/>
        <v>(0 - 50)</v>
      </c>
      <c r="V245" s="12">
        <f t="shared" si="41"/>
        <v>34.0625</v>
      </c>
      <c r="W245" s="12">
        <f t="shared" si="42"/>
        <v>136.51743119266055</v>
      </c>
      <c r="X245" s="12">
        <f t="shared" si="43"/>
        <v>8.110091743119266E-2</v>
      </c>
    </row>
    <row r="246" spans="1:24">
      <c r="A246" s="11">
        <v>245</v>
      </c>
      <c r="B246" s="11" t="s">
        <v>789</v>
      </c>
      <c r="C246" s="11" t="s">
        <v>39</v>
      </c>
      <c r="D246" s="11" t="s">
        <v>17</v>
      </c>
      <c r="E246" s="12">
        <v>5.4</v>
      </c>
      <c r="F246" s="11" t="s">
        <v>26</v>
      </c>
      <c r="G246" s="11" t="str">
        <f t="shared" si="35"/>
        <v>Litres</v>
      </c>
      <c r="H246" s="13">
        <v>497</v>
      </c>
      <c r="I246" s="11" t="s">
        <v>19</v>
      </c>
      <c r="J246" s="12">
        <v>118026</v>
      </c>
      <c r="K246" s="12" t="str">
        <f t="shared" si="36"/>
        <v>Extreme</v>
      </c>
      <c r="L246" s="11" t="s">
        <v>20</v>
      </c>
      <c r="M246" s="14">
        <v>45282</v>
      </c>
      <c r="N246" s="14" t="str">
        <f t="shared" si="37"/>
        <v>22/12/2023</v>
      </c>
      <c r="O246" s="14" t="str">
        <f t="shared" si="38"/>
        <v>2023</v>
      </c>
      <c r="P246" s="11" t="s">
        <v>791</v>
      </c>
      <c r="Q246" s="11" t="s">
        <v>59</v>
      </c>
      <c r="R246" s="11">
        <v>6</v>
      </c>
      <c r="S246" s="11" t="str">
        <f t="shared" si="39"/>
        <v>5 - 8 yrs</v>
      </c>
      <c r="T246" s="12">
        <v>16.899999999999999</v>
      </c>
      <c r="U246" s="11" t="str">
        <f t="shared" si="40"/>
        <v>(0 - 50)</v>
      </c>
      <c r="V246" s="12">
        <f t="shared" si="41"/>
        <v>92.037037037037038</v>
      </c>
      <c r="W246" s="12">
        <f t="shared" si="42"/>
        <v>237.476861167002</v>
      </c>
      <c r="X246" s="12">
        <f t="shared" si="43"/>
        <v>3.4004024144869215E-2</v>
      </c>
    </row>
    <row r="247" spans="1:24">
      <c r="A247" s="11">
        <v>246</v>
      </c>
      <c r="B247" s="11" t="s">
        <v>792</v>
      </c>
      <c r="C247" s="11" t="s">
        <v>16</v>
      </c>
      <c r="D247" s="11" t="s">
        <v>17</v>
      </c>
      <c r="E247" s="12">
        <v>14.1</v>
      </c>
      <c r="F247" s="11" t="s">
        <v>56</v>
      </c>
      <c r="G247" s="11" t="str">
        <f t="shared" si="35"/>
        <v>Litres</v>
      </c>
      <c r="H247" s="13">
        <v>185</v>
      </c>
      <c r="I247" s="11" t="s">
        <v>19</v>
      </c>
      <c r="J247" s="12">
        <v>28103</v>
      </c>
      <c r="K247" s="12" t="str">
        <f t="shared" si="36"/>
        <v>Low</v>
      </c>
      <c r="L247" s="11" t="s">
        <v>20</v>
      </c>
      <c r="M247" s="14">
        <v>45359</v>
      </c>
      <c r="N247" s="14" t="str">
        <f t="shared" si="37"/>
        <v>08/03/2024</v>
      </c>
      <c r="O247" s="14" t="str">
        <f t="shared" si="38"/>
        <v>2024</v>
      </c>
      <c r="P247" s="11" t="s">
        <v>793</v>
      </c>
      <c r="Q247" s="11" t="s">
        <v>59</v>
      </c>
      <c r="R247" s="11">
        <v>15</v>
      </c>
      <c r="S247" s="11" t="str">
        <f t="shared" si="39"/>
        <v>13 - 16 yrs</v>
      </c>
      <c r="T247" s="12">
        <v>48.7</v>
      </c>
      <c r="U247" s="11" t="str">
        <f t="shared" si="40"/>
        <v>(0 - 50)</v>
      </c>
      <c r="V247" s="12">
        <f t="shared" si="41"/>
        <v>13.120567375886525</v>
      </c>
      <c r="W247" s="12">
        <f t="shared" si="42"/>
        <v>151.90810810810811</v>
      </c>
      <c r="X247" s="12">
        <f t="shared" si="43"/>
        <v>0.26324324324324327</v>
      </c>
    </row>
    <row r="248" spans="1:24">
      <c r="A248" s="11">
        <v>247</v>
      </c>
      <c r="B248" s="11" t="s">
        <v>2469</v>
      </c>
      <c r="C248" s="11" t="s">
        <v>39</v>
      </c>
      <c r="D248" s="11" t="s">
        <v>33</v>
      </c>
      <c r="E248" s="12">
        <v>66.900000000000006</v>
      </c>
      <c r="F248" s="11" t="s">
        <v>2643</v>
      </c>
      <c r="G248" s="11" t="str">
        <f t="shared" si="35"/>
        <v>Litres</v>
      </c>
      <c r="H248" s="13">
        <v>491</v>
      </c>
      <c r="I248" s="11" t="s">
        <v>19</v>
      </c>
      <c r="J248" s="12">
        <v>115352</v>
      </c>
      <c r="K248" s="12" t="str">
        <f t="shared" si="36"/>
        <v>Extreme</v>
      </c>
      <c r="L248" s="11" t="s">
        <v>20</v>
      </c>
      <c r="M248" s="14">
        <v>45441</v>
      </c>
      <c r="N248" s="14" t="str">
        <f t="shared" si="37"/>
        <v>29/05/2024</v>
      </c>
      <c r="O248" s="14" t="str">
        <f t="shared" si="38"/>
        <v>2024</v>
      </c>
      <c r="P248" s="11" t="s">
        <v>796</v>
      </c>
      <c r="Q248" s="11" t="s">
        <v>2648</v>
      </c>
      <c r="R248" s="11">
        <v>15</v>
      </c>
      <c r="S248" s="11" t="str">
        <f t="shared" si="39"/>
        <v>13 - 16 yrs</v>
      </c>
      <c r="T248" s="12">
        <v>166.4</v>
      </c>
      <c r="U248" s="11" t="str">
        <f t="shared" si="40"/>
        <v>(151 - 200)</v>
      </c>
      <c r="V248" s="12">
        <f t="shared" si="41"/>
        <v>7.3393124065769797</v>
      </c>
      <c r="W248" s="12">
        <f t="shared" si="42"/>
        <v>234.93279022403257</v>
      </c>
      <c r="X248" s="12">
        <f t="shared" si="43"/>
        <v>0.33890020366598778</v>
      </c>
    </row>
    <row r="249" spans="1:24">
      <c r="A249" s="11">
        <v>248</v>
      </c>
      <c r="B249" s="11" t="s">
        <v>797</v>
      </c>
      <c r="C249" s="11" t="s">
        <v>32</v>
      </c>
      <c r="D249" s="11" t="s">
        <v>114</v>
      </c>
      <c r="E249" s="12">
        <v>5</v>
      </c>
      <c r="F249" s="11" t="s">
        <v>41</v>
      </c>
      <c r="G249" s="11" t="str">
        <f t="shared" si="35"/>
        <v>Litres</v>
      </c>
      <c r="H249" s="13">
        <v>659</v>
      </c>
      <c r="I249" s="11" t="s">
        <v>19</v>
      </c>
      <c r="J249" s="12">
        <v>63103</v>
      </c>
      <c r="K249" s="12" t="str">
        <f t="shared" si="36"/>
        <v>Moderate</v>
      </c>
      <c r="L249" s="11" t="s">
        <v>20</v>
      </c>
      <c r="M249" s="14">
        <v>45500</v>
      </c>
      <c r="N249" s="14" t="str">
        <f t="shared" si="37"/>
        <v>27/07/2024</v>
      </c>
      <c r="O249" s="14" t="str">
        <f t="shared" si="38"/>
        <v>2024</v>
      </c>
      <c r="P249" s="11" t="s">
        <v>799</v>
      </c>
      <c r="Q249" s="11" t="s">
        <v>86</v>
      </c>
      <c r="R249" s="11">
        <v>1</v>
      </c>
      <c r="S249" s="11" t="str">
        <f t="shared" si="39"/>
        <v>0 - 4 yrs</v>
      </c>
      <c r="T249" s="12">
        <v>10.4</v>
      </c>
      <c r="U249" s="11" t="str">
        <f t="shared" si="40"/>
        <v>(0 - 50)</v>
      </c>
      <c r="V249" s="12">
        <f t="shared" si="41"/>
        <v>131.80000000000001</v>
      </c>
      <c r="W249" s="12">
        <f t="shared" si="42"/>
        <v>95.755690440060704</v>
      </c>
      <c r="X249" s="12">
        <f t="shared" si="43"/>
        <v>1.5781487101669198E-2</v>
      </c>
    </row>
    <row r="250" spans="1:24">
      <c r="A250" s="11">
        <v>249</v>
      </c>
      <c r="B250" s="11" t="s">
        <v>2470</v>
      </c>
      <c r="C250" s="11" t="s">
        <v>32</v>
      </c>
      <c r="D250" s="11" t="s">
        <v>17</v>
      </c>
      <c r="E250" s="12">
        <v>71</v>
      </c>
      <c r="F250" s="11" t="s">
        <v>56</v>
      </c>
      <c r="G250" s="11" t="str">
        <f t="shared" si="35"/>
        <v>Litres</v>
      </c>
      <c r="H250" s="13">
        <v>683</v>
      </c>
      <c r="I250" s="11" t="s">
        <v>19</v>
      </c>
      <c r="J250" s="12">
        <v>68071</v>
      </c>
      <c r="K250" s="12" t="str">
        <f t="shared" si="36"/>
        <v>Moderate</v>
      </c>
      <c r="L250" s="11" t="s">
        <v>20</v>
      </c>
      <c r="M250" s="14">
        <v>45484</v>
      </c>
      <c r="N250" s="14" t="str">
        <f t="shared" si="37"/>
        <v>11/07/2024</v>
      </c>
      <c r="O250" s="14" t="str">
        <f t="shared" si="38"/>
        <v>2024</v>
      </c>
      <c r="P250" s="11" t="s">
        <v>802</v>
      </c>
      <c r="Q250" s="11" t="s">
        <v>121</v>
      </c>
      <c r="R250" s="11">
        <v>17</v>
      </c>
      <c r="S250" s="11" t="str">
        <f t="shared" si="39"/>
        <v>17 + yrs</v>
      </c>
      <c r="T250" s="12">
        <v>215.9</v>
      </c>
      <c r="U250" s="11" t="str">
        <f t="shared" si="40"/>
        <v>(201 - 250)</v>
      </c>
      <c r="V250" s="12">
        <f t="shared" si="41"/>
        <v>9.6197183098591541</v>
      </c>
      <c r="W250" s="12">
        <f t="shared" si="42"/>
        <v>99.664714494875554</v>
      </c>
      <c r="X250" s="12">
        <f t="shared" si="43"/>
        <v>0.31610541727672037</v>
      </c>
    </row>
    <row r="251" spans="1:24">
      <c r="A251" s="11">
        <v>250</v>
      </c>
      <c r="B251" s="11" t="s">
        <v>2471</v>
      </c>
      <c r="C251" s="11" t="s">
        <v>32</v>
      </c>
      <c r="D251" s="11" t="s">
        <v>17</v>
      </c>
      <c r="E251" s="12">
        <v>46.3</v>
      </c>
      <c r="F251" s="11" t="s">
        <v>56</v>
      </c>
      <c r="G251" s="11" t="str">
        <f t="shared" si="35"/>
        <v>Litres</v>
      </c>
      <c r="H251" s="13">
        <v>411</v>
      </c>
      <c r="I251" s="11" t="s">
        <v>19</v>
      </c>
      <c r="J251" s="12">
        <v>54775</v>
      </c>
      <c r="K251" s="12" t="str">
        <f t="shared" si="36"/>
        <v>Moderate</v>
      </c>
      <c r="L251" s="11" t="s">
        <v>20</v>
      </c>
      <c r="M251" s="14">
        <v>45433</v>
      </c>
      <c r="N251" s="14" t="str">
        <f t="shared" si="37"/>
        <v>21/05/2024</v>
      </c>
      <c r="O251" s="14" t="str">
        <f t="shared" si="38"/>
        <v>2024</v>
      </c>
      <c r="P251" s="11" t="s">
        <v>805</v>
      </c>
      <c r="Q251" s="11" t="s">
        <v>121</v>
      </c>
      <c r="R251" s="11">
        <v>5</v>
      </c>
      <c r="S251" s="11" t="str">
        <f t="shared" si="39"/>
        <v>5 - 8 yrs</v>
      </c>
      <c r="T251" s="12">
        <v>97.9</v>
      </c>
      <c r="U251" s="11" t="str">
        <f t="shared" si="40"/>
        <v>(51 - 100)</v>
      </c>
      <c r="V251" s="12">
        <f t="shared" si="41"/>
        <v>8.8768898488120964</v>
      </c>
      <c r="W251" s="12">
        <f t="shared" si="42"/>
        <v>133.27250608272507</v>
      </c>
      <c r="X251" s="12">
        <f t="shared" si="43"/>
        <v>0.23819951338199516</v>
      </c>
    </row>
    <row r="252" spans="1:24">
      <c r="A252" s="11">
        <v>251</v>
      </c>
      <c r="B252" s="11" t="s">
        <v>806</v>
      </c>
      <c r="C252" s="11" t="s">
        <v>16</v>
      </c>
      <c r="D252" s="11" t="s">
        <v>17</v>
      </c>
      <c r="E252" s="12">
        <v>34.9</v>
      </c>
      <c r="F252" s="11" t="s">
        <v>41</v>
      </c>
      <c r="G252" s="11" t="str">
        <f t="shared" si="35"/>
        <v>Litres</v>
      </c>
      <c r="H252" s="13">
        <v>188</v>
      </c>
      <c r="I252" s="11" t="s">
        <v>19</v>
      </c>
      <c r="J252" s="12">
        <v>24422</v>
      </c>
      <c r="K252" s="12" t="str">
        <f t="shared" si="36"/>
        <v>Low</v>
      </c>
      <c r="L252" s="11" t="s">
        <v>20</v>
      </c>
      <c r="M252" s="14">
        <v>45102</v>
      </c>
      <c r="N252" s="14" t="str">
        <f t="shared" si="37"/>
        <v>25/06/2023</v>
      </c>
      <c r="O252" s="14" t="str">
        <f t="shared" si="38"/>
        <v>2023</v>
      </c>
      <c r="P252" s="11" t="s">
        <v>808</v>
      </c>
      <c r="Q252" s="11" t="s">
        <v>441</v>
      </c>
      <c r="R252" s="11">
        <v>12</v>
      </c>
      <c r="S252" s="11" t="str">
        <f t="shared" si="39"/>
        <v>9 - 12 yrs</v>
      </c>
      <c r="T252" s="12">
        <v>113.3</v>
      </c>
      <c r="U252" s="11" t="str">
        <f t="shared" si="40"/>
        <v>(101 - 150)</v>
      </c>
      <c r="V252" s="12">
        <f t="shared" si="41"/>
        <v>5.3868194842406876</v>
      </c>
      <c r="W252" s="12">
        <f t="shared" si="42"/>
        <v>129.90425531914894</v>
      </c>
      <c r="X252" s="12">
        <f t="shared" si="43"/>
        <v>0.60265957446808505</v>
      </c>
    </row>
    <row r="253" spans="1:24">
      <c r="A253" s="11">
        <v>252</v>
      </c>
      <c r="B253" s="11" t="s">
        <v>2472</v>
      </c>
      <c r="C253" s="11" t="s">
        <v>16</v>
      </c>
      <c r="D253" s="11" t="s">
        <v>33</v>
      </c>
      <c r="E253" s="12">
        <v>12.1</v>
      </c>
      <c r="F253" s="11" t="s">
        <v>62</v>
      </c>
      <c r="G253" s="11" t="str">
        <f t="shared" si="35"/>
        <v>kWh</v>
      </c>
      <c r="H253" s="13">
        <v>272</v>
      </c>
      <c r="I253" s="11" t="s">
        <v>19</v>
      </c>
      <c r="J253" s="12">
        <v>53538</v>
      </c>
      <c r="K253" s="12" t="str">
        <f t="shared" si="36"/>
        <v>Medium</v>
      </c>
      <c r="L253" s="11" t="s">
        <v>20</v>
      </c>
      <c r="M253" s="14">
        <v>45029</v>
      </c>
      <c r="N253" s="14" t="str">
        <f t="shared" si="37"/>
        <v>13/04/2023</v>
      </c>
      <c r="O253" s="14" t="str">
        <f t="shared" si="38"/>
        <v>2023</v>
      </c>
      <c r="P253" s="11" t="s">
        <v>648</v>
      </c>
      <c r="Q253" s="11" t="s">
        <v>59</v>
      </c>
      <c r="R253" s="11">
        <v>5</v>
      </c>
      <c r="S253" s="11" t="str">
        <f t="shared" si="39"/>
        <v>5 - 8 yrs</v>
      </c>
      <c r="T253" s="12">
        <v>38.1</v>
      </c>
      <c r="U253" s="11" t="str">
        <f t="shared" si="40"/>
        <v>(0 - 50)</v>
      </c>
      <c r="V253" s="12">
        <f t="shared" si="41"/>
        <v>22.479338842975206</v>
      </c>
      <c r="W253" s="12">
        <f t="shared" si="42"/>
        <v>196.83088235294119</v>
      </c>
      <c r="X253" s="12">
        <f t="shared" si="43"/>
        <v>0.14007352941176471</v>
      </c>
    </row>
    <row r="254" spans="1:24">
      <c r="A254" s="11">
        <v>253</v>
      </c>
      <c r="B254" s="11" t="s">
        <v>811</v>
      </c>
      <c r="C254" s="11" t="s">
        <v>39</v>
      </c>
      <c r="D254" s="11" t="s">
        <v>114</v>
      </c>
      <c r="E254" s="12">
        <v>49.1</v>
      </c>
      <c r="F254" s="11" t="s">
        <v>26</v>
      </c>
      <c r="G254" s="11" t="str">
        <f t="shared" si="35"/>
        <v>Litres</v>
      </c>
      <c r="H254" s="13">
        <v>311</v>
      </c>
      <c r="I254" s="11" t="s">
        <v>19</v>
      </c>
      <c r="J254" s="12">
        <v>66426</v>
      </c>
      <c r="K254" s="12" t="str">
        <f t="shared" si="36"/>
        <v>Moderate</v>
      </c>
      <c r="L254" s="11" t="s">
        <v>20</v>
      </c>
      <c r="M254" s="14">
        <v>44945</v>
      </c>
      <c r="N254" s="14" t="str">
        <f t="shared" si="37"/>
        <v>19/01/2023</v>
      </c>
      <c r="O254" s="14" t="str">
        <f t="shared" si="38"/>
        <v>2023</v>
      </c>
      <c r="P254" s="11" t="s">
        <v>813</v>
      </c>
      <c r="Q254" s="11" t="s">
        <v>117</v>
      </c>
      <c r="R254" s="11">
        <v>17</v>
      </c>
      <c r="S254" s="11" t="str">
        <f t="shared" si="39"/>
        <v>17 + yrs</v>
      </c>
      <c r="T254" s="12">
        <v>131.9</v>
      </c>
      <c r="U254" s="11" t="str">
        <f t="shared" si="40"/>
        <v>(101 - 150)</v>
      </c>
      <c r="V254" s="12">
        <f t="shared" si="41"/>
        <v>6.3340122199592663</v>
      </c>
      <c r="W254" s="12">
        <f t="shared" si="42"/>
        <v>213.58842443729904</v>
      </c>
      <c r="X254" s="12">
        <f t="shared" si="43"/>
        <v>0.42411575562700965</v>
      </c>
    </row>
    <row r="255" spans="1:24">
      <c r="A255" s="11">
        <v>254</v>
      </c>
      <c r="B255" s="11" t="s">
        <v>814</v>
      </c>
      <c r="C255" s="11" t="s">
        <v>39</v>
      </c>
      <c r="D255" s="11" t="s">
        <v>17</v>
      </c>
      <c r="E255" s="12">
        <v>68.599999999999994</v>
      </c>
      <c r="F255" s="11" t="s">
        <v>56</v>
      </c>
      <c r="G255" s="11" t="str">
        <f t="shared" si="35"/>
        <v>Litres</v>
      </c>
      <c r="H255" s="13">
        <v>80</v>
      </c>
      <c r="I255" s="11" t="s">
        <v>19</v>
      </c>
      <c r="J255" s="12">
        <v>63909</v>
      </c>
      <c r="K255" s="12" t="str">
        <f t="shared" si="36"/>
        <v>Moderate</v>
      </c>
      <c r="L255" s="11" t="s">
        <v>20</v>
      </c>
      <c r="M255" s="14">
        <v>45191</v>
      </c>
      <c r="N255" s="14" t="str">
        <f t="shared" si="37"/>
        <v>22/09/2023</v>
      </c>
      <c r="O255" s="14" t="str">
        <f t="shared" si="38"/>
        <v>2023</v>
      </c>
      <c r="P255" s="11" t="s">
        <v>816</v>
      </c>
      <c r="Q255" s="11" t="s">
        <v>69</v>
      </c>
      <c r="R255" s="11">
        <v>1</v>
      </c>
      <c r="S255" s="11" t="str">
        <f t="shared" si="39"/>
        <v>0 - 4 yrs</v>
      </c>
      <c r="T255" s="12">
        <v>151.4</v>
      </c>
      <c r="U255" s="11" t="str">
        <f t="shared" si="40"/>
        <v>(151 - 200)</v>
      </c>
      <c r="V255" s="12">
        <f t="shared" si="41"/>
        <v>1.1661807580174928</v>
      </c>
      <c r="W255" s="12">
        <f t="shared" si="42"/>
        <v>798.86249999999995</v>
      </c>
      <c r="X255" s="12">
        <f t="shared" si="43"/>
        <v>1.8925000000000001</v>
      </c>
    </row>
    <row r="256" spans="1:24">
      <c r="A256" s="11">
        <v>255</v>
      </c>
      <c r="B256" s="11" t="s">
        <v>817</v>
      </c>
      <c r="C256" s="11" t="s">
        <v>32</v>
      </c>
      <c r="D256" s="11" t="s">
        <v>33</v>
      </c>
      <c r="E256" s="12">
        <v>88.4</v>
      </c>
      <c r="F256" s="11" t="s">
        <v>62</v>
      </c>
      <c r="G256" s="11" t="str">
        <f t="shared" si="35"/>
        <v>kWh</v>
      </c>
      <c r="H256" s="13">
        <v>488</v>
      </c>
      <c r="I256" s="11" t="s">
        <v>19</v>
      </c>
      <c r="J256" s="12">
        <v>36294</v>
      </c>
      <c r="K256" s="12" t="str">
        <f t="shared" si="36"/>
        <v>Medium</v>
      </c>
      <c r="L256" s="11" t="s">
        <v>20</v>
      </c>
      <c r="M256" s="14">
        <v>45328</v>
      </c>
      <c r="N256" s="14" t="str">
        <f t="shared" si="37"/>
        <v>06/02/2024</v>
      </c>
      <c r="O256" s="14" t="str">
        <f t="shared" si="38"/>
        <v>2024</v>
      </c>
      <c r="P256" s="11" t="s">
        <v>819</v>
      </c>
      <c r="Q256" s="11" t="s">
        <v>69</v>
      </c>
      <c r="R256" s="11">
        <v>20</v>
      </c>
      <c r="S256" s="11" t="str">
        <f t="shared" si="39"/>
        <v>17 + yrs</v>
      </c>
      <c r="T256" s="12">
        <v>239.8</v>
      </c>
      <c r="U256" s="11" t="str">
        <f t="shared" si="40"/>
        <v>(201 - 250)</v>
      </c>
      <c r="V256" s="12">
        <f t="shared" si="41"/>
        <v>5.5203619909502262</v>
      </c>
      <c r="W256" s="12">
        <f t="shared" si="42"/>
        <v>74.372950819672127</v>
      </c>
      <c r="X256" s="12">
        <f t="shared" si="43"/>
        <v>0.49139344262295082</v>
      </c>
    </row>
    <row r="257" spans="1:24">
      <c r="A257" s="11">
        <v>256</v>
      </c>
      <c r="B257" s="11" t="s">
        <v>820</v>
      </c>
      <c r="C257" s="11" t="s">
        <v>39</v>
      </c>
      <c r="D257" s="11" t="s">
        <v>114</v>
      </c>
      <c r="E257" s="12">
        <v>57.7</v>
      </c>
      <c r="F257" s="11" t="s">
        <v>26</v>
      </c>
      <c r="G257" s="11" t="str">
        <f t="shared" si="35"/>
        <v>Litres</v>
      </c>
      <c r="H257" s="13">
        <v>483</v>
      </c>
      <c r="I257" s="11" t="s">
        <v>19</v>
      </c>
      <c r="J257" s="12">
        <v>4961</v>
      </c>
      <c r="K257" s="12" t="str">
        <f t="shared" si="36"/>
        <v>Very Low</v>
      </c>
      <c r="L257" s="11" t="s">
        <v>20</v>
      </c>
      <c r="M257" s="14">
        <v>45049</v>
      </c>
      <c r="N257" s="14" t="str">
        <f t="shared" si="37"/>
        <v>03/05/2023</v>
      </c>
      <c r="O257" s="14" t="str">
        <f t="shared" si="38"/>
        <v>2023</v>
      </c>
      <c r="P257" s="11" t="s">
        <v>822</v>
      </c>
      <c r="Q257" s="11" t="s">
        <v>112</v>
      </c>
      <c r="R257" s="11">
        <v>15</v>
      </c>
      <c r="S257" s="11" t="str">
        <f t="shared" si="39"/>
        <v>13 - 16 yrs</v>
      </c>
      <c r="T257" s="12">
        <v>185.3</v>
      </c>
      <c r="U257" s="11" t="str">
        <f t="shared" si="40"/>
        <v>(151 - 200)</v>
      </c>
      <c r="V257" s="12">
        <f t="shared" si="41"/>
        <v>8.3708838821490463</v>
      </c>
      <c r="W257" s="12">
        <f t="shared" si="42"/>
        <v>10.271221532091097</v>
      </c>
      <c r="X257" s="12">
        <f t="shared" si="43"/>
        <v>0.38364389233954455</v>
      </c>
    </row>
    <row r="258" spans="1:24">
      <c r="A258" s="11">
        <v>257</v>
      </c>
      <c r="B258" s="11" t="s">
        <v>2473</v>
      </c>
      <c r="C258" s="11" t="s">
        <v>39</v>
      </c>
      <c r="D258" s="11" t="s">
        <v>17</v>
      </c>
      <c r="E258" s="12">
        <v>30.8</v>
      </c>
      <c r="F258" s="11" t="s">
        <v>56</v>
      </c>
      <c r="G258" s="11" t="str">
        <f t="shared" ref="G258:G321" si="44">IF(OR(F258="L",F258="ltrs",F258="liters"),"Litres",F258)</f>
        <v>Litres</v>
      </c>
      <c r="H258" s="13">
        <v>608</v>
      </c>
      <c r="I258" s="11" t="s">
        <v>19</v>
      </c>
      <c r="J258" s="12">
        <v>36587</v>
      </c>
      <c r="K258" s="12" t="str">
        <f t="shared" si="36"/>
        <v>Medium</v>
      </c>
      <c r="L258" s="11" t="s">
        <v>20</v>
      </c>
      <c r="M258" s="14">
        <v>45421</v>
      </c>
      <c r="N258" s="14" t="str">
        <f t="shared" si="37"/>
        <v>09/05/2024</v>
      </c>
      <c r="O258" s="14" t="str">
        <f t="shared" si="38"/>
        <v>2024</v>
      </c>
      <c r="P258" s="11" t="s">
        <v>508</v>
      </c>
      <c r="Q258" s="11" t="s">
        <v>441</v>
      </c>
      <c r="R258" s="11">
        <v>1</v>
      </c>
      <c r="S258" s="11" t="str">
        <f t="shared" si="39"/>
        <v>0 - 4 yrs</v>
      </c>
      <c r="T258" s="12">
        <v>73.7</v>
      </c>
      <c r="U258" s="11" t="str">
        <f t="shared" si="40"/>
        <v>(51 - 100)</v>
      </c>
      <c r="V258" s="12">
        <f t="shared" si="41"/>
        <v>19.740259740259742</v>
      </c>
      <c r="W258" s="12">
        <f t="shared" si="42"/>
        <v>60.17598684210526</v>
      </c>
      <c r="X258" s="12">
        <f t="shared" si="43"/>
        <v>0.1212171052631579</v>
      </c>
    </row>
    <row r="259" spans="1:24">
      <c r="A259" s="11">
        <v>258</v>
      </c>
      <c r="B259" s="11" t="s">
        <v>2474</v>
      </c>
      <c r="C259" s="11" t="s">
        <v>39</v>
      </c>
      <c r="D259" s="11" t="s">
        <v>114</v>
      </c>
      <c r="E259" s="12">
        <v>28.4</v>
      </c>
      <c r="F259" s="11" t="s">
        <v>26</v>
      </c>
      <c r="G259" s="11" t="str">
        <f t="shared" si="44"/>
        <v>Litres</v>
      </c>
      <c r="H259" s="13">
        <v>266</v>
      </c>
      <c r="I259" s="11" t="s">
        <v>19</v>
      </c>
      <c r="J259" s="12">
        <v>67670</v>
      </c>
      <c r="K259" s="12" t="str">
        <f t="shared" si="36"/>
        <v>Moderate</v>
      </c>
      <c r="L259" s="11" t="s">
        <v>20</v>
      </c>
      <c r="M259" s="14">
        <v>45095</v>
      </c>
      <c r="N259" s="14" t="str">
        <f t="shared" si="37"/>
        <v>18/06/2023</v>
      </c>
      <c r="O259" s="14" t="str">
        <f t="shared" si="38"/>
        <v>2023</v>
      </c>
      <c r="P259" s="11" t="s">
        <v>827</v>
      </c>
      <c r="Q259" s="11" t="s">
        <v>121</v>
      </c>
      <c r="R259" s="11">
        <v>12</v>
      </c>
      <c r="S259" s="11" t="str">
        <f t="shared" si="39"/>
        <v>9 - 12 yrs</v>
      </c>
      <c r="T259" s="12">
        <v>90.3</v>
      </c>
      <c r="U259" s="11" t="str">
        <f t="shared" si="40"/>
        <v>(51 - 100)</v>
      </c>
      <c r="V259" s="12">
        <f t="shared" si="41"/>
        <v>9.3661971830985919</v>
      </c>
      <c r="W259" s="12">
        <f t="shared" si="42"/>
        <v>254.3984962406015</v>
      </c>
      <c r="X259" s="12">
        <f t="shared" si="43"/>
        <v>0.33947368421052632</v>
      </c>
    </row>
    <row r="260" spans="1:24">
      <c r="A260" s="11">
        <v>259</v>
      </c>
      <c r="B260" s="11" t="s">
        <v>828</v>
      </c>
      <c r="C260" s="11" t="s">
        <v>16</v>
      </c>
      <c r="D260" s="11" t="s">
        <v>17</v>
      </c>
      <c r="E260" s="12">
        <v>67.900000000000006</v>
      </c>
      <c r="F260" s="11" t="s">
        <v>56</v>
      </c>
      <c r="G260" s="11" t="str">
        <f t="shared" si="44"/>
        <v>Litres</v>
      </c>
      <c r="H260" s="13">
        <v>202</v>
      </c>
      <c r="I260" s="11" t="s">
        <v>19</v>
      </c>
      <c r="J260" s="12">
        <v>33698</v>
      </c>
      <c r="K260" s="12" t="str">
        <f t="shared" si="36"/>
        <v>Low</v>
      </c>
      <c r="L260" s="11" t="s">
        <v>20</v>
      </c>
      <c r="M260" s="14">
        <v>45237</v>
      </c>
      <c r="N260" s="14" t="str">
        <f t="shared" si="37"/>
        <v>07/11/2023</v>
      </c>
      <c r="O260" s="14" t="str">
        <f t="shared" si="38"/>
        <v>2023</v>
      </c>
      <c r="P260" s="11" t="s">
        <v>830</v>
      </c>
      <c r="Q260" s="11" t="s">
        <v>2648</v>
      </c>
      <c r="R260" s="11">
        <v>14</v>
      </c>
      <c r="S260" s="11" t="str">
        <f t="shared" si="39"/>
        <v>13 - 16 yrs</v>
      </c>
      <c r="T260" s="12">
        <v>150.30000000000001</v>
      </c>
      <c r="U260" s="11" t="str">
        <f t="shared" si="40"/>
        <v>(151 - 200)</v>
      </c>
      <c r="V260" s="12">
        <f t="shared" si="41"/>
        <v>2.9749631811487478</v>
      </c>
      <c r="W260" s="12">
        <f t="shared" si="42"/>
        <v>166.82178217821783</v>
      </c>
      <c r="X260" s="12">
        <f t="shared" si="43"/>
        <v>0.74405940594059417</v>
      </c>
    </row>
    <row r="261" spans="1:24">
      <c r="A261" s="11">
        <v>260</v>
      </c>
      <c r="B261" s="11" t="s">
        <v>2475</v>
      </c>
      <c r="C261" s="11" t="s">
        <v>16</v>
      </c>
      <c r="D261" s="11" t="s">
        <v>17</v>
      </c>
      <c r="E261" s="12">
        <v>87.4</v>
      </c>
      <c r="F261" s="11" t="s">
        <v>62</v>
      </c>
      <c r="G261" s="11" t="str">
        <f t="shared" si="44"/>
        <v>kWh</v>
      </c>
      <c r="H261" s="13">
        <v>664</v>
      </c>
      <c r="I261" s="11" t="s">
        <v>19</v>
      </c>
      <c r="J261" s="12">
        <v>38464</v>
      </c>
      <c r="K261" s="12" t="str">
        <f t="shared" si="36"/>
        <v>Medium</v>
      </c>
      <c r="L261" s="11" t="s">
        <v>20</v>
      </c>
      <c r="M261" s="14">
        <v>45309</v>
      </c>
      <c r="N261" s="14" t="str">
        <f t="shared" si="37"/>
        <v>18/01/2024</v>
      </c>
      <c r="O261" s="14" t="str">
        <f t="shared" si="38"/>
        <v>2024</v>
      </c>
      <c r="P261" s="11" t="s">
        <v>783</v>
      </c>
      <c r="Q261" s="11" t="s">
        <v>59</v>
      </c>
      <c r="R261" s="11">
        <v>13</v>
      </c>
      <c r="S261" s="11" t="str">
        <f t="shared" si="39"/>
        <v>13 - 16 yrs</v>
      </c>
      <c r="T261" s="12">
        <v>255</v>
      </c>
      <c r="U261" s="11" t="str">
        <f t="shared" si="40"/>
        <v>(251 - 300)</v>
      </c>
      <c r="V261" s="12">
        <f t="shared" si="41"/>
        <v>7.5972540045766586</v>
      </c>
      <c r="W261" s="12">
        <f t="shared" si="42"/>
        <v>57.927710843373497</v>
      </c>
      <c r="X261" s="12">
        <f t="shared" si="43"/>
        <v>0.38403614457831325</v>
      </c>
    </row>
    <row r="262" spans="1:24">
      <c r="A262" s="11">
        <v>261</v>
      </c>
      <c r="B262" s="11" t="s">
        <v>832</v>
      </c>
      <c r="C262" s="11" t="s">
        <v>32</v>
      </c>
      <c r="D262" s="11" t="s">
        <v>17</v>
      </c>
      <c r="E262" s="12">
        <v>27.2</v>
      </c>
      <c r="F262" s="11" t="s">
        <v>62</v>
      </c>
      <c r="G262" s="11" t="str">
        <f t="shared" si="44"/>
        <v>kWh</v>
      </c>
      <c r="H262" s="13">
        <v>493</v>
      </c>
      <c r="I262" s="11" t="s">
        <v>19</v>
      </c>
      <c r="J262" s="12">
        <v>93909</v>
      </c>
      <c r="K262" s="12" t="str">
        <f t="shared" si="36"/>
        <v>Very High</v>
      </c>
      <c r="L262" s="11" t="s">
        <v>20</v>
      </c>
      <c r="M262" s="14">
        <v>45753</v>
      </c>
      <c r="N262" s="14" t="str">
        <f t="shared" si="37"/>
        <v>06/04/2025</v>
      </c>
      <c r="O262" s="14" t="str">
        <f t="shared" si="38"/>
        <v>2025</v>
      </c>
      <c r="P262" s="11" t="s">
        <v>834</v>
      </c>
      <c r="Q262" s="11" t="s">
        <v>2648</v>
      </c>
      <c r="R262" s="11">
        <v>13</v>
      </c>
      <c r="S262" s="11" t="str">
        <f t="shared" si="39"/>
        <v>13 - 16 yrs</v>
      </c>
      <c r="T262" s="12">
        <v>63.8</v>
      </c>
      <c r="U262" s="11" t="str">
        <f t="shared" si="40"/>
        <v>(51 - 100)</v>
      </c>
      <c r="V262" s="12">
        <f t="shared" si="41"/>
        <v>18.125</v>
      </c>
      <c r="W262" s="12">
        <f t="shared" si="42"/>
        <v>190.48478701825559</v>
      </c>
      <c r="X262" s="12">
        <f t="shared" si="43"/>
        <v>0.12941176470588234</v>
      </c>
    </row>
    <row r="263" spans="1:24">
      <c r="A263" s="11">
        <v>262</v>
      </c>
      <c r="B263" s="11" t="s">
        <v>835</v>
      </c>
      <c r="C263" s="11" t="s">
        <v>50</v>
      </c>
      <c r="D263" s="11" t="s">
        <v>17</v>
      </c>
      <c r="E263" s="12">
        <v>69</v>
      </c>
      <c r="F263" s="11" t="s">
        <v>62</v>
      </c>
      <c r="G263" s="11" t="str">
        <f t="shared" si="44"/>
        <v>kWh</v>
      </c>
      <c r="H263" s="13">
        <v>297</v>
      </c>
      <c r="I263" s="11" t="s">
        <v>19</v>
      </c>
      <c r="J263" s="12">
        <v>67293</v>
      </c>
      <c r="K263" s="12" t="str">
        <f t="shared" si="36"/>
        <v>Moderate</v>
      </c>
      <c r="L263" s="11" t="s">
        <v>20</v>
      </c>
      <c r="M263" s="14">
        <v>45466</v>
      </c>
      <c r="N263" s="14" t="str">
        <f t="shared" si="37"/>
        <v>23/06/2024</v>
      </c>
      <c r="O263" s="14" t="str">
        <f t="shared" si="38"/>
        <v>2024</v>
      </c>
      <c r="P263" s="11" t="s">
        <v>428</v>
      </c>
      <c r="Q263" s="11" t="s">
        <v>54</v>
      </c>
      <c r="R263" s="11">
        <v>4</v>
      </c>
      <c r="S263" s="11" t="str">
        <f t="shared" si="39"/>
        <v>0 - 4 yrs</v>
      </c>
      <c r="T263" s="12">
        <v>164.6</v>
      </c>
      <c r="U263" s="11" t="str">
        <f t="shared" si="40"/>
        <v>(151 - 200)</v>
      </c>
      <c r="V263" s="12">
        <f t="shared" si="41"/>
        <v>4.3043478260869561</v>
      </c>
      <c r="W263" s="12">
        <f t="shared" si="42"/>
        <v>226.57575757575756</v>
      </c>
      <c r="X263" s="12">
        <f t="shared" si="43"/>
        <v>0.55420875420875415</v>
      </c>
    </row>
    <row r="264" spans="1:24">
      <c r="A264" s="11">
        <v>263</v>
      </c>
      <c r="B264" s="11" t="s">
        <v>2476</v>
      </c>
      <c r="C264" s="11" t="s">
        <v>39</v>
      </c>
      <c r="D264" s="11" t="s">
        <v>33</v>
      </c>
      <c r="E264" s="12">
        <v>37.799999999999997</v>
      </c>
      <c r="F264" s="11" t="s">
        <v>2643</v>
      </c>
      <c r="G264" s="11" t="str">
        <f t="shared" si="44"/>
        <v>Litres</v>
      </c>
      <c r="H264" s="13">
        <v>155</v>
      </c>
      <c r="I264" s="11" t="s">
        <v>19</v>
      </c>
      <c r="J264" s="12">
        <v>92704</v>
      </c>
      <c r="K264" s="12" t="str">
        <f t="shared" si="36"/>
        <v>Very High</v>
      </c>
      <c r="L264" s="11" t="s">
        <v>20</v>
      </c>
      <c r="M264" s="14">
        <v>45038</v>
      </c>
      <c r="N264" s="14" t="str">
        <f t="shared" si="37"/>
        <v>22/04/2023</v>
      </c>
      <c r="O264" s="14" t="str">
        <f t="shared" si="38"/>
        <v>2023</v>
      </c>
      <c r="P264" s="11" t="s">
        <v>839</v>
      </c>
      <c r="Q264" s="11" t="s">
        <v>117</v>
      </c>
      <c r="R264" s="11">
        <v>4</v>
      </c>
      <c r="S264" s="11" t="str">
        <f t="shared" si="39"/>
        <v>0 - 4 yrs</v>
      </c>
      <c r="T264" s="12">
        <v>76.900000000000006</v>
      </c>
      <c r="U264" s="11" t="str">
        <f t="shared" si="40"/>
        <v>(51 - 100)</v>
      </c>
      <c r="V264" s="12">
        <f t="shared" si="41"/>
        <v>4.1005291005291005</v>
      </c>
      <c r="W264" s="12">
        <f t="shared" si="42"/>
        <v>598.09032258064519</v>
      </c>
      <c r="X264" s="12">
        <f t="shared" si="43"/>
        <v>0.49612903225806454</v>
      </c>
    </row>
    <row r="265" spans="1:24">
      <c r="A265" s="11">
        <v>264</v>
      </c>
      <c r="B265" s="11" t="s">
        <v>840</v>
      </c>
      <c r="C265" s="11" t="s">
        <v>50</v>
      </c>
      <c r="D265" s="11" t="s">
        <v>114</v>
      </c>
      <c r="E265" s="12">
        <v>23</v>
      </c>
      <c r="F265" s="11" t="s">
        <v>62</v>
      </c>
      <c r="G265" s="11" t="str">
        <f t="shared" si="44"/>
        <v>kWh</v>
      </c>
      <c r="H265" s="13">
        <v>544</v>
      </c>
      <c r="I265" s="11" t="s">
        <v>19</v>
      </c>
      <c r="J265" s="12">
        <v>46063</v>
      </c>
      <c r="K265" s="12" t="str">
        <f t="shared" si="36"/>
        <v>Medium</v>
      </c>
      <c r="L265" s="11" t="s">
        <v>20</v>
      </c>
      <c r="M265" s="14">
        <v>45326</v>
      </c>
      <c r="N265" s="14" t="str">
        <f t="shared" si="37"/>
        <v>04/02/2024</v>
      </c>
      <c r="O265" s="14" t="str">
        <f t="shared" si="38"/>
        <v>2024</v>
      </c>
      <c r="P265" s="11" t="s">
        <v>645</v>
      </c>
      <c r="Q265" s="11" t="s">
        <v>69</v>
      </c>
      <c r="R265" s="11">
        <v>5</v>
      </c>
      <c r="S265" s="11" t="str">
        <f t="shared" si="39"/>
        <v>5 - 8 yrs</v>
      </c>
      <c r="T265" s="12">
        <v>74.099999999999994</v>
      </c>
      <c r="U265" s="11" t="str">
        <f t="shared" si="40"/>
        <v>(51 - 100)</v>
      </c>
      <c r="V265" s="12">
        <f t="shared" si="41"/>
        <v>23.652173913043477</v>
      </c>
      <c r="W265" s="12">
        <f t="shared" si="42"/>
        <v>84.674632352941174</v>
      </c>
      <c r="X265" s="12">
        <f t="shared" si="43"/>
        <v>0.13621323529411763</v>
      </c>
    </row>
    <row r="266" spans="1:24">
      <c r="A266" s="11">
        <v>265</v>
      </c>
      <c r="B266" s="11" t="s">
        <v>2477</v>
      </c>
      <c r="C266" s="11" t="s">
        <v>39</v>
      </c>
      <c r="D266" s="11" t="s">
        <v>114</v>
      </c>
      <c r="E266" s="12">
        <v>20.5</v>
      </c>
      <c r="F266" s="11" t="s">
        <v>26</v>
      </c>
      <c r="G266" s="11" t="str">
        <f t="shared" si="44"/>
        <v>Litres</v>
      </c>
      <c r="H266" s="13">
        <v>288</v>
      </c>
      <c r="I266" s="11" t="s">
        <v>19</v>
      </c>
      <c r="J266" s="12">
        <v>58141</v>
      </c>
      <c r="K266" s="12" t="str">
        <f t="shared" si="36"/>
        <v>Moderate</v>
      </c>
      <c r="L266" s="11" t="s">
        <v>20</v>
      </c>
      <c r="M266" s="14">
        <v>45423</v>
      </c>
      <c r="N266" s="14" t="str">
        <f t="shared" si="37"/>
        <v>11/05/2024</v>
      </c>
      <c r="O266" s="14" t="str">
        <f t="shared" si="38"/>
        <v>2024</v>
      </c>
      <c r="P266" s="11" t="s">
        <v>844</v>
      </c>
      <c r="Q266" s="11" t="s">
        <v>86</v>
      </c>
      <c r="R266" s="11">
        <v>16</v>
      </c>
      <c r="S266" s="11" t="str">
        <f t="shared" si="39"/>
        <v>13 - 16 yrs</v>
      </c>
      <c r="T266" s="12">
        <v>44.5</v>
      </c>
      <c r="U266" s="11" t="str">
        <f t="shared" si="40"/>
        <v>(0 - 50)</v>
      </c>
      <c r="V266" s="12">
        <f t="shared" si="41"/>
        <v>14.048780487804878</v>
      </c>
      <c r="W266" s="12">
        <f t="shared" si="42"/>
        <v>201.87847222222223</v>
      </c>
      <c r="X266" s="12">
        <f t="shared" si="43"/>
        <v>0.1545138888888889</v>
      </c>
    </row>
    <row r="267" spans="1:24">
      <c r="A267" s="11">
        <v>266</v>
      </c>
      <c r="B267" s="11" t="s">
        <v>2478</v>
      </c>
      <c r="C267" s="11" t="s">
        <v>39</v>
      </c>
      <c r="D267" s="11" t="s">
        <v>17</v>
      </c>
      <c r="E267" s="12">
        <v>98.4</v>
      </c>
      <c r="F267" s="11" t="s">
        <v>26</v>
      </c>
      <c r="G267" s="11" t="str">
        <f t="shared" si="44"/>
        <v>Litres</v>
      </c>
      <c r="H267" s="13">
        <v>577</v>
      </c>
      <c r="I267" s="11" t="s">
        <v>19</v>
      </c>
      <c r="J267" s="12">
        <v>36699</v>
      </c>
      <c r="K267" s="12" t="str">
        <f t="shared" si="36"/>
        <v>Medium</v>
      </c>
      <c r="L267" s="11" t="s">
        <v>20</v>
      </c>
      <c r="M267" s="14">
        <v>45326</v>
      </c>
      <c r="N267" s="14" t="str">
        <f t="shared" si="37"/>
        <v>04/02/2024</v>
      </c>
      <c r="O267" s="14" t="str">
        <f t="shared" si="38"/>
        <v>2024</v>
      </c>
      <c r="P267" s="11" t="s">
        <v>847</v>
      </c>
      <c r="Q267" s="11" t="s">
        <v>117</v>
      </c>
      <c r="R267" s="11">
        <v>4</v>
      </c>
      <c r="S267" s="11" t="str">
        <f t="shared" si="39"/>
        <v>0 - 4 yrs</v>
      </c>
      <c r="T267" s="12">
        <v>283.60000000000002</v>
      </c>
      <c r="U267" s="11" t="str">
        <f t="shared" si="40"/>
        <v>(251 - 300)</v>
      </c>
      <c r="V267" s="12">
        <f t="shared" si="41"/>
        <v>5.8638211382113816</v>
      </c>
      <c r="W267" s="12">
        <f t="shared" si="42"/>
        <v>63.603119584055456</v>
      </c>
      <c r="X267" s="12">
        <f t="shared" si="43"/>
        <v>0.49150779896013869</v>
      </c>
    </row>
    <row r="268" spans="1:24">
      <c r="A268" s="11">
        <v>267</v>
      </c>
      <c r="B268" s="11" t="s">
        <v>848</v>
      </c>
      <c r="C268" s="11" t="s">
        <v>50</v>
      </c>
      <c r="D268" s="11" t="s">
        <v>17</v>
      </c>
      <c r="E268" s="12">
        <v>57.8</v>
      </c>
      <c r="F268" s="11" t="s">
        <v>41</v>
      </c>
      <c r="G268" s="11" t="str">
        <f t="shared" si="44"/>
        <v>Litres</v>
      </c>
      <c r="H268" s="13">
        <v>68</v>
      </c>
      <c r="I268" s="11" t="s">
        <v>19</v>
      </c>
      <c r="J268" s="12">
        <v>101315</v>
      </c>
      <c r="K268" s="12" t="str">
        <f t="shared" si="36"/>
        <v>Very High</v>
      </c>
      <c r="L268" s="11" t="s">
        <v>20</v>
      </c>
      <c r="M268" s="14">
        <v>45091</v>
      </c>
      <c r="N268" s="14" t="str">
        <f t="shared" si="37"/>
        <v>14/06/2023</v>
      </c>
      <c r="O268" s="14" t="str">
        <f t="shared" si="38"/>
        <v>2023</v>
      </c>
      <c r="P268" s="11" t="s">
        <v>850</v>
      </c>
      <c r="Q268" s="11" t="s">
        <v>112</v>
      </c>
      <c r="R268" s="11">
        <v>12</v>
      </c>
      <c r="S268" s="11" t="str">
        <f t="shared" si="39"/>
        <v>9 - 12 yrs</v>
      </c>
      <c r="T268" s="12">
        <v>179.4</v>
      </c>
      <c r="U268" s="11" t="str">
        <f t="shared" si="40"/>
        <v>(151 - 200)</v>
      </c>
      <c r="V268" s="12">
        <f t="shared" si="41"/>
        <v>1.1764705882352942</v>
      </c>
      <c r="W268" s="12">
        <f t="shared" si="42"/>
        <v>1489.9264705882354</v>
      </c>
      <c r="X268" s="12">
        <f t="shared" si="43"/>
        <v>2.638235294117647</v>
      </c>
    </row>
    <row r="269" spans="1:24">
      <c r="A269" s="11">
        <v>268</v>
      </c>
      <c r="B269" s="11" t="s">
        <v>851</v>
      </c>
      <c r="C269" s="11" t="s">
        <v>50</v>
      </c>
      <c r="D269" s="11" t="s">
        <v>114</v>
      </c>
      <c r="E269" s="12">
        <v>54.8</v>
      </c>
      <c r="F269" s="11" t="s">
        <v>26</v>
      </c>
      <c r="G269" s="11" t="str">
        <f t="shared" si="44"/>
        <v>Litres</v>
      </c>
      <c r="H269" s="13">
        <v>167</v>
      </c>
      <c r="I269" s="11" t="s">
        <v>19</v>
      </c>
      <c r="J269" s="12">
        <v>94389</v>
      </c>
      <c r="K269" s="12" t="str">
        <f t="shared" si="36"/>
        <v>Very High</v>
      </c>
      <c r="L269" s="11" t="s">
        <v>20</v>
      </c>
      <c r="M269" s="14">
        <v>45695</v>
      </c>
      <c r="N269" s="14" t="str">
        <f t="shared" si="37"/>
        <v>07/02/2025</v>
      </c>
      <c r="O269" s="14" t="str">
        <f t="shared" si="38"/>
        <v>2025</v>
      </c>
      <c r="P269" s="11" t="s">
        <v>853</v>
      </c>
      <c r="Q269" s="11" t="s">
        <v>2648</v>
      </c>
      <c r="R269" s="11">
        <v>4</v>
      </c>
      <c r="S269" s="11" t="str">
        <f t="shared" si="39"/>
        <v>0 - 4 yrs</v>
      </c>
      <c r="T269" s="12">
        <v>181.2</v>
      </c>
      <c r="U269" s="11" t="str">
        <f t="shared" si="40"/>
        <v>(151 - 200)</v>
      </c>
      <c r="V269" s="12">
        <f t="shared" si="41"/>
        <v>3.0474452554744529</v>
      </c>
      <c r="W269" s="12">
        <f t="shared" si="42"/>
        <v>565.20359281437129</v>
      </c>
      <c r="X269" s="12">
        <f t="shared" si="43"/>
        <v>1.0850299401197605</v>
      </c>
    </row>
    <row r="270" spans="1:24">
      <c r="A270" s="11">
        <v>269</v>
      </c>
      <c r="B270" s="11" t="s">
        <v>854</v>
      </c>
      <c r="C270" s="11" t="s">
        <v>50</v>
      </c>
      <c r="D270" s="11" t="s">
        <v>33</v>
      </c>
      <c r="E270" s="12">
        <v>4.0999999999999996</v>
      </c>
      <c r="F270" s="11" t="s">
        <v>41</v>
      </c>
      <c r="G270" s="11" t="str">
        <f t="shared" si="44"/>
        <v>Litres</v>
      </c>
      <c r="H270" s="13">
        <v>434</v>
      </c>
      <c r="I270" s="11" t="s">
        <v>19</v>
      </c>
      <c r="J270" s="12">
        <v>40385</v>
      </c>
      <c r="K270" s="12" t="str">
        <f t="shared" si="36"/>
        <v>Medium</v>
      </c>
      <c r="L270" s="11" t="s">
        <v>20</v>
      </c>
      <c r="M270" s="14">
        <v>45581</v>
      </c>
      <c r="N270" s="14" t="str">
        <f t="shared" si="37"/>
        <v>16/10/2024</v>
      </c>
      <c r="O270" s="14" t="str">
        <f t="shared" si="38"/>
        <v>2024</v>
      </c>
      <c r="P270" s="11" t="s">
        <v>655</v>
      </c>
      <c r="Q270" s="11" t="s">
        <v>117</v>
      </c>
      <c r="R270" s="11">
        <v>5</v>
      </c>
      <c r="S270" s="11" t="str">
        <f t="shared" si="39"/>
        <v>5 - 8 yrs</v>
      </c>
      <c r="T270" s="12">
        <v>10.4</v>
      </c>
      <c r="U270" s="11" t="str">
        <f t="shared" si="40"/>
        <v>(0 - 50)</v>
      </c>
      <c r="V270" s="12">
        <f t="shared" si="41"/>
        <v>105.85365853658537</v>
      </c>
      <c r="W270" s="12">
        <f t="shared" si="42"/>
        <v>93.052995391705068</v>
      </c>
      <c r="X270" s="12">
        <f t="shared" si="43"/>
        <v>2.3963133640552997E-2</v>
      </c>
    </row>
    <row r="271" spans="1:24">
      <c r="A271" s="11">
        <v>270</v>
      </c>
      <c r="B271" s="11" t="s">
        <v>2479</v>
      </c>
      <c r="C271" s="11" t="s">
        <v>50</v>
      </c>
      <c r="D271" s="11" t="s">
        <v>33</v>
      </c>
      <c r="E271" s="12">
        <v>92.7</v>
      </c>
      <c r="F271" s="11" t="s">
        <v>2643</v>
      </c>
      <c r="G271" s="11" t="str">
        <f t="shared" si="44"/>
        <v>Litres</v>
      </c>
      <c r="H271" s="13">
        <v>160</v>
      </c>
      <c r="I271" s="11" t="s">
        <v>19</v>
      </c>
      <c r="J271" s="12">
        <v>108589</v>
      </c>
      <c r="K271" s="12" t="str">
        <f t="shared" si="36"/>
        <v>Extreme</v>
      </c>
      <c r="L271" s="11" t="s">
        <v>20</v>
      </c>
      <c r="M271" s="14">
        <v>45763</v>
      </c>
      <c r="N271" s="14" t="str">
        <f t="shared" si="37"/>
        <v>16/04/2025</v>
      </c>
      <c r="O271" s="14" t="str">
        <f t="shared" si="38"/>
        <v>2025</v>
      </c>
      <c r="P271" s="11" t="s">
        <v>747</v>
      </c>
      <c r="Q271" s="11" t="s">
        <v>54</v>
      </c>
      <c r="R271" s="11">
        <v>13</v>
      </c>
      <c r="S271" s="11" t="str">
        <f t="shared" si="39"/>
        <v>13 - 16 yrs</v>
      </c>
      <c r="T271" s="12">
        <v>280.8</v>
      </c>
      <c r="U271" s="11" t="str">
        <f t="shared" si="40"/>
        <v>(251 - 300)</v>
      </c>
      <c r="V271" s="12">
        <f t="shared" si="41"/>
        <v>1.7259978425026967</v>
      </c>
      <c r="W271" s="12">
        <f t="shared" si="42"/>
        <v>678.68124999999998</v>
      </c>
      <c r="X271" s="12">
        <f t="shared" si="43"/>
        <v>1.7550000000000001</v>
      </c>
    </row>
    <row r="272" spans="1:24">
      <c r="A272" s="11">
        <v>271</v>
      </c>
      <c r="B272" s="11" t="s">
        <v>2480</v>
      </c>
      <c r="C272" s="11" t="s">
        <v>39</v>
      </c>
      <c r="D272" s="11" t="s">
        <v>61</v>
      </c>
      <c r="E272" s="12">
        <v>10</v>
      </c>
      <c r="F272" s="11" t="s">
        <v>41</v>
      </c>
      <c r="G272" s="11" t="str">
        <f t="shared" si="44"/>
        <v>Litres</v>
      </c>
      <c r="H272" s="13">
        <v>193</v>
      </c>
      <c r="I272" s="11" t="s">
        <v>19</v>
      </c>
      <c r="J272" s="12">
        <v>75731</v>
      </c>
      <c r="K272" s="12" t="str">
        <f t="shared" si="36"/>
        <v>High</v>
      </c>
      <c r="L272" s="11" t="s">
        <v>20</v>
      </c>
      <c r="M272" s="14">
        <v>45203</v>
      </c>
      <c r="N272" s="14" t="str">
        <f t="shared" si="37"/>
        <v>04/10/2023</v>
      </c>
      <c r="O272" s="14" t="str">
        <f t="shared" si="38"/>
        <v>2023</v>
      </c>
      <c r="P272" s="11" t="s">
        <v>860</v>
      </c>
      <c r="Q272" s="11" t="s">
        <v>2648</v>
      </c>
      <c r="R272" s="11">
        <v>5</v>
      </c>
      <c r="S272" s="11" t="str">
        <f t="shared" si="39"/>
        <v>5 - 8 yrs</v>
      </c>
      <c r="T272" s="12">
        <v>0</v>
      </c>
      <c r="U272" s="11" t="str">
        <f t="shared" si="40"/>
        <v>(0 - 50)</v>
      </c>
      <c r="V272" s="12">
        <f t="shared" si="41"/>
        <v>19.3</v>
      </c>
      <c r="W272" s="12">
        <f t="shared" si="42"/>
        <v>392.38860103626945</v>
      </c>
      <c r="X272" s="12">
        <f t="shared" si="43"/>
        <v>0</v>
      </c>
    </row>
    <row r="273" spans="1:24">
      <c r="A273" s="11">
        <v>272</v>
      </c>
      <c r="B273" s="11" t="s">
        <v>861</v>
      </c>
      <c r="C273" s="11" t="s">
        <v>32</v>
      </c>
      <c r="D273" s="11" t="s">
        <v>61</v>
      </c>
      <c r="E273" s="12">
        <v>10</v>
      </c>
      <c r="F273" s="11" t="s">
        <v>26</v>
      </c>
      <c r="G273" s="11" t="str">
        <f t="shared" si="44"/>
        <v>Litres</v>
      </c>
      <c r="H273" s="13">
        <v>372</v>
      </c>
      <c r="I273" s="11" t="s">
        <v>19</v>
      </c>
      <c r="J273" s="12">
        <v>115760</v>
      </c>
      <c r="K273" s="12" t="str">
        <f t="shared" si="36"/>
        <v>Extreme</v>
      </c>
      <c r="L273" s="11" t="s">
        <v>20</v>
      </c>
      <c r="M273" s="14">
        <v>45798</v>
      </c>
      <c r="N273" s="14" t="str">
        <f t="shared" si="37"/>
        <v>21/05/2025</v>
      </c>
      <c r="O273" s="14" t="str">
        <f t="shared" si="38"/>
        <v>2025</v>
      </c>
      <c r="P273" s="11" t="s">
        <v>863</v>
      </c>
      <c r="Q273" s="11" t="s">
        <v>86</v>
      </c>
      <c r="R273" s="11">
        <v>15</v>
      </c>
      <c r="S273" s="11" t="str">
        <f t="shared" si="39"/>
        <v>13 - 16 yrs</v>
      </c>
      <c r="T273" s="12">
        <v>0</v>
      </c>
      <c r="U273" s="11" t="str">
        <f t="shared" si="40"/>
        <v>(0 - 50)</v>
      </c>
      <c r="V273" s="12">
        <f t="shared" si="41"/>
        <v>37.200000000000003</v>
      </c>
      <c r="W273" s="12">
        <f t="shared" si="42"/>
        <v>311.18279569892474</v>
      </c>
      <c r="X273" s="12">
        <f t="shared" si="43"/>
        <v>0</v>
      </c>
    </row>
    <row r="274" spans="1:24">
      <c r="A274" s="11">
        <v>273</v>
      </c>
      <c r="B274" s="11" t="s">
        <v>864</v>
      </c>
      <c r="C274" s="11" t="s">
        <v>39</v>
      </c>
      <c r="D274" s="11" t="s">
        <v>33</v>
      </c>
      <c r="E274" s="12">
        <v>84.8</v>
      </c>
      <c r="F274" s="11" t="s">
        <v>62</v>
      </c>
      <c r="G274" s="11" t="str">
        <f t="shared" si="44"/>
        <v>kWh</v>
      </c>
      <c r="H274" s="13">
        <v>468</v>
      </c>
      <c r="I274" s="11" t="s">
        <v>19</v>
      </c>
      <c r="J274" s="12">
        <v>35059</v>
      </c>
      <c r="K274" s="12" t="str">
        <f t="shared" si="36"/>
        <v>Low</v>
      </c>
      <c r="L274" s="11" t="s">
        <v>20</v>
      </c>
      <c r="M274" s="14">
        <v>45470</v>
      </c>
      <c r="N274" s="14" t="str">
        <f t="shared" si="37"/>
        <v>27/06/2024</v>
      </c>
      <c r="O274" s="14" t="str">
        <f t="shared" si="38"/>
        <v>2024</v>
      </c>
      <c r="P274" s="11" t="s">
        <v>866</v>
      </c>
      <c r="Q274" s="11" t="s">
        <v>117</v>
      </c>
      <c r="R274" s="11">
        <v>12</v>
      </c>
      <c r="S274" s="11" t="str">
        <f t="shared" si="39"/>
        <v>9 - 12 yrs</v>
      </c>
      <c r="T274" s="12">
        <v>292.3</v>
      </c>
      <c r="U274" s="11" t="str">
        <f t="shared" si="40"/>
        <v>(251 - 300)</v>
      </c>
      <c r="V274" s="12">
        <f t="shared" si="41"/>
        <v>5.5188679245283021</v>
      </c>
      <c r="W274" s="12">
        <f t="shared" si="42"/>
        <v>74.912393162393158</v>
      </c>
      <c r="X274" s="12">
        <f t="shared" si="43"/>
        <v>0.62457264957264957</v>
      </c>
    </row>
    <row r="275" spans="1:24">
      <c r="A275" s="11">
        <v>274</v>
      </c>
      <c r="B275" s="11" t="s">
        <v>867</v>
      </c>
      <c r="C275" s="11" t="s">
        <v>39</v>
      </c>
      <c r="D275" s="11" t="s">
        <v>114</v>
      </c>
      <c r="E275" s="12">
        <v>81.900000000000006</v>
      </c>
      <c r="F275" s="11" t="s">
        <v>62</v>
      </c>
      <c r="G275" s="11" t="str">
        <f t="shared" si="44"/>
        <v>kWh</v>
      </c>
      <c r="H275" s="13">
        <v>66</v>
      </c>
      <c r="I275" s="11" t="s">
        <v>19</v>
      </c>
      <c r="J275" s="12">
        <v>95935</v>
      </c>
      <c r="K275" s="12" t="str">
        <f t="shared" si="36"/>
        <v>Very High</v>
      </c>
      <c r="L275" s="11" t="s">
        <v>20</v>
      </c>
      <c r="M275" s="14">
        <v>45270</v>
      </c>
      <c r="N275" s="14" t="str">
        <f t="shared" si="37"/>
        <v>10/12/2023</v>
      </c>
      <c r="O275" s="14" t="str">
        <f t="shared" si="38"/>
        <v>2023</v>
      </c>
      <c r="P275" s="11" t="s">
        <v>869</v>
      </c>
      <c r="Q275" s="11" t="s">
        <v>2648</v>
      </c>
      <c r="R275" s="11">
        <v>18</v>
      </c>
      <c r="S275" s="11" t="str">
        <f t="shared" si="39"/>
        <v>17 + yrs</v>
      </c>
      <c r="T275" s="12">
        <v>228.6</v>
      </c>
      <c r="U275" s="11" t="str">
        <f t="shared" si="40"/>
        <v>(201 - 250)</v>
      </c>
      <c r="V275" s="12">
        <f t="shared" si="41"/>
        <v>0.80586080586080577</v>
      </c>
      <c r="W275" s="12">
        <f t="shared" si="42"/>
        <v>1453.560606060606</v>
      </c>
      <c r="X275" s="12">
        <f t="shared" si="43"/>
        <v>3.4636363636363634</v>
      </c>
    </row>
    <row r="276" spans="1:24">
      <c r="A276" s="11">
        <v>275</v>
      </c>
      <c r="B276" s="11" t="s">
        <v>870</v>
      </c>
      <c r="C276" s="11" t="s">
        <v>32</v>
      </c>
      <c r="D276" s="11" t="s">
        <v>61</v>
      </c>
      <c r="E276" s="12">
        <v>10</v>
      </c>
      <c r="F276" s="11" t="s">
        <v>2643</v>
      </c>
      <c r="G276" s="11" t="str">
        <f t="shared" si="44"/>
        <v>Litres</v>
      </c>
      <c r="H276" s="13">
        <v>351</v>
      </c>
      <c r="I276" s="11" t="s">
        <v>19</v>
      </c>
      <c r="J276" s="12">
        <v>110062</v>
      </c>
      <c r="K276" s="12" t="str">
        <f t="shared" si="36"/>
        <v>Extreme</v>
      </c>
      <c r="L276" s="11" t="s">
        <v>20</v>
      </c>
      <c r="M276" s="14">
        <v>45654</v>
      </c>
      <c r="N276" s="14" t="str">
        <f t="shared" si="37"/>
        <v>28/12/2024</v>
      </c>
      <c r="O276" s="14" t="str">
        <f t="shared" si="38"/>
        <v>2024</v>
      </c>
      <c r="P276" s="11" t="s">
        <v>872</v>
      </c>
      <c r="Q276" s="11" t="s">
        <v>441</v>
      </c>
      <c r="R276" s="11">
        <v>7</v>
      </c>
      <c r="S276" s="11" t="str">
        <f t="shared" si="39"/>
        <v>5 - 8 yrs</v>
      </c>
      <c r="T276" s="12">
        <v>0</v>
      </c>
      <c r="U276" s="11" t="str">
        <f t="shared" si="40"/>
        <v>(0 - 50)</v>
      </c>
      <c r="V276" s="12">
        <f t="shared" si="41"/>
        <v>35.1</v>
      </c>
      <c r="W276" s="12">
        <f t="shared" si="42"/>
        <v>313.56695156695156</v>
      </c>
      <c r="X276" s="12">
        <f t="shared" si="43"/>
        <v>0</v>
      </c>
    </row>
    <row r="277" spans="1:24">
      <c r="A277" s="11">
        <v>276</v>
      </c>
      <c r="B277" s="11" t="s">
        <v>873</v>
      </c>
      <c r="C277" s="11" t="s">
        <v>39</v>
      </c>
      <c r="D277" s="11" t="s">
        <v>17</v>
      </c>
      <c r="E277" s="12">
        <v>66.599999999999994</v>
      </c>
      <c r="F277" s="11" t="s">
        <v>26</v>
      </c>
      <c r="G277" s="11" t="str">
        <f t="shared" si="44"/>
        <v>Litres</v>
      </c>
      <c r="H277" s="13">
        <v>588</v>
      </c>
      <c r="I277" s="11" t="s">
        <v>19</v>
      </c>
      <c r="J277" s="12">
        <v>107448</v>
      </c>
      <c r="K277" s="12" t="str">
        <f t="shared" si="36"/>
        <v>Very High</v>
      </c>
      <c r="L277" s="11" t="s">
        <v>20</v>
      </c>
      <c r="M277" s="14">
        <v>45202</v>
      </c>
      <c r="N277" s="14" t="str">
        <f t="shared" si="37"/>
        <v>03/10/2023</v>
      </c>
      <c r="O277" s="14" t="str">
        <f t="shared" si="38"/>
        <v>2023</v>
      </c>
      <c r="P277" s="11" t="s">
        <v>875</v>
      </c>
      <c r="Q277" s="11" t="s">
        <v>112</v>
      </c>
      <c r="R277" s="11">
        <v>10</v>
      </c>
      <c r="S277" s="11" t="str">
        <f t="shared" si="39"/>
        <v>9 - 12 yrs</v>
      </c>
      <c r="T277" s="12">
        <v>163.69999999999999</v>
      </c>
      <c r="U277" s="11" t="str">
        <f t="shared" si="40"/>
        <v>(151 - 200)</v>
      </c>
      <c r="V277" s="12">
        <f t="shared" si="41"/>
        <v>8.8288288288288292</v>
      </c>
      <c r="W277" s="12">
        <f t="shared" si="42"/>
        <v>182.73469387755102</v>
      </c>
      <c r="X277" s="12">
        <f t="shared" si="43"/>
        <v>0.27840136054421766</v>
      </c>
    </row>
    <row r="278" spans="1:24">
      <c r="A278" s="11">
        <v>277</v>
      </c>
      <c r="B278" s="11" t="s">
        <v>2481</v>
      </c>
      <c r="C278" s="11" t="s">
        <v>50</v>
      </c>
      <c r="D278" s="11" t="s">
        <v>17</v>
      </c>
      <c r="E278" s="12">
        <v>30.5</v>
      </c>
      <c r="F278" s="11" t="s">
        <v>56</v>
      </c>
      <c r="G278" s="11" t="str">
        <f t="shared" si="44"/>
        <v>Litres</v>
      </c>
      <c r="H278" s="13">
        <v>204</v>
      </c>
      <c r="I278" s="11" t="s">
        <v>19</v>
      </c>
      <c r="J278" s="12">
        <v>67647</v>
      </c>
      <c r="K278" s="12" t="str">
        <f t="shared" si="36"/>
        <v>Moderate</v>
      </c>
      <c r="L278" s="11" t="s">
        <v>20</v>
      </c>
      <c r="M278" s="14">
        <v>45783</v>
      </c>
      <c r="N278" s="14" t="str">
        <f t="shared" si="37"/>
        <v>06/05/2025</v>
      </c>
      <c r="O278" s="14" t="str">
        <f t="shared" si="38"/>
        <v>2025</v>
      </c>
      <c r="P278" s="11" t="s">
        <v>878</v>
      </c>
      <c r="Q278" s="11" t="s">
        <v>86</v>
      </c>
      <c r="R278" s="11">
        <v>8</v>
      </c>
      <c r="S278" s="11" t="str">
        <f t="shared" si="39"/>
        <v>5 - 8 yrs</v>
      </c>
      <c r="T278" s="12">
        <v>91.3</v>
      </c>
      <c r="U278" s="11" t="str">
        <f t="shared" si="40"/>
        <v>(51 - 100)</v>
      </c>
      <c r="V278" s="12">
        <f t="shared" si="41"/>
        <v>6.6885245901639347</v>
      </c>
      <c r="W278" s="12">
        <f t="shared" si="42"/>
        <v>331.60294117647061</v>
      </c>
      <c r="X278" s="12">
        <f t="shared" si="43"/>
        <v>0.4475490196078431</v>
      </c>
    </row>
    <row r="279" spans="1:24">
      <c r="A279" s="11">
        <v>278</v>
      </c>
      <c r="B279" s="11" t="s">
        <v>879</v>
      </c>
      <c r="C279" s="11" t="s">
        <v>50</v>
      </c>
      <c r="D279" s="11" t="s">
        <v>17</v>
      </c>
      <c r="E279" s="12">
        <v>65.400000000000006</v>
      </c>
      <c r="F279" s="11" t="s">
        <v>56</v>
      </c>
      <c r="G279" s="11" t="str">
        <f t="shared" si="44"/>
        <v>Litres</v>
      </c>
      <c r="H279" s="13">
        <v>329</v>
      </c>
      <c r="I279" s="11" t="s">
        <v>19</v>
      </c>
      <c r="J279" s="12">
        <v>61566</v>
      </c>
      <c r="K279" s="12" t="str">
        <f t="shared" si="36"/>
        <v>Moderate</v>
      </c>
      <c r="L279" s="11" t="s">
        <v>20</v>
      </c>
      <c r="M279" s="14">
        <v>45597</v>
      </c>
      <c r="N279" s="14" t="str">
        <f t="shared" si="37"/>
        <v>01/11/2024</v>
      </c>
      <c r="O279" s="14" t="str">
        <f t="shared" si="38"/>
        <v>2024</v>
      </c>
      <c r="P279" s="11" t="s">
        <v>880</v>
      </c>
      <c r="Q279" s="11" t="s">
        <v>86</v>
      </c>
      <c r="R279" s="11">
        <v>11</v>
      </c>
      <c r="S279" s="11" t="str">
        <f t="shared" si="39"/>
        <v>9 - 12 yrs</v>
      </c>
      <c r="T279" s="12">
        <v>211.9</v>
      </c>
      <c r="U279" s="11" t="str">
        <f t="shared" si="40"/>
        <v>(201 - 250)</v>
      </c>
      <c r="V279" s="12">
        <f t="shared" si="41"/>
        <v>5.0305810397553516</v>
      </c>
      <c r="W279" s="12">
        <f t="shared" si="42"/>
        <v>187.13069908814589</v>
      </c>
      <c r="X279" s="12">
        <f t="shared" si="43"/>
        <v>0.64407294832826745</v>
      </c>
    </row>
    <row r="280" spans="1:24">
      <c r="A280" s="11">
        <v>279</v>
      </c>
      <c r="B280" s="11" t="s">
        <v>2482</v>
      </c>
      <c r="C280" s="11" t="s">
        <v>50</v>
      </c>
      <c r="D280" s="11" t="s">
        <v>17</v>
      </c>
      <c r="E280" s="12">
        <v>20.6</v>
      </c>
      <c r="F280" s="11" t="s">
        <v>2643</v>
      </c>
      <c r="G280" s="11" t="str">
        <f t="shared" si="44"/>
        <v>Litres</v>
      </c>
      <c r="H280" s="13">
        <v>260</v>
      </c>
      <c r="I280" s="11" t="s">
        <v>19</v>
      </c>
      <c r="J280" s="12">
        <v>119428</v>
      </c>
      <c r="K280" s="12" t="str">
        <f t="shared" si="36"/>
        <v>Extreme</v>
      </c>
      <c r="L280" s="11" t="s">
        <v>20</v>
      </c>
      <c r="M280" s="14">
        <v>45600</v>
      </c>
      <c r="N280" s="14" t="str">
        <f t="shared" si="37"/>
        <v>04/11/2024</v>
      </c>
      <c r="O280" s="14" t="str">
        <f t="shared" si="38"/>
        <v>2024</v>
      </c>
      <c r="P280" s="11" t="s">
        <v>883</v>
      </c>
      <c r="Q280" s="11" t="s">
        <v>54</v>
      </c>
      <c r="R280" s="11">
        <v>14</v>
      </c>
      <c r="S280" s="11" t="str">
        <f t="shared" si="39"/>
        <v>13 - 16 yrs</v>
      </c>
      <c r="T280" s="12">
        <v>47.4</v>
      </c>
      <c r="U280" s="11" t="str">
        <f t="shared" si="40"/>
        <v>(0 - 50)</v>
      </c>
      <c r="V280" s="12">
        <f t="shared" si="41"/>
        <v>12.621359223300971</v>
      </c>
      <c r="W280" s="12">
        <f t="shared" si="42"/>
        <v>459.33846153846156</v>
      </c>
      <c r="X280" s="12">
        <f t="shared" si="43"/>
        <v>0.18230769230769231</v>
      </c>
    </row>
    <row r="281" spans="1:24">
      <c r="A281" s="11">
        <v>280</v>
      </c>
      <c r="B281" s="11" t="s">
        <v>884</v>
      </c>
      <c r="C281" s="11" t="s">
        <v>50</v>
      </c>
      <c r="D281" s="11" t="s">
        <v>33</v>
      </c>
      <c r="E281" s="12">
        <v>40.299999999999997</v>
      </c>
      <c r="F281" s="11" t="s">
        <v>56</v>
      </c>
      <c r="G281" s="11" t="str">
        <f t="shared" si="44"/>
        <v>Litres</v>
      </c>
      <c r="H281" s="13">
        <v>228</v>
      </c>
      <c r="I281" s="11" t="s">
        <v>19</v>
      </c>
      <c r="J281" s="12">
        <v>69693</v>
      </c>
      <c r="K281" s="12" t="str">
        <f t="shared" si="36"/>
        <v>Moderate</v>
      </c>
      <c r="L281" s="11" t="s">
        <v>20</v>
      </c>
      <c r="M281" s="14">
        <v>45776</v>
      </c>
      <c r="N281" s="14" t="str">
        <f t="shared" si="37"/>
        <v>29/04/2025</v>
      </c>
      <c r="O281" s="14" t="str">
        <f t="shared" si="38"/>
        <v>2025</v>
      </c>
      <c r="P281" s="11" t="s">
        <v>885</v>
      </c>
      <c r="Q281" s="11" t="s">
        <v>2648</v>
      </c>
      <c r="R281" s="11">
        <v>9</v>
      </c>
      <c r="S281" s="11" t="str">
        <f t="shared" si="39"/>
        <v>9 - 12 yrs</v>
      </c>
      <c r="T281" s="12">
        <v>98.3</v>
      </c>
      <c r="U281" s="11" t="str">
        <f t="shared" si="40"/>
        <v>(51 - 100)</v>
      </c>
      <c r="V281" s="12">
        <f t="shared" si="41"/>
        <v>5.6575682382133996</v>
      </c>
      <c r="W281" s="12">
        <f t="shared" si="42"/>
        <v>305.67105263157896</v>
      </c>
      <c r="X281" s="12">
        <f t="shared" si="43"/>
        <v>0.43114035087719299</v>
      </c>
    </row>
    <row r="282" spans="1:24">
      <c r="A282" s="11">
        <v>281</v>
      </c>
      <c r="B282" s="11" t="s">
        <v>886</v>
      </c>
      <c r="C282" s="11" t="s">
        <v>39</v>
      </c>
      <c r="D282" s="11" t="s">
        <v>61</v>
      </c>
      <c r="E282" s="12">
        <v>10</v>
      </c>
      <c r="F282" s="11" t="s">
        <v>26</v>
      </c>
      <c r="G282" s="11" t="str">
        <f t="shared" si="44"/>
        <v>Litres</v>
      </c>
      <c r="H282" s="13">
        <v>593</v>
      </c>
      <c r="I282" s="11" t="s">
        <v>19</v>
      </c>
      <c r="J282" s="12">
        <v>16473</v>
      </c>
      <c r="K282" s="12" t="str">
        <f t="shared" si="36"/>
        <v>Very Low</v>
      </c>
      <c r="L282" s="11" t="s">
        <v>20</v>
      </c>
      <c r="M282" s="14">
        <v>45786</v>
      </c>
      <c r="N282" s="14" t="str">
        <f t="shared" si="37"/>
        <v>09/05/2025</v>
      </c>
      <c r="O282" s="14" t="str">
        <f t="shared" si="38"/>
        <v>2025</v>
      </c>
      <c r="P282" s="11" t="s">
        <v>888</v>
      </c>
      <c r="Q282" s="11" t="s">
        <v>86</v>
      </c>
      <c r="R282" s="11">
        <v>5</v>
      </c>
      <c r="S282" s="11" t="str">
        <f t="shared" si="39"/>
        <v>5 - 8 yrs</v>
      </c>
      <c r="T282" s="12">
        <v>0</v>
      </c>
      <c r="U282" s="11" t="str">
        <f t="shared" si="40"/>
        <v>(0 - 50)</v>
      </c>
      <c r="V282" s="12">
        <f t="shared" si="41"/>
        <v>59.3</v>
      </c>
      <c r="W282" s="12">
        <f t="shared" si="42"/>
        <v>27.779089376053964</v>
      </c>
      <c r="X282" s="12">
        <f t="shared" si="43"/>
        <v>0</v>
      </c>
    </row>
    <row r="283" spans="1:24">
      <c r="A283" s="11">
        <v>282</v>
      </c>
      <c r="B283" s="11" t="s">
        <v>889</v>
      </c>
      <c r="C283" s="11" t="s">
        <v>16</v>
      </c>
      <c r="D283" s="11" t="s">
        <v>33</v>
      </c>
      <c r="E283" s="12">
        <v>73.3</v>
      </c>
      <c r="F283" s="11" t="s">
        <v>26</v>
      </c>
      <c r="G283" s="11" t="str">
        <f t="shared" si="44"/>
        <v>Litres</v>
      </c>
      <c r="H283" s="13">
        <v>257</v>
      </c>
      <c r="I283" s="11" t="s">
        <v>19</v>
      </c>
      <c r="J283" s="12">
        <v>86622</v>
      </c>
      <c r="K283" s="12" t="str">
        <f t="shared" si="36"/>
        <v>High</v>
      </c>
      <c r="L283" s="11" t="s">
        <v>20</v>
      </c>
      <c r="M283" s="14">
        <v>45195</v>
      </c>
      <c r="N283" s="14" t="str">
        <f t="shared" si="37"/>
        <v>26/09/2023</v>
      </c>
      <c r="O283" s="14" t="str">
        <f t="shared" si="38"/>
        <v>2023</v>
      </c>
      <c r="P283" s="11" t="s">
        <v>890</v>
      </c>
      <c r="Q283" s="11" t="s">
        <v>48</v>
      </c>
      <c r="R283" s="11">
        <v>13</v>
      </c>
      <c r="S283" s="11" t="str">
        <f t="shared" si="39"/>
        <v>13 - 16 yrs</v>
      </c>
      <c r="T283" s="12">
        <v>231.7</v>
      </c>
      <c r="U283" s="11" t="str">
        <f t="shared" si="40"/>
        <v>(201 - 250)</v>
      </c>
      <c r="V283" s="12">
        <f t="shared" si="41"/>
        <v>3.5061391541609823</v>
      </c>
      <c r="W283" s="12">
        <f t="shared" si="42"/>
        <v>337.05058365758754</v>
      </c>
      <c r="X283" s="12">
        <f t="shared" si="43"/>
        <v>0.90155642023346294</v>
      </c>
    </row>
    <row r="284" spans="1:24">
      <c r="A284" s="11">
        <v>283</v>
      </c>
      <c r="B284" s="11" t="s">
        <v>891</v>
      </c>
      <c r="C284" s="11" t="s">
        <v>32</v>
      </c>
      <c r="D284" s="11" t="s">
        <v>17</v>
      </c>
      <c r="E284" s="12">
        <v>93.1</v>
      </c>
      <c r="F284" s="11" t="s">
        <v>56</v>
      </c>
      <c r="G284" s="11" t="str">
        <f t="shared" si="44"/>
        <v>Litres</v>
      </c>
      <c r="H284" s="13">
        <v>685</v>
      </c>
      <c r="I284" s="11" t="s">
        <v>19</v>
      </c>
      <c r="J284" s="12">
        <v>45149</v>
      </c>
      <c r="K284" s="12" t="str">
        <f t="shared" si="36"/>
        <v>Medium</v>
      </c>
      <c r="L284" s="11" t="s">
        <v>20</v>
      </c>
      <c r="M284" s="14">
        <v>45368</v>
      </c>
      <c r="N284" s="14" t="str">
        <f t="shared" si="37"/>
        <v>17/03/2024</v>
      </c>
      <c r="O284" s="14" t="str">
        <f t="shared" si="38"/>
        <v>2024</v>
      </c>
      <c r="P284" s="11" t="s">
        <v>893</v>
      </c>
      <c r="Q284" s="11" t="s">
        <v>86</v>
      </c>
      <c r="R284" s="11">
        <v>2</v>
      </c>
      <c r="S284" s="11" t="str">
        <f t="shared" si="39"/>
        <v>0 - 4 yrs</v>
      </c>
      <c r="T284" s="12">
        <v>299.89999999999998</v>
      </c>
      <c r="U284" s="11" t="str">
        <f t="shared" si="40"/>
        <v>(251 - 300)</v>
      </c>
      <c r="V284" s="12">
        <f t="shared" si="41"/>
        <v>7.3576799140708919</v>
      </c>
      <c r="W284" s="12">
        <f t="shared" si="42"/>
        <v>65.910948905109493</v>
      </c>
      <c r="X284" s="12">
        <f t="shared" si="43"/>
        <v>0.43781021897810218</v>
      </c>
    </row>
    <row r="285" spans="1:24">
      <c r="A285" s="11">
        <v>284</v>
      </c>
      <c r="B285" s="11" t="s">
        <v>894</v>
      </c>
      <c r="C285" s="11" t="s">
        <v>16</v>
      </c>
      <c r="D285" s="11" t="s">
        <v>114</v>
      </c>
      <c r="E285" s="12">
        <v>85.9</v>
      </c>
      <c r="F285" s="11" t="s">
        <v>2643</v>
      </c>
      <c r="G285" s="11" t="str">
        <f t="shared" si="44"/>
        <v>Litres</v>
      </c>
      <c r="H285" s="13">
        <v>461</v>
      </c>
      <c r="I285" s="11" t="s">
        <v>19</v>
      </c>
      <c r="J285" s="12">
        <v>8189</v>
      </c>
      <c r="K285" s="12" t="str">
        <f t="shared" si="36"/>
        <v>Very Low</v>
      </c>
      <c r="L285" s="11" t="s">
        <v>20</v>
      </c>
      <c r="M285" s="14">
        <v>45475</v>
      </c>
      <c r="N285" s="14" t="str">
        <f t="shared" si="37"/>
        <v>02/07/2024</v>
      </c>
      <c r="O285" s="14" t="str">
        <f t="shared" si="38"/>
        <v>2024</v>
      </c>
      <c r="P285" s="11" t="s">
        <v>896</v>
      </c>
      <c r="Q285" s="11" t="s">
        <v>112</v>
      </c>
      <c r="R285" s="11">
        <v>6</v>
      </c>
      <c r="S285" s="11" t="str">
        <f t="shared" si="39"/>
        <v>5 - 8 yrs</v>
      </c>
      <c r="T285" s="12">
        <v>180.7</v>
      </c>
      <c r="U285" s="11" t="str">
        <f t="shared" si="40"/>
        <v>(151 - 200)</v>
      </c>
      <c r="V285" s="12">
        <f t="shared" si="41"/>
        <v>5.366705471478463</v>
      </c>
      <c r="W285" s="12">
        <f t="shared" si="42"/>
        <v>17.76355748373102</v>
      </c>
      <c r="X285" s="12">
        <f t="shared" si="43"/>
        <v>0.39197396963123643</v>
      </c>
    </row>
    <row r="286" spans="1:24">
      <c r="A286" s="11">
        <v>285</v>
      </c>
      <c r="B286" s="11" t="s">
        <v>897</v>
      </c>
      <c r="C286" s="11" t="s">
        <v>16</v>
      </c>
      <c r="D286" s="11" t="s">
        <v>61</v>
      </c>
      <c r="E286" s="12">
        <v>10</v>
      </c>
      <c r="F286" s="11" t="s">
        <v>2643</v>
      </c>
      <c r="G286" s="11" t="str">
        <f t="shared" si="44"/>
        <v>Litres</v>
      </c>
      <c r="H286" s="13">
        <v>685</v>
      </c>
      <c r="I286" s="11" t="s">
        <v>19</v>
      </c>
      <c r="J286" s="12">
        <v>72722</v>
      </c>
      <c r="K286" s="12" t="str">
        <f t="shared" si="36"/>
        <v>High</v>
      </c>
      <c r="L286" s="11" t="s">
        <v>20</v>
      </c>
      <c r="M286" s="14">
        <v>45167</v>
      </c>
      <c r="N286" s="14" t="str">
        <f t="shared" si="37"/>
        <v>29/08/2023</v>
      </c>
      <c r="O286" s="14" t="str">
        <f t="shared" si="38"/>
        <v>2023</v>
      </c>
      <c r="P286" s="11" t="s">
        <v>899</v>
      </c>
      <c r="Q286" s="11" t="s">
        <v>2648</v>
      </c>
      <c r="R286" s="11">
        <v>19</v>
      </c>
      <c r="S286" s="11" t="str">
        <f t="shared" si="39"/>
        <v>17 + yrs</v>
      </c>
      <c r="T286" s="12">
        <v>0</v>
      </c>
      <c r="U286" s="11" t="str">
        <f t="shared" si="40"/>
        <v>(0 - 50)</v>
      </c>
      <c r="V286" s="12">
        <f t="shared" si="41"/>
        <v>68.5</v>
      </c>
      <c r="W286" s="12">
        <f t="shared" si="42"/>
        <v>106.16350364963503</v>
      </c>
      <c r="X286" s="12">
        <f t="shared" si="43"/>
        <v>0</v>
      </c>
    </row>
    <row r="287" spans="1:24">
      <c r="A287" s="11">
        <v>286</v>
      </c>
      <c r="B287" s="11" t="s">
        <v>900</v>
      </c>
      <c r="C287" s="11" t="s">
        <v>50</v>
      </c>
      <c r="D287" s="11" t="s">
        <v>114</v>
      </c>
      <c r="E287" s="12">
        <v>61.3</v>
      </c>
      <c r="F287" s="11" t="s">
        <v>41</v>
      </c>
      <c r="G287" s="11" t="str">
        <f t="shared" si="44"/>
        <v>Litres</v>
      </c>
      <c r="H287" s="13">
        <v>228</v>
      </c>
      <c r="I287" s="11" t="s">
        <v>19</v>
      </c>
      <c r="J287" s="12">
        <v>39643</v>
      </c>
      <c r="K287" s="12" t="str">
        <f t="shared" si="36"/>
        <v>Medium</v>
      </c>
      <c r="L287" s="11" t="s">
        <v>20</v>
      </c>
      <c r="M287" s="14">
        <v>45096</v>
      </c>
      <c r="N287" s="14" t="str">
        <f t="shared" si="37"/>
        <v>19/06/2023</v>
      </c>
      <c r="O287" s="14" t="str">
        <f t="shared" si="38"/>
        <v>2023</v>
      </c>
      <c r="P287" s="11" t="s">
        <v>502</v>
      </c>
      <c r="Q287" s="11" t="s">
        <v>441</v>
      </c>
      <c r="R287" s="11">
        <v>10</v>
      </c>
      <c r="S287" s="11" t="str">
        <f t="shared" si="39"/>
        <v>9 - 12 yrs</v>
      </c>
      <c r="T287" s="12">
        <v>197.1</v>
      </c>
      <c r="U287" s="11" t="str">
        <f t="shared" si="40"/>
        <v>(151 - 200)</v>
      </c>
      <c r="V287" s="12">
        <f t="shared" si="41"/>
        <v>3.7194127243066886</v>
      </c>
      <c r="W287" s="12">
        <f t="shared" si="42"/>
        <v>173.87280701754386</v>
      </c>
      <c r="X287" s="12">
        <f t="shared" si="43"/>
        <v>0.86447368421052628</v>
      </c>
    </row>
    <row r="288" spans="1:24">
      <c r="A288" s="11">
        <v>287</v>
      </c>
      <c r="B288" s="11" t="s">
        <v>902</v>
      </c>
      <c r="C288" s="11" t="s">
        <v>16</v>
      </c>
      <c r="D288" s="11" t="s">
        <v>17</v>
      </c>
      <c r="E288" s="12">
        <v>43.5</v>
      </c>
      <c r="F288" s="11" t="s">
        <v>62</v>
      </c>
      <c r="G288" s="11" t="str">
        <f t="shared" si="44"/>
        <v>kWh</v>
      </c>
      <c r="H288" s="13">
        <v>578</v>
      </c>
      <c r="I288" s="11" t="s">
        <v>19</v>
      </c>
      <c r="J288" s="12">
        <v>72717</v>
      </c>
      <c r="K288" s="12" t="str">
        <f t="shared" si="36"/>
        <v>High</v>
      </c>
      <c r="L288" s="11" t="s">
        <v>20</v>
      </c>
      <c r="M288" s="14">
        <v>45312</v>
      </c>
      <c r="N288" s="14" t="str">
        <f t="shared" si="37"/>
        <v>21/01/2024</v>
      </c>
      <c r="O288" s="14" t="str">
        <f t="shared" si="38"/>
        <v>2024</v>
      </c>
      <c r="P288" s="11" t="s">
        <v>904</v>
      </c>
      <c r="Q288" s="11" t="s">
        <v>441</v>
      </c>
      <c r="R288" s="11">
        <v>2</v>
      </c>
      <c r="S288" s="11" t="str">
        <f t="shared" si="39"/>
        <v>0 - 4 yrs</v>
      </c>
      <c r="T288" s="12">
        <v>96.4</v>
      </c>
      <c r="U288" s="11" t="str">
        <f t="shared" si="40"/>
        <v>(51 - 100)</v>
      </c>
      <c r="V288" s="12">
        <f t="shared" si="41"/>
        <v>13.287356321839081</v>
      </c>
      <c r="W288" s="12">
        <f t="shared" si="42"/>
        <v>125.80795847750865</v>
      </c>
      <c r="X288" s="12">
        <f t="shared" si="43"/>
        <v>0.16678200692041523</v>
      </c>
    </row>
    <row r="289" spans="1:24">
      <c r="A289" s="11">
        <v>288</v>
      </c>
      <c r="B289" s="11" t="s">
        <v>2466</v>
      </c>
      <c r="C289" s="11" t="s">
        <v>32</v>
      </c>
      <c r="D289" s="11" t="s">
        <v>61</v>
      </c>
      <c r="E289" s="12">
        <v>10</v>
      </c>
      <c r="F289" s="11" t="s">
        <v>2643</v>
      </c>
      <c r="G289" s="11" t="str">
        <f t="shared" si="44"/>
        <v>Litres</v>
      </c>
      <c r="H289" s="13">
        <v>619</v>
      </c>
      <c r="I289" s="11" t="s">
        <v>19</v>
      </c>
      <c r="J289" s="12">
        <v>104202</v>
      </c>
      <c r="K289" s="12" t="str">
        <f t="shared" si="36"/>
        <v>Very High</v>
      </c>
      <c r="L289" s="11" t="s">
        <v>20</v>
      </c>
      <c r="M289" s="14">
        <v>44997</v>
      </c>
      <c r="N289" s="14" t="str">
        <f t="shared" si="37"/>
        <v>12/03/2023</v>
      </c>
      <c r="O289" s="14" t="str">
        <f t="shared" si="38"/>
        <v>2023</v>
      </c>
      <c r="P289" s="11" t="s">
        <v>906</v>
      </c>
      <c r="Q289" s="11" t="s">
        <v>48</v>
      </c>
      <c r="R289" s="11">
        <v>19</v>
      </c>
      <c r="S289" s="11" t="str">
        <f t="shared" si="39"/>
        <v>17 + yrs</v>
      </c>
      <c r="T289" s="12">
        <v>0</v>
      </c>
      <c r="U289" s="11" t="str">
        <f t="shared" si="40"/>
        <v>(0 - 50)</v>
      </c>
      <c r="V289" s="12">
        <f t="shared" si="41"/>
        <v>61.9</v>
      </c>
      <c r="W289" s="12">
        <f t="shared" si="42"/>
        <v>168.33925686591277</v>
      </c>
      <c r="X289" s="12">
        <f t="shared" si="43"/>
        <v>0</v>
      </c>
    </row>
    <row r="290" spans="1:24">
      <c r="A290" s="11">
        <v>289</v>
      </c>
      <c r="B290" s="11" t="s">
        <v>760</v>
      </c>
      <c r="C290" s="11" t="s">
        <v>16</v>
      </c>
      <c r="D290" s="11" t="s">
        <v>61</v>
      </c>
      <c r="E290" s="12">
        <v>10</v>
      </c>
      <c r="F290" s="11" t="s">
        <v>56</v>
      </c>
      <c r="G290" s="11" t="str">
        <f t="shared" si="44"/>
        <v>Litres</v>
      </c>
      <c r="H290" s="13">
        <v>652</v>
      </c>
      <c r="I290" s="11" t="s">
        <v>19</v>
      </c>
      <c r="J290" s="12">
        <v>80432</v>
      </c>
      <c r="K290" s="12" t="str">
        <f t="shared" si="36"/>
        <v>High</v>
      </c>
      <c r="L290" s="11" t="s">
        <v>20</v>
      </c>
      <c r="M290" s="14">
        <v>45497</v>
      </c>
      <c r="N290" s="14" t="str">
        <f t="shared" si="37"/>
        <v>24/07/2024</v>
      </c>
      <c r="O290" s="14" t="str">
        <f t="shared" si="38"/>
        <v>2024</v>
      </c>
      <c r="P290" s="11" t="s">
        <v>908</v>
      </c>
      <c r="Q290" s="11" t="s">
        <v>2648</v>
      </c>
      <c r="R290" s="11">
        <v>14</v>
      </c>
      <c r="S290" s="11" t="str">
        <f t="shared" si="39"/>
        <v>13 - 16 yrs</v>
      </c>
      <c r="T290" s="12">
        <v>0</v>
      </c>
      <c r="U290" s="11" t="str">
        <f t="shared" si="40"/>
        <v>(0 - 50)</v>
      </c>
      <c r="V290" s="12">
        <f t="shared" si="41"/>
        <v>65.2</v>
      </c>
      <c r="W290" s="12">
        <f t="shared" si="42"/>
        <v>123.36196319018404</v>
      </c>
      <c r="X290" s="12">
        <f t="shared" si="43"/>
        <v>0</v>
      </c>
    </row>
    <row r="291" spans="1:24">
      <c r="A291" s="11">
        <v>290</v>
      </c>
      <c r="B291" s="11" t="s">
        <v>909</v>
      </c>
      <c r="C291" s="11" t="s">
        <v>32</v>
      </c>
      <c r="D291" s="11" t="s">
        <v>33</v>
      </c>
      <c r="E291" s="12">
        <v>92.1</v>
      </c>
      <c r="F291" s="11" t="s">
        <v>56</v>
      </c>
      <c r="G291" s="11" t="str">
        <f t="shared" si="44"/>
        <v>Litres</v>
      </c>
      <c r="H291" s="13">
        <v>303</v>
      </c>
      <c r="I291" s="11" t="s">
        <v>19</v>
      </c>
      <c r="J291" s="12">
        <v>32187</v>
      </c>
      <c r="K291" s="12" t="str">
        <f t="shared" si="36"/>
        <v>Low</v>
      </c>
      <c r="L291" s="11" t="s">
        <v>20</v>
      </c>
      <c r="M291" s="14">
        <v>45404</v>
      </c>
      <c r="N291" s="14" t="str">
        <f t="shared" si="37"/>
        <v>22/04/2024</v>
      </c>
      <c r="O291" s="14" t="str">
        <f t="shared" si="38"/>
        <v>2024</v>
      </c>
      <c r="P291" s="11" t="s">
        <v>773</v>
      </c>
      <c r="Q291" s="11" t="s">
        <v>69</v>
      </c>
      <c r="R291" s="11">
        <v>1</v>
      </c>
      <c r="S291" s="11" t="str">
        <f t="shared" si="39"/>
        <v>0 - 4 yrs</v>
      </c>
      <c r="T291" s="12">
        <v>245.6</v>
      </c>
      <c r="U291" s="11" t="str">
        <f t="shared" si="40"/>
        <v>(201 - 250)</v>
      </c>
      <c r="V291" s="12">
        <f t="shared" si="41"/>
        <v>3.2899022801302933</v>
      </c>
      <c r="W291" s="12">
        <f t="shared" si="42"/>
        <v>106.22772277227723</v>
      </c>
      <c r="X291" s="12">
        <f t="shared" si="43"/>
        <v>0.81056105610561058</v>
      </c>
    </row>
    <row r="292" spans="1:24">
      <c r="A292" s="11">
        <v>291</v>
      </c>
      <c r="B292" s="11" t="s">
        <v>911</v>
      </c>
      <c r="C292" s="11" t="s">
        <v>39</v>
      </c>
      <c r="D292" s="11" t="s">
        <v>61</v>
      </c>
      <c r="E292" s="12">
        <v>10</v>
      </c>
      <c r="F292" s="11" t="s">
        <v>2643</v>
      </c>
      <c r="G292" s="11" t="str">
        <f t="shared" si="44"/>
        <v>Litres</v>
      </c>
      <c r="H292" s="13">
        <v>649</v>
      </c>
      <c r="I292" s="11" t="s">
        <v>19</v>
      </c>
      <c r="J292" s="12">
        <v>40086</v>
      </c>
      <c r="K292" s="12" t="str">
        <f t="shared" si="36"/>
        <v>Medium</v>
      </c>
      <c r="L292" s="11" t="s">
        <v>20</v>
      </c>
      <c r="M292" s="14">
        <v>45681</v>
      </c>
      <c r="N292" s="14" t="str">
        <f t="shared" si="37"/>
        <v>24/01/2025</v>
      </c>
      <c r="O292" s="14" t="str">
        <f t="shared" si="38"/>
        <v>2025</v>
      </c>
      <c r="P292" s="11" t="s">
        <v>695</v>
      </c>
      <c r="Q292" s="11" t="s">
        <v>86</v>
      </c>
      <c r="R292" s="11">
        <v>18</v>
      </c>
      <c r="S292" s="11" t="str">
        <f t="shared" si="39"/>
        <v>17 + yrs</v>
      </c>
      <c r="T292" s="12">
        <v>0</v>
      </c>
      <c r="U292" s="11" t="str">
        <f t="shared" si="40"/>
        <v>(0 - 50)</v>
      </c>
      <c r="V292" s="12">
        <f t="shared" si="41"/>
        <v>64.900000000000006</v>
      </c>
      <c r="W292" s="12">
        <f t="shared" si="42"/>
        <v>61.765793528505391</v>
      </c>
      <c r="X292" s="12">
        <f t="shared" si="43"/>
        <v>0</v>
      </c>
    </row>
    <row r="293" spans="1:24">
      <c r="A293" s="11">
        <v>292</v>
      </c>
      <c r="B293" s="11" t="s">
        <v>913</v>
      </c>
      <c r="C293" s="11" t="s">
        <v>16</v>
      </c>
      <c r="D293" s="11" t="s">
        <v>61</v>
      </c>
      <c r="E293" s="12">
        <v>10</v>
      </c>
      <c r="F293" s="11" t="s">
        <v>26</v>
      </c>
      <c r="G293" s="11" t="str">
        <f t="shared" si="44"/>
        <v>Litres</v>
      </c>
      <c r="H293" s="13">
        <v>210</v>
      </c>
      <c r="I293" s="11" t="s">
        <v>19</v>
      </c>
      <c r="J293" s="12">
        <v>21605</v>
      </c>
      <c r="K293" s="12" t="str">
        <f t="shared" si="36"/>
        <v>Low</v>
      </c>
      <c r="L293" s="11" t="s">
        <v>20</v>
      </c>
      <c r="M293" s="14">
        <v>45419</v>
      </c>
      <c r="N293" s="14" t="str">
        <f t="shared" si="37"/>
        <v>07/05/2024</v>
      </c>
      <c r="O293" s="14" t="str">
        <f t="shared" si="38"/>
        <v>2024</v>
      </c>
      <c r="P293" s="11" t="s">
        <v>915</v>
      </c>
      <c r="Q293" s="11" t="s">
        <v>86</v>
      </c>
      <c r="R293" s="11">
        <v>20</v>
      </c>
      <c r="S293" s="11" t="str">
        <f t="shared" si="39"/>
        <v>17 + yrs</v>
      </c>
      <c r="T293" s="12">
        <v>0</v>
      </c>
      <c r="U293" s="11" t="str">
        <f t="shared" si="40"/>
        <v>(0 - 50)</v>
      </c>
      <c r="V293" s="12">
        <f t="shared" si="41"/>
        <v>21</v>
      </c>
      <c r="W293" s="12">
        <f t="shared" si="42"/>
        <v>102.88095238095238</v>
      </c>
      <c r="X293" s="12">
        <f t="shared" si="43"/>
        <v>0</v>
      </c>
    </row>
    <row r="294" spans="1:24">
      <c r="A294" s="11">
        <v>293</v>
      </c>
      <c r="B294" s="11" t="s">
        <v>916</v>
      </c>
      <c r="C294" s="11" t="s">
        <v>32</v>
      </c>
      <c r="D294" s="11" t="s">
        <v>114</v>
      </c>
      <c r="E294" s="12">
        <v>19.3</v>
      </c>
      <c r="F294" s="11" t="s">
        <v>62</v>
      </c>
      <c r="G294" s="11" t="str">
        <f t="shared" si="44"/>
        <v>kWh</v>
      </c>
      <c r="H294" s="13">
        <v>495</v>
      </c>
      <c r="I294" s="11" t="s">
        <v>19</v>
      </c>
      <c r="J294" s="12">
        <v>34458</v>
      </c>
      <c r="K294" s="12" t="str">
        <f t="shared" ref="K294:K357" si="45">IF(J294&lt;18000,"Very Low",IF(J294&lt;36000,"Low",IF(J294&lt;54000,"Medium",IF(J294&lt;72000,"Moderate",IF(J294&lt;90000,"High",IF(J294&lt;108000,"Very High","Extreme"))))))</f>
        <v>Low</v>
      </c>
      <c r="L294" s="11" t="s">
        <v>20</v>
      </c>
      <c r="M294" s="14">
        <v>45797</v>
      </c>
      <c r="N294" s="14" t="str">
        <f t="shared" ref="N294:N357" si="46">TEXT(M294,"dd/mm/yyyy")</f>
        <v>20/05/2025</v>
      </c>
      <c r="O294" s="14" t="str">
        <f t="shared" ref="O294:O357" si="47">TEXT(M294,"yyyy")</f>
        <v>2025</v>
      </c>
      <c r="P294" s="11" t="s">
        <v>918</v>
      </c>
      <c r="Q294" s="11" t="s">
        <v>48</v>
      </c>
      <c r="R294" s="11">
        <v>8</v>
      </c>
      <c r="S294" s="11" t="str">
        <f t="shared" ref="S294:S357" si="48">IF(R294&lt;=4,"0 - 4 yrs",IF(R294&lt;=8,"5 - 8 yrs",IF(R294&lt;=12,"9 - 12 yrs",IF(R294&lt;=16,"13 - 16 yrs","17 + yrs"))))</f>
        <v>5 - 8 yrs</v>
      </c>
      <c r="T294" s="12">
        <v>50</v>
      </c>
      <c r="U294" s="11" t="str">
        <f t="shared" ref="U294:U357" si="49">IF(T294&lt;=50,"(0 - 50)",IF(T294&lt;=100,"(51 - 100)",IF(T294&lt;=150,"(101 - 150)",IF(T294&lt;=200,"(151 - 200)",IF(T294&lt;=250,"(201 - 250)",IF(T294&lt;=300,"(251 - 300)","(301 - 350)"))))))</f>
        <v>(0 - 50)</v>
      </c>
      <c r="V294" s="12">
        <f t="shared" ref="V294:V357" si="50">H294/E294</f>
        <v>25.647668393782382</v>
      </c>
      <c r="W294" s="12">
        <f t="shared" ref="W294:W357" si="51">J294/H294</f>
        <v>69.61212121212121</v>
      </c>
      <c r="X294" s="12">
        <f t="shared" ref="X294:X357" si="52">T294/H294</f>
        <v>0.10101010101010101</v>
      </c>
    </row>
    <row r="295" spans="1:24">
      <c r="A295" s="11">
        <v>294</v>
      </c>
      <c r="B295" s="11" t="s">
        <v>861</v>
      </c>
      <c r="C295" s="11" t="s">
        <v>50</v>
      </c>
      <c r="D295" s="11" t="s">
        <v>33</v>
      </c>
      <c r="E295" s="12">
        <v>83.8</v>
      </c>
      <c r="F295" s="11" t="s">
        <v>2643</v>
      </c>
      <c r="G295" s="11" t="str">
        <f t="shared" si="44"/>
        <v>Litres</v>
      </c>
      <c r="H295" s="13">
        <v>389</v>
      </c>
      <c r="I295" s="11" t="s">
        <v>19</v>
      </c>
      <c r="J295" s="12">
        <v>117511</v>
      </c>
      <c r="K295" s="12" t="str">
        <f t="shared" si="45"/>
        <v>Extreme</v>
      </c>
      <c r="L295" s="11" t="s">
        <v>20</v>
      </c>
      <c r="M295" s="14">
        <v>45088</v>
      </c>
      <c r="N295" s="14" t="str">
        <f t="shared" si="46"/>
        <v>11/06/2023</v>
      </c>
      <c r="O295" s="14" t="str">
        <f t="shared" si="47"/>
        <v>2023</v>
      </c>
      <c r="P295" s="11" t="s">
        <v>670</v>
      </c>
      <c r="Q295" s="11" t="s">
        <v>117</v>
      </c>
      <c r="R295" s="11">
        <v>11</v>
      </c>
      <c r="S295" s="11" t="str">
        <f t="shared" si="48"/>
        <v>9 - 12 yrs</v>
      </c>
      <c r="T295" s="12">
        <v>241.4</v>
      </c>
      <c r="U295" s="11" t="str">
        <f t="shared" si="49"/>
        <v>(201 - 250)</v>
      </c>
      <c r="V295" s="12">
        <f t="shared" si="50"/>
        <v>4.6420047732696901</v>
      </c>
      <c r="W295" s="12">
        <f t="shared" si="51"/>
        <v>302.08483290488431</v>
      </c>
      <c r="X295" s="12">
        <f t="shared" si="52"/>
        <v>0.62056555269922886</v>
      </c>
    </row>
    <row r="296" spans="1:24">
      <c r="A296" s="11">
        <v>295</v>
      </c>
      <c r="B296" s="11" t="s">
        <v>920</v>
      </c>
      <c r="C296" s="11" t="s">
        <v>32</v>
      </c>
      <c r="D296" s="11" t="s">
        <v>17</v>
      </c>
      <c r="E296" s="12">
        <v>25.1</v>
      </c>
      <c r="F296" s="11" t="s">
        <v>2643</v>
      </c>
      <c r="G296" s="11" t="str">
        <f t="shared" si="44"/>
        <v>Litres</v>
      </c>
      <c r="H296" s="13">
        <v>689</v>
      </c>
      <c r="I296" s="11" t="s">
        <v>19</v>
      </c>
      <c r="J296" s="12">
        <v>104292</v>
      </c>
      <c r="K296" s="12" t="str">
        <f t="shared" si="45"/>
        <v>Very High</v>
      </c>
      <c r="L296" s="11" t="s">
        <v>20</v>
      </c>
      <c r="M296" s="14">
        <v>45428</v>
      </c>
      <c r="N296" s="14" t="str">
        <f t="shared" si="46"/>
        <v>16/05/2024</v>
      </c>
      <c r="O296" s="14" t="str">
        <f t="shared" si="47"/>
        <v>2024</v>
      </c>
      <c r="P296" s="11" t="s">
        <v>875</v>
      </c>
      <c r="Q296" s="11" t="s">
        <v>112</v>
      </c>
      <c r="R296" s="11">
        <v>18</v>
      </c>
      <c r="S296" s="11" t="str">
        <f t="shared" si="48"/>
        <v>17 + yrs</v>
      </c>
      <c r="T296" s="12">
        <v>51.4</v>
      </c>
      <c r="U296" s="11" t="str">
        <f t="shared" si="49"/>
        <v>(51 - 100)</v>
      </c>
      <c r="V296" s="12">
        <f t="shared" si="50"/>
        <v>27.45019920318725</v>
      </c>
      <c r="W296" s="12">
        <f t="shared" si="51"/>
        <v>151.36719883889694</v>
      </c>
      <c r="X296" s="12">
        <f t="shared" si="52"/>
        <v>7.460087082728592E-2</v>
      </c>
    </row>
    <row r="297" spans="1:24">
      <c r="A297" s="11">
        <v>296</v>
      </c>
      <c r="B297" s="11" t="s">
        <v>922</v>
      </c>
      <c r="C297" s="11" t="s">
        <v>50</v>
      </c>
      <c r="D297" s="11" t="s">
        <v>114</v>
      </c>
      <c r="E297" s="12">
        <v>97</v>
      </c>
      <c r="F297" s="11" t="s">
        <v>2643</v>
      </c>
      <c r="G297" s="11" t="str">
        <f t="shared" si="44"/>
        <v>Litres</v>
      </c>
      <c r="H297" s="13">
        <v>260</v>
      </c>
      <c r="I297" s="11" t="s">
        <v>19</v>
      </c>
      <c r="J297" s="12">
        <v>79880</v>
      </c>
      <c r="K297" s="12" t="str">
        <f t="shared" si="45"/>
        <v>High</v>
      </c>
      <c r="L297" s="11" t="s">
        <v>20</v>
      </c>
      <c r="M297" s="14">
        <v>45369</v>
      </c>
      <c r="N297" s="14" t="str">
        <f t="shared" si="46"/>
        <v>18/03/2024</v>
      </c>
      <c r="O297" s="14" t="str">
        <f t="shared" si="47"/>
        <v>2024</v>
      </c>
      <c r="P297" s="11" t="s">
        <v>924</v>
      </c>
      <c r="Q297" s="11" t="s">
        <v>54</v>
      </c>
      <c r="R297" s="11">
        <v>16</v>
      </c>
      <c r="S297" s="11" t="str">
        <f t="shared" si="48"/>
        <v>13 - 16 yrs</v>
      </c>
      <c r="T297" s="12">
        <v>272.10000000000002</v>
      </c>
      <c r="U297" s="11" t="str">
        <f t="shared" si="49"/>
        <v>(251 - 300)</v>
      </c>
      <c r="V297" s="12">
        <f t="shared" si="50"/>
        <v>2.6804123711340204</v>
      </c>
      <c r="W297" s="12">
        <f t="shared" si="51"/>
        <v>307.23076923076923</v>
      </c>
      <c r="X297" s="12">
        <f t="shared" si="52"/>
        <v>1.0465384615384616</v>
      </c>
    </row>
    <row r="298" spans="1:24">
      <c r="A298" s="11">
        <v>297</v>
      </c>
      <c r="B298" s="11" t="s">
        <v>2483</v>
      </c>
      <c r="C298" s="11" t="s">
        <v>32</v>
      </c>
      <c r="D298" s="11" t="s">
        <v>33</v>
      </c>
      <c r="E298" s="12">
        <v>69.900000000000006</v>
      </c>
      <c r="F298" s="11" t="s">
        <v>56</v>
      </c>
      <c r="G298" s="11" t="str">
        <f t="shared" si="44"/>
        <v>Litres</v>
      </c>
      <c r="H298" s="13">
        <v>45</v>
      </c>
      <c r="I298" s="11" t="s">
        <v>19</v>
      </c>
      <c r="J298" s="12">
        <v>65896</v>
      </c>
      <c r="K298" s="12" t="str">
        <f t="shared" si="45"/>
        <v>Moderate</v>
      </c>
      <c r="L298" s="11" t="s">
        <v>20</v>
      </c>
      <c r="M298" s="14">
        <v>45481</v>
      </c>
      <c r="N298" s="14" t="str">
        <f t="shared" si="46"/>
        <v>08/07/2024</v>
      </c>
      <c r="O298" s="14" t="str">
        <f t="shared" si="47"/>
        <v>2024</v>
      </c>
      <c r="P298" s="11" t="s">
        <v>657</v>
      </c>
      <c r="Q298" s="11" t="s">
        <v>86</v>
      </c>
      <c r="R298" s="11">
        <v>11</v>
      </c>
      <c r="S298" s="11" t="str">
        <f t="shared" si="48"/>
        <v>9 - 12 yrs</v>
      </c>
      <c r="T298" s="12">
        <v>240</v>
      </c>
      <c r="U298" s="11" t="str">
        <f t="shared" si="49"/>
        <v>(201 - 250)</v>
      </c>
      <c r="V298" s="12">
        <f t="shared" si="50"/>
        <v>0.64377682403433467</v>
      </c>
      <c r="W298" s="12">
        <f t="shared" si="51"/>
        <v>1464.3555555555556</v>
      </c>
      <c r="X298" s="12">
        <f t="shared" si="52"/>
        <v>5.333333333333333</v>
      </c>
    </row>
    <row r="299" spans="1:24">
      <c r="A299" s="11">
        <v>298</v>
      </c>
      <c r="B299" s="11" t="s">
        <v>926</v>
      </c>
      <c r="C299" s="11" t="s">
        <v>39</v>
      </c>
      <c r="D299" s="11" t="s">
        <v>33</v>
      </c>
      <c r="E299" s="12">
        <v>70.8</v>
      </c>
      <c r="F299" s="11" t="s">
        <v>2643</v>
      </c>
      <c r="G299" s="11" t="str">
        <f t="shared" si="44"/>
        <v>Litres</v>
      </c>
      <c r="H299" s="13">
        <v>220</v>
      </c>
      <c r="I299" s="11" t="s">
        <v>19</v>
      </c>
      <c r="J299" s="12">
        <v>83480</v>
      </c>
      <c r="K299" s="12" t="str">
        <f t="shared" si="45"/>
        <v>High</v>
      </c>
      <c r="L299" s="11" t="s">
        <v>20</v>
      </c>
      <c r="M299" s="14">
        <v>45641</v>
      </c>
      <c r="N299" s="14" t="str">
        <f t="shared" si="46"/>
        <v>15/12/2024</v>
      </c>
      <c r="O299" s="14" t="str">
        <f t="shared" si="47"/>
        <v>2024</v>
      </c>
      <c r="P299" s="11" t="s">
        <v>928</v>
      </c>
      <c r="Q299" s="11" t="s">
        <v>121</v>
      </c>
      <c r="R299" s="11">
        <v>18</v>
      </c>
      <c r="S299" s="11" t="str">
        <f t="shared" si="48"/>
        <v>17 + yrs</v>
      </c>
      <c r="T299" s="12">
        <v>216.1</v>
      </c>
      <c r="U299" s="11" t="str">
        <f t="shared" si="49"/>
        <v>(201 - 250)</v>
      </c>
      <c r="V299" s="12">
        <f t="shared" si="50"/>
        <v>3.1073446327683616</v>
      </c>
      <c r="W299" s="12">
        <f t="shared" si="51"/>
        <v>379.45454545454544</v>
      </c>
      <c r="X299" s="12">
        <f t="shared" si="52"/>
        <v>0.9822727272727273</v>
      </c>
    </row>
    <row r="300" spans="1:24">
      <c r="A300" s="11">
        <v>299</v>
      </c>
      <c r="B300" s="11" t="s">
        <v>598</v>
      </c>
      <c r="C300" s="11" t="s">
        <v>39</v>
      </c>
      <c r="D300" s="11" t="s">
        <v>17</v>
      </c>
      <c r="E300" s="12">
        <v>77.2</v>
      </c>
      <c r="F300" s="11" t="s">
        <v>56</v>
      </c>
      <c r="G300" s="11" t="str">
        <f t="shared" si="44"/>
        <v>Litres</v>
      </c>
      <c r="H300" s="13">
        <v>361</v>
      </c>
      <c r="I300" s="11" t="s">
        <v>19</v>
      </c>
      <c r="J300" s="12">
        <v>57815</v>
      </c>
      <c r="K300" s="12" t="str">
        <f t="shared" si="45"/>
        <v>Moderate</v>
      </c>
      <c r="L300" s="11" t="s">
        <v>20</v>
      </c>
      <c r="M300" s="14">
        <v>45196</v>
      </c>
      <c r="N300" s="14" t="str">
        <f t="shared" si="46"/>
        <v>27/09/2023</v>
      </c>
      <c r="O300" s="14" t="str">
        <f t="shared" si="47"/>
        <v>2023</v>
      </c>
      <c r="P300" s="11" t="s">
        <v>930</v>
      </c>
      <c r="Q300" s="11" t="s">
        <v>59</v>
      </c>
      <c r="R300" s="11">
        <v>11</v>
      </c>
      <c r="S300" s="11" t="str">
        <f t="shared" si="48"/>
        <v>9 - 12 yrs</v>
      </c>
      <c r="T300" s="12">
        <v>234.7</v>
      </c>
      <c r="U300" s="11" t="str">
        <f t="shared" si="49"/>
        <v>(201 - 250)</v>
      </c>
      <c r="V300" s="12">
        <f t="shared" si="50"/>
        <v>4.676165803108808</v>
      </c>
      <c r="W300" s="12">
        <f t="shared" si="51"/>
        <v>160.15235457063713</v>
      </c>
      <c r="X300" s="12">
        <f t="shared" si="52"/>
        <v>0.65013850415512464</v>
      </c>
    </row>
    <row r="301" spans="1:24">
      <c r="A301" s="11">
        <v>300</v>
      </c>
      <c r="B301" s="11" t="s">
        <v>931</v>
      </c>
      <c r="C301" s="11" t="s">
        <v>50</v>
      </c>
      <c r="D301" s="11" t="s">
        <v>17</v>
      </c>
      <c r="E301" s="12">
        <v>44.7</v>
      </c>
      <c r="F301" s="11" t="s">
        <v>2643</v>
      </c>
      <c r="G301" s="11" t="str">
        <f t="shared" si="44"/>
        <v>Litres</v>
      </c>
      <c r="H301" s="13">
        <v>355</v>
      </c>
      <c r="I301" s="11" t="s">
        <v>19</v>
      </c>
      <c r="J301" s="12">
        <v>17399</v>
      </c>
      <c r="K301" s="12" t="str">
        <f t="shared" si="45"/>
        <v>Very Low</v>
      </c>
      <c r="L301" s="11" t="s">
        <v>20</v>
      </c>
      <c r="M301" s="14">
        <v>45758</v>
      </c>
      <c r="N301" s="14" t="str">
        <f t="shared" si="46"/>
        <v>11/04/2025</v>
      </c>
      <c r="O301" s="14" t="str">
        <f t="shared" si="47"/>
        <v>2025</v>
      </c>
      <c r="P301" s="11" t="s">
        <v>933</v>
      </c>
      <c r="Q301" s="11" t="s">
        <v>112</v>
      </c>
      <c r="R301" s="11">
        <v>14</v>
      </c>
      <c r="S301" s="11" t="str">
        <f t="shared" si="48"/>
        <v>13 - 16 yrs</v>
      </c>
      <c r="T301" s="12">
        <v>108.3</v>
      </c>
      <c r="U301" s="11" t="str">
        <f t="shared" si="49"/>
        <v>(101 - 150)</v>
      </c>
      <c r="V301" s="12">
        <f t="shared" si="50"/>
        <v>7.9418344519015651</v>
      </c>
      <c r="W301" s="12">
        <f t="shared" si="51"/>
        <v>49.011267605633805</v>
      </c>
      <c r="X301" s="12">
        <f t="shared" si="52"/>
        <v>0.30507042253521127</v>
      </c>
    </row>
    <row r="302" spans="1:24">
      <c r="A302" s="11">
        <v>301</v>
      </c>
      <c r="B302" s="11" t="s">
        <v>934</v>
      </c>
      <c r="C302" s="11" t="s">
        <v>32</v>
      </c>
      <c r="D302" s="11" t="s">
        <v>33</v>
      </c>
      <c r="E302" s="12">
        <v>55.7</v>
      </c>
      <c r="F302" s="11" t="s">
        <v>41</v>
      </c>
      <c r="G302" s="11" t="str">
        <f t="shared" si="44"/>
        <v>Litres</v>
      </c>
      <c r="H302" s="13">
        <v>196</v>
      </c>
      <c r="I302" s="11" t="s">
        <v>19</v>
      </c>
      <c r="J302" s="12">
        <v>24626</v>
      </c>
      <c r="K302" s="12" t="str">
        <f t="shared" si="45"/>
        <v>Low</v>
      </c>
      <c r="L302" s="11" t="s">
        <v>20</v>
      </c>
      <c r="M302" s="14">
        <v>45475</v>
      </c>
      <c r="N302" s="14" t="str">
        <f t="shared" si="46"/>
        <v>02/07/2024</v>
      </c>
      <c r="O302" s="14" t="str">
        <f t="shared" si="47"/>
        <v>2024</v>
      </c>
      <c r="P302" s="11" t="s">
        <v>791</v>
      </c>
      <c r="Q302" s="11" t="s">
        <v>59</v>
      </c>
      <c r="R302" s="11">
        <v>5</v>
      </c>
      <c r="S302" s="11" t="str">
        <f t="shared" si="48"/>
        <v>5 - 8 yrs</v>
      </c>
      <c r="T302" s="12">
        <v>166.1</v>
      </c>
      <c r="U302" s="11" t="str">
        <f t="shared" si="49"/>
        <v>(151 - 200)</v>
      </c>
      <c r="V302" s="12">
        <f t="shared" si="50"/>
        <v>3.5188509874326748</v>
      </c>
      <c r="W302" s="12">
        <f t="shared" si="51"/>
        <v>125.64285714285714</v>
      </c>
      <c r="X302" s="12">
        <f t="shared" si="52"/>
        <v>0.84744897959183674</v>
      </c>
    </row>
    <row r="303" spans="1:24">
      <c r="A303" s="11">
        <v>302</v>
      </c>
      <c r="B303" s="11" t="s">
        <v>935</v>
      </c>
      <c r="C303" s="11" t="s">
        <v>16</v>
      </c>
      <c r="D303" s="11" t="s">
        <v>33</v>
      </c>
      <c r="E303" s="12">
        <v>24.2</v>
      </c>
      <c r="F303" s="11" t="s">
        <v>2643</v>
      </c>
      <c r="G303" s="11" t="str">
        <f t="shared" si="44"/>
        <v>Litres</v>
      </c>
      <c r="H303" s="13">
        <v>84</v>
      </c>
      <c r="I303" s="11" t="s">
        <v>19</v>
      </c>
      <c r="J303" s="12">
        <v>59600</v>
      </c>
      <c r="K303" s="12" t="str">
        <f t="shared" si="45"/>
        <v>Moderate</v>
      </c>
      <c r="L303" s="11" t="s">
        <v>20</v>
      </c>
      <c r="M303" s="14">
        <v>44949</v>
      </c>
      <c r="N303" s="14" t="str">
        <f t="shared" si="46"/>
        <v>23/01/2023</v>
      </c>
      <c r="O303" s="14" t="str">
        <f t="shared" si="47"/>
        <v>2023</v>
      </c>
      <c r="P303" s="11" t="s">
        <v>595</v>
      </c>
      <c r="Q303" s="11" t="s">
        <v>2648</v>
      </c>
      <c r="R303" s="11">
        <v>12</v>
      </c>
      <c r="S303" s="11" t="str">
        <f t="shared" si="48"/>
        <v>9 - 12 yrs</v>
      </c>
      <c r="T303" s="12">
        <v>67.2</v>
      </c>
      <c r="U303" s="11" t="str">
        <f t="shared" si="49"/>
        <v>(51 - 100)</v>
      </c>
      <c r="V303" s="12">
        <f t="shared" si="50"/>
        <v>3.4710743801652892</v>
      </c>
      <c r="W303" s="12">
        <f t="shared" si="51"/>
        <v>709.52380952380952</v>
      </c>
      <c r="X303" s="12">
        <f t="shared" si="52"/>
        <v>0.8</v>
      </c>
    </row>
    <row r="304" spans="1:24">
      <c r="A304" s="11">
        <v>303</v>
      </c>
      <c r="B304" s="11" t="s">
        <v>937</v>
      </c>
      <c r="C304" s="11" t="s">
        <v>32</v>
      </c>
      <c r="D304" s="11" t="s">
        <v>114</v>
      </c>
      <c r="E304" s="12">
        <v>94</v>
      </c>
      <c r="F304" s="11" t="s">
        <v>26</v>
      </c>
      <c r="G304" s="11" t="str">
        <f t="shared" si="44"/>
        <v>Litres</v>
      </c>
      <c r="H304" s="13">
        <v>27</v>
      </c>
      <c r="I304" s="11" t="s">
        <v>19</v>
      </c>
      <c r="J304" s="12">
        <v>57290</v>
      </c>
      <c r="K304" s="12" t="str">
        <f t="shared" si="45"/>
        <v>Moderate</v>
      </c>
      <c r="L304" s="11" t="s">
        <v>20</v>
      </c>
      <c r="M304" s="14">
        <v>45747</v>
      </c>
      <c r="N304" s="14" t="str">
        <f t="shared" si="46"/>
        <v>31/03/2025</v>
      </c>
      <c r="O304" s="14" t="str">
        <f t="shared" si="47"/>
        <v>2025</v>
      </c>
      <c r="P304" s="11" t="s">
        <v>612</v>
      </c>
      <c r="Q304" s="11" t="s">
        <v>441</v>
      </c>
      <c r="R304" s="11">
        <v>2</v>
      </c>
      <c r="S304" s="11" t="str">
        <f t="shared" si="48"/>
        <v>0 - 4 yrs</v>
      </c>
      <c r="T304" s="12">
        <v>308.2</v>
      </c>
      <c r="U304" s="11" t="str">
        <f t="shared" si="49"/>
        <v>(301 - 350)</v>
      </c>
      <c r="V304" s="12">
        <f t="shared" si="50"/>
        <v>0.28723404255319152</v>
      </c>
      <c r="W304" s="12">
        <f t="shared" si="51"/>
        <v>2121.8518518518517</v>
      </c>
      <c r="X304" s="12">
        <f t="shared" si="52"/>
        <v>11.414814814814815</v>
      </c>
    </row>
    <row r="305" spans="1:24">
      <c r="A305" s="11">
        <v>304</v>
      </c>
      <c r="B305" s="11" t="s">
        <v>2484</v>
      </c>
      <c r="C305" s="11" t="s">
        <v>32</v>
      </c>
      <c r="D305" s="11" t="s">
        <v>33</v>
      </c>
      <c r="E305" s="12">
        <v>79.400000000000006</v>
      </c>
      <c r="F305" s="11" t="s">
        <v>56</v>
      </c>
      <c r="G305" s="11" t="str">
        <f t="shared" si="44"/>
        <v>Litres</v>
      </c>
      <c r="H305" s="13">
        <v>204</v>
      </c>
      <c r="I305" s="11" t="s">
        <v>19</v>
      </c>
      <c r="J305" s="12">
        <v>56360</v>
      </c>
      <c r="K305" s="12" t="str">
        <f t="shared" si="45"/>
        <v>Moderate</v>
      </c>
      <c r="L305" s="11" t="s">
        <v>20</v>
      </c>
      <c r="M305" s="14">
        <v>45740</v>
      </c>
      <c r="N305" s="14" t="str">
        <f t="shared" si="46"/>
        <v>24/03/2025</v>
      </c>
      <c r="O305" s="14" t="str">
        <f t="shared" si="47"/>
        <v>2025</v>
      </c>
      <c r="P305" s="11" t="s">
        <v>618</v>
      </c>
      <c r="Q305" s="11" t="s">
        <v>59</v>
      </c>
      <c r="R305" s="11">
        <v>4</v>
      </c>
      <c r="S305" s="11" t="str">
        <f t="shared" si="48"/>
        <v>0 - 4 yrs</v>
      </c>
      <c r="T305" s="12">
        <v>171.6</v>
      </c>
      <c r="U305" s="11" t="str">
        <f t="shared" si="49"/>
        <v>(151 - 200)</v>
      </c>
      <c r="V305" s="12">
        <f t="shared" si="50"/>
        <v>2.569269521410579</v>
      </c>
      <c r="W305" s="12">
        <f t="shared" si="51"/>
        <v>276.27450980392155</v>
      </c>
      <c r="X305" s="12">
        <f t="shared" si="52"/>
        <v>0.8411764705882353</v>
      </c>
    </row>
    <row r="306" spans="1:24">
      <c r="A306" s="11">
        <v>305</v>
      </c>
      <c r="B306" s="11" t="s">
        <v>941</v>
      </c>
      <c r="C306" s="11" t="s">
        <v>16</v>
      </c>
      <c r="D306" s="11" t="s">
        <v>61</v>
      </c>
      <c r="E306" s="12">
        <v>10</v>
      </c>
      <c r="F306" s="11" t="s">
        <v>26</v>
      </c>
      <c r="G306" s="11" t="str">
        <f t="shared" si="44"/>
        <v>Litres</v>
      </c>
      <c r="H306" s="13">
        <v>104</v>
      </c>
      <c r="I306" s="11" t="s">
        <v>19</v>
      </c>
      <c r="J306" s="12">
        <v>32375</v>
      </c>
      <c r="K306" s="12" t="str">
        <f t="shared" si="45"/>
        <v>Low</v>
      </c>
      <c r="L306" s="11" t="s">
        <v>20</v>
      </c>
      <c r="M306" s="14">
        <v>45587</v>
      </c>
      <c r="N306" s="14" t="str">
        <f t="shared" si="46"/>
        <v>22/10/2024</v>
      </c>
      <c r="O306" s="14" t="str">
        <f t="shared" si="47"/>
        <v>2024</v>
      </c>
      <c r="P306" s="11" t="s">
        <v>943</v>
      </c>
      <c r="Q306" s="11" t="s">
        <v>121</v>
      </c>
      <c r="R306" s="11">
        <v>15</v>
      </c>
      <c r="S306" s="11" t="str">
        <f t="shared" si="48"/>
        <v>13 - 16 yrs</v>
      </c>
      <c r="T306" s="12">
        <v>0</v>
      </c>
      <c r="U306" s="11" t="str">
        <f t="shared" si="49"/>
        <v>(0 - 50)</v>
      </c>
      <c r="V306" s="12">
        <f t="shared" si="50"/>
        <v>10.4</v>
      </c>
      <c r="W306" s="12">
        <f t="shared" si="51"/>
        <v>311.29807692307691</v>
      </c>
      <c r="X306" s="12">
        <f t="shared" si="52"/>
        <v>0</v>
      </c>
    </row>
    <row r="307" spans="1:24">
      <c r="A307" s="11">
        <v>306</v>
      </c>
      <c r="B307" s="11" t="s">
        <v>2485</v>
      </c>
      <c r="C307" s="11" t="s">
        <v>39</v>
      </c>
      <c r="D307" s="11" t="s">
        <v>17</v>
      </c>
      <c r="E307" s="12">
        <v>66.5</v>
      </c>
      <c r="F307" s="11" t="s">
        <v>26</v>
      </c>
      <c r="G307" s="11" t="str">
        <f t="shared" si="44"/>
        <v>Litres</v>
      </c>
      <c r="H307" s="13">
        <v>618</v>
      </c>
      <c r="I307" s="11" t="s">
        <v>19</v>
      </c>
      <c r="J307" s="12">
        <v>88272</v>
      </c>
      <c r="K307" s="12" t="str">
        <f t="shared" si="45"/>
        <v>High</v>
      </c>
      <c r="L307" s="11" t="s">
        <v>20</v>
      </c>
      <c r="M307" s="14">
        <v>44987</v>
      </c>
      <c r="N307" s="14" t="str">
        <f t="shared" si="46"/>
        <v>02/03/2023</v>
      </c>
      <c r="O307" s="14" t="str">
        <f t="shared" si="47"/>
        <v>2023</v>
      </c>
      <c r="P307" s="11" t="s">
        <v>946</v>
      </c>
      <c r="Q307" s="11" t="s">
        <v>2648</v>
      </c>
      <c r="R307" s="11">
        <v>9</v>
      </c>
      <c r="S307" s="11" t="str">
        <f t="shared" si="48"/>
        <v>9 - 12 yrs</v>
      </c>
      <c r="T307" s="12">
        <v>191.5</v>
      </c>
      <c r="U307" s="11" t="str">
        <f t="shared" si="49"/>
        <v>(151 - 200)</v>
      </c>
      <c r="V307" s="12">
        <f t="shared" si="50"/>
        <v>9.2932330827067666</v>
      </c>
      <c r="W307" s="12">
        <f t="shared" si="51"/>
        <v>142.83495145631068</v>
      </c>
      <c r="X307" s="12">
        <f t="shared" si="52"/>
        <v>0.30987055016181231</v>
      </c>
    </row>
    <row r="308" spans="1:24">
      <c r="A308" s="11">
        <v>307</v>
      </c>
      <c r="B308" s="11" t="s">
        <v>947</v>
      </c>
      <c r="C308" s="11" t="s">
        <v>50</v>
      </c>
      <c r="D308" s="11" t="s">
        <v>33</v>
      </c>
      <c r="E308" s="12">
        <v>40.6</v>
      </c>
      <c r="F308" s="11" t="s">
        <v>26</v>
      </c>
      <c r="G308" s="11" t="str">
        <f t="shared" si="44"/>
        <v>Litres</v>
      </c>
      <c r="H308" s="13">
        <v>257</v>
      </c>
      <c r="I308" s="11" t="s">
        <v>19</v>
      </c>
      <c r="J308" s="12">
        <v>16517</v>
      </c>
      <c r="K308" s="12" t="str">
        <f t="shared" si="45"/>
        <v>Very Low</v>
      </c>
      <c r="L308" s="11" t="s">
        <v>20</v>
      </c>
      <c r="M308" s="14">
        <v>44999</v>
      </c>
      <c r="N308" s="14" t="str">
        <f t="shared" si="46"/>
        <v>14/03/2023</v>
      </c>
      <c r="O308" s="14" t="str">
        <f t="shared" si="47"/>
        <v>2023</v>
      </c>
      <c r="P308" s="11" t="s">
        <v>949</v>
      </c>
      <c r="Q308" s="11" t="s">
        <v>117</v>
      </c>
      <c r="R308" s="11">
        <v>6</v>
      </c>
      <c r="S308" s="11" t="str">
        <f t="shared" si="48"/>
        <v>5 - 8 yrs</v>
      </c>
      <c r="T308" s="12">
        <v>128.4</v>
      </c>
      <c r="U308" s="11" t="str">
        <f t="shared" si="49"/>
        <v>(101 - 150)</v>
      </c>
      <c r="V308" s="12">
        <f t="shared" si="50"/>
        <v>6.3300492610837438</v>
      </c>
      <c r="W308" s="12">
        <f t="shared" si="51"/>
        <v>64.268482490272376</v>
      </c>
      <c r="X308" s="12">
        <f t="shared" si="52"/>
        <v>0.49961089494163424</v>
      </c>
    </row>
    <row r="309" spans="1:24">
      <c r="A309" s="11">
        <v>308</v>
      </c>
      <c r="B309" s="11" t="s">
        <v>2486</v>
      </c>
      <c r="C309" s="11" t="s">
        <v>16</v>
      </c>
      <c r="D309" s="11" t="s">
        <v>17</v>
      </c>
      <c r="E309" s="12">
        <v>56.8</v>
      </c>
      <c r="F309" s="11" t="s">
        <v>2643</v>
      </c>
      <c r="G309" s="11" t="str">
        <f t="shared" si="44"/>
        <v>Litres</v>
      </c>
      <c r="H309" s="13">
        <v>491</v>
      </c>
      <c r="I309" s="11" t="s">
        <v>19</v>
      </c>
      <c r="J309" s="12">
        <v>102660</v>
      </c>
      <c r="K309" s="12" t="str">
        <f t="shared" si="45"/>
        <v>Very High</v>
      </c>
      <c r="L309" s="11" t="s">
        <v>20</v>
      </c>
      <c r="M309" s="14">
        <v>45764</v>
      </c>
      <c r="N309" s="14" t="str">
        <f t="shared" si="46"/>
        <v>17/04/2025</v>
      </c>
      <c r="O309" s="14" t="str">
        <f t="shared" si="47"/>
        <v>2025</v>
      </c>
      <c r="P309" s="11" t="s">
        <v>496</v>
      </c>
      <c r="Q309" s="11" t="s">
        <v>112</v>
      </c>
      <c r="R309" s="11">
        <v>18</v>
      </c>
      <c r="S309" s="11" t="str">
        <f t="shared" si="48"/>
        <v>17 + yrs</v>
      </c>
      <c r="T309" s="12">
        <v>172.5</v>
      </c>
      <c r="U309" s="11" t="str">
        <f t="shared" si="49"/>
        <v>(151 - 200)</v>
      </c>
      <c r="V309" s="12">
        <f t="shared" si="50"/>
        <v>8.6443661971830998</v>
      </c>
      <c r="W309" s="12">
        <f t="shared" si="51"/>
        <v>209.08350305498982</v>
      </c>
      <c r="X309" s="12">
        <f t="shared" si="52"/>
        <v>0.35132382892057029</v>
      </c>
    </row>
    <row r="310" spans="1:24">
      <c r="A310" s="11">
        <v>309</v>
      </c>
      <c r="B310" s="11" t="s">
        <v>2487</v>
      </c>
      <c r="C310" s="11" t="s">
        <v>16</v>
      </c>
      <c r="D310" s="11" t="s">
        <v>33</v>
      </c>
      <c r="E310" s="12">
        <v>63.5</v>
      </c>
      <c r="F310" s="11" t="s">
        <v>26</v>
      </c>
      <c r="G310" s="11" t="str">
        <f t="shared" si="44"/>
        <v>Litres</v>
      </c>
      <c r="H310" s="13">
        <v>331</v>
      </c>
      <c r="I310" s="11" t="s">
        <v>19</v>
      </c>
      <c r="J310" s="12">
        <v>15473</v>
      </c>
      <c r="K310" s="12" t="str">
        <f t="shared" si="45"/>
        <v>Very Low</v>
      </c>
      <c r="L310" s="11" t="s">
        <v>20</v>
      </c>
      <c r="M310" s="14">
        <v>45469</v>
      </c>
      <c r="N310" s="14" t="str">
        <f t="shared" si="46"/>
        <v>26/06/2024</v>
      </c>
      <c r="O310" s="14" t="str">
        <f t="shared" si="47"/>
        <v>2024</v>
      </c>
      <c r="P310" s="11" t="s">
        <v>434</v>
      </c>
      <c r="Q310" s="11" t="s">
        <v>69</v>
      </c>
      <c r="R310" s="11">
        <v>10</v>
      </c>
      <c r="S310" s="11" t="str">
        <f t="shared" si="48"/>
        <v>9 - 12 yrs</v>
      </c>
      <c r="T310" s="12">
        <v>184.3</v>
      </c>
      <c r="U310" s="11" t="str">
        <f t="shared" si="49"/>
        <v>(151 - 200)</v>
      </c>
      <c r="V310" s="12">
        <f t="shared" si="50"/>
        <v>5.21259842519685</v>
      </c>
      <c r="W310" s="12">
        <f t="shared" si="51"/>
        <v>46.746223564954683</v>
      </c>
      <c r="X310" s="12">
        <f t="shared" si="52"/>
        <v>0.55679758308157101</v>
      </c>
    </row>
    <row r="311" spans="1:24">
      <c r="A311" s="11">
        <v>310</v>
      </c>
      <c r="B311" s="11" t="s">
        <v>954</v>
      </c>
      <c r="C311" s="11" t="s">
        <v>39</v>
      </c>
      <c r="D311" s="11" t="s">
        <v>114</v>
      </c>
      <c r="E311" s="12">
        <v>47.7</v>
      </c>
      <c r="F311" s="11" t="s">
        <v>56</v>
      </c>
      <c r="G311" s="11" t="str">
        <f t="shared" si="44"/>
        <v>Litres</v>
      </c>
      <c r="H311" s="13">
        <v>115</v>
      </c>
      <c r="I311" s="11" t="s">
        <v>19</v>
      </c>
      <c r="J311" s="12">
        <v>6820</v>
      </c>
      <c r="K311" s="12" t="str">
        <f t="shared" si="45"/>
        <v>Very Low</v>
      </c>
      <c r="L311" s="11" t="s">
        <v>20</v>
      </c>
      <c r="M311" s="14">
        <v>45440</v>
      </c>
      <c r="N311" s="14" t="str">
        <f t="shared" si="46"/>
        <v>28/05/2024</v>
      </c>
      <c r="O311" s="14" t="str">
        <f t="shared" si="47"/>
        <v>2024</v>
      </c>
      <c r="P311" s="11" t="s">
        <v>956</v>
      </c>
      <c r="Q311" s="11" t="s">
        <v>117</v>
      </c>
      <c r="R311" s="11">
        <v>2</v>
      </c>
      <c r="S311" s="11" t="str">
        <f t="shared" si="48"/>
        <v>0 - 4 yrs</v>
      </c>
      <c r="T311" s="12">
        <v>101.7</v>
      </c>
      <c r="U311" s="11" t="str">
        <f t="shared" si="49"/>
        <v>(101 - 150)</v>
      </c>
      <c r="V311" s="12">
        <f t="shared" si="50"/>
        <v>2.4109014675052411</v>
      </c>
      <c r="W311" s="12">
        <f t="shared" si="51"/>
        <v>59.304347826086953</v>
      </c>
      <c r="X311" s="12">
        <f t="shared" si="52"/>
        <v>0.8843478260869565</v>
      </c>
    </row>
    <row r="312" spans="1:24">
      <c r="A312" s="11">
        <v>311</v>
      </c>
      <c r="B312" s="11" t="s">
        <v>957</v>
      </c>
      <c r="C312" s="11" t="s">
        <v>16</v>
      </c>
      <c r="D312" s="11" t="s">
        <v>61</v>
      </c>
      <c r="E312" s="12">
        <v>10</v>
      </c>
      <c r="F312" s="11" t="s">
        <v>2643</v>
      </c>
      <c r="G312" s="11" t="str">
        <f t="shared" si="44"/>
        <v>Litres</v>
      </c>
      <c r="H312" s="13">
        <v>597</v>
      </c>
      <c r="I312" s="11" t="s">
        <v>19</v>
      </c>
      <c r="J312" s="12">
        <v>16850</v>
      </c>
      <c r="K312" s="12" t="str">
        <f t="shared" si="45"/>
        <v>Very Low</v>
      </c>
      <c r="L312" s="11" t="s">
        <v>20</v>
      </c>
      <c r="M312" s="14">
        <v>45994</v>
      </c>
      <c r="N312" s="14" t="str">
        <f t="shared" si="46"/>
        <v>03/12/2025</v>
      </c>
      <c r="O312" s="14" t="str">
        <f t="shared" si="47"/>
        <v>2025</v>
      </c>
      <c r="P312" s="11" t="s">
        <v>959</v>
      </c>
      <c r="Q312" s="11" t="s">
        <v>48</v>
      </c>
      <c r="R312" s="11">
        <v>20</v>
      </c>
      <c r="S312" s="11" t="str">
        <f t="shared" si="48"/>
        <v>17 + yrs</v>
      </c>
      <c r="T312" s="12">
        <v>0</v>
      </c>
      <c r="U312" s="11" t="str">
        <f t="shared" si="49"/>
        <v>(0 - 50)</v>
      </c>
      <c r="V312" s="12">
        <f t="shared" si="50"/>
        <v>59.7</v>
      </c>
      <c r="W312" s="12">
        <f t="shared" si="51"/>
        <v>28.224455611390283</v>
      </c>
      <c r="X312" s="12">
        <f t="shared" si="52"/>
        <v>0</v>
      </c>
    </row>
    <row r="313" spans="1:24">
      <c r="A313" s="11">
        <v>312</v>
      </c>
      <c r="B313" s="11" t="s">
        <v>960</v>
      </c>
      <c r="C313" s="11" t="s">
        <v>32</v>
      </c>
      <c r="D313" s="11" t="s">
        <v>114</v>
      </c>
      <c r="E313" s="12">
        <v>22</v>
      </c>
      <c r="F313" s="11" t="s">
        <v>62</v>
      </c>
      <c r="G313" s="11" t="str">
        <f t="shared" si="44"/>
        <v>kWh</v>
      </c>
      <c r="H313" s="13">
        <v>373</v>
      </c>
      <c r="I313" s="11" t="s">
        <v>19</v>
      </c>
      <c r="J313" s="12">
        <v>115897</v>
      </c>
      <c r="K313" s="12" t="str">
        <f t="shared" si="45"/>
        <v>Extreme</v>
      </c>
      <c r="L313" s="11" t="s">
        <v>20</v>
      </c>
      <c r="M313" s="14">
        <v>45124</v>
      </c>
      <c r="N313" s="14" t="str">
        <f t="shared" si="46"/>
        <v>17/07/2023</v>
      </c>
      <c r="O313" s="14" t="str">
        <f t="shared" si="47"/>
        <v>2023</v>
      </c>
      <c r="P313" s="11" t="s">
        <v>701</v>
      </c>
      <c r="Q313" s="11" t="s">
        <v>48</v>
      </c>
      <c r="R313" s="11">
        <v>11</v>
      </c>
      <c r="S313" s="11" t="str">
        <f t="shared" si="48"/>
        <v>9 - 12 yrs</v>
      </c>
      <c r="T313" s="12">
        <v>70</v>
      </c>
      <c r="U313" s="11" t="str">
        <f t="shared" si="49"/>
        <v>(51 - 100)</v>
      </c>
      <c r="V313" s="12">
        <f t="shared" si="50"/>
        <v>16.954545454545453</v>
      </c>
      <c r="W313" s="12">
        <f t="shared" si="51"/>
        <v>310.71581769436995</v>
      </c>
      <c r="X313" s="12">
        <f t="shared" si="52"/>
        <v>0.1876675603217158</v>
      </c>
    </row>
    <row r="314" spans="1:24">
      <c r="A314" s="11">
        <v>313</v>
      </c>
      <c r="B314" s="11" t="s">
        <v>962</v>
      </c>
      <c r="C314" s="11" t="s">
        <v>39</v>
      </c>
      <c r="D314" s="11" t="s">
        <v>17</v>
      </c>
      <c r="E314" s="12">
        <v>9.1</v>
      </c>
      <c r="F314" s="11" t="s">
        <v>41</v>
      </c>
      <c r="G314" s="11" t="str">
        <f t="shared" si="44"/>
        <v>Litres</v>
      </c>
      <c r="H314" s="13">
        <v>198</v>
      </c>
      <c r="I314" s="11" t="s">
        <v>19</v>
      </c>
      <c r="J314" s="12">
        <v>25888</v>
      </c>
      <c r="K314" s="12" t="str">
        <f t="shared" si="45"/>
        <v>Low</v>
      </c>
      <c r="L314" s="11" t="s">
        <v>20</v>
      </c>
      <c r="M314" s="14">
        <v>45305</v>
      </c>
      <c r="N314" s="14" t="str">
        <f t="shared" si="46"/>
        <v>14/01/2024</v>
      </c>
      <c r="O314" s="14" t="str">
        <f t="shared" si="47"/>
        <v>2024</v>
      </c>
      <c r="P314" s="11" t="s">
        <v>963</v>
      </c>
      <c r="Q314" s="11" t="s">
        <v>54</v>
      </c>
      <c r="R314" s="11">
        <v>17</v>
      </c>
      <c r="S314" s="11" t="str">
        <f t="shared" si="48"/>
        <v>17 + yrs</v>
      </c>
      <c r="T314" s="12">
        <v>21.8</v>
      </c>
      <c r="U314" s="11" t="str">
        <f t="shared" si="49"/>
        <v>(0 - 50)</v>
      </c>
      <c r="V314" s="12">
        <f t="shared" si="50"/>
        <v>21.758241758241759</v>
      </c>
      <c r="W314" s="12">
        <f t="shared" si="51"/>
        <v>130.74747474747474</v>
      </c>
      <c r="X314" s="12">
        <f t="shared" si="52"/>
        <v>0.1101010101010101</v>
      </c>
    </row>
    <row r="315" spans="1:24">
      <c r="A315" s="11">
        <v>314</v>
      </c>
      <c r="B315" s="11" t="s">
        <v>964</v>
      </c>
      <c r="C315" s="11" t="s">
        <v>32</v>
      </c>
      <c r="D315" s="11" t="s">
        <v>17</v>
      </c>
      <c r="E315" s="12">
        <v>74.7</v>
      </c>
      <c r="F315" s="11" t="s">
        <v>56</v>
      </c>
      <c r="G315" s="11" t="str">
        <f t="shared" si="44"/>
        <v>Litres</v>
      </c>
      <c r="H315" s="13">
        <v>333</v>
      </c>
      <c r="I315" s="11" t="s">
        <v>19</v>
      </c>
      <c r="J315" s="12">
        <v>28797</v>
      </c>
      <c r="K315" s="12" t="str">
        <f t="shared" si="45"/>
        <v>Low</v>
      </c>
      <c r="L315" s="11" t="s">
        <v>20</v>
      </c>
      <c r="M315" s="14">
        <v>45332</v>
      </c>
      <c r="N315" s="14" t="str">
        <f t="shared" si="46"/>
        <v>10/02/2024</v>
      </c>
      <c r="O315" s="14" t="str">
        <f t="shared" si="47"/>
        <v>2024</v>
      </c>
      <c r="P315" s="11" t="s">
        <v>796</v>
      </c>
      <c r="Q315" s="11" t="s">
        <v>2648</v>
      </c>
      <c r="R315" s="11">
        <v>10</v>
      </c>
      <c r="S315" s="11" t="str">
        <f t="shared" si="48"/>
        <v>9 - 12 yrs</v>
      </c>
      <c r="T315" s="12">
        <v>153.5</v>
      </c>
      <c r="U315" s="11" t="str">
        <f t="shared" si="49"/>
        <v>(151 - 200)</v>
      </c>
      <c r="V315" s="12">
        <f t="shared" si="50"/>
        <v>4.4578313253012043</v>
      </c>
      <c r="W315" s="12">
        <f t="shared" si="51"/>
        <v>86.477477477477478</v>
      </c>
      <c r="X315" s="12">
        <f t="shared" si="52"/>
        <v>0.46096096096096095</v>
      </c>
    </row>
    <row r="316" spans="1:24">
      <c r="A316" s="11">
        <v>315</v>
      </c>
      <c r="B316" s="11" t="s">
        <v>966</v>
      </c>
      <c r="C316" s="11" t="s">
        <v>16</v>
      </c>
      <c r="D316" s="11" t="s">
        <v>17</v>
      </c>
      <c r="E316" s="12">
        <v>90</v>
      </c>
      <c r="F316" s="11" t="s">
        <v>56</v>
      </c>
      <c r="G316" s="11" t="str">
        <f t="shared" si="44"/>
        <v>Litres</v>
      </c>
      <c r="H316" s="13">
        <v>684</v>
      </c>
      <c r="I316" s="11" t="s">
        <v>19</v>
      </c>
      <c r="J316" s="12">
        <v>112828</v>
      </c>
      <c r="K316" s="12" t="str">
        <f t="shared" si="45"/>
        <v>Extreme</v>
      </c>
      <c r="L316" s="11" t="s">
        <v>20</v>
      </c>
      <c r="M316" s="14">
        <v>45456</v>
      </c>
      <c r="N316" s="14" t="str">
        <f t="shared" si="46"/>
        <v>13/06/2024</v>
      </c>
      <c r="O316" s="14" t="str">
        <f t="shared" si="47"/>
        <v>2024</v>
      </c>
      <c r="P316" s="11" t="s">
        <v>390</v>
      </c>
      <c r="Q316" s="11" t="s">
        <v>59</v>
      </c>
      <c r="R316" s="11">
        <v>13</v>
      </c>
      <c r="S316" s="11" t="str">
        <f t="shared" si="48"/>
        <v>13 - 16 yrs</v>
      </c>
      <c r="T316" s="12">
        <v>292.89999999999998</v>
      </c>
      <c r="U316" s="11" t="str">
        <f t="shared" si="49"/>
        <v>(251 - 300)</v>
      </c>
      <c r="V316" s="12">
        <f t="shared" si="50"/>
        <v>7.6</v>
      </c>
      <c r="W316" s="12">
        <f t="shared" si="51"/>
        <v>164.953216374269</v>
      </c>
      <c r="X316" s="12">
        <f t="shared" si="52"/>
        <v>0.42821637426900583</v>
      </c>
    </row>
    <row r="317" spans="1:24">
      <c r="A317" s="11">
        <v>316</v>
      </c>
      <c r="B317" s="11" t="s">
        <v>2488</v>
      </c>
      <c r="C317" s="11" t="s">
        <v>50</v>
      </c>
      <c r="D317" s="11" t="s">
        <v>33</v>
      </c>
      <c r="E317" s="12">
        <v>31.1</v>
      </c>
      <c r="F317" s="11" t="s">
        <v>62</v>
      </c>
      <c r="G317" s="11" t="str">
        <f t="shared" si="44"/>
        <v>kWh</v>
      </c>
      <c r="H317" s="13">
        <v>331</v>
      </c>
      <c r="I317" s="11" t="s">
        <v>19</v>
      </c>
      <c r="J317" s="12">
        <v>53670</v>
      </c>
      <c r="K317" s="12" t="str">
        <f t="shared" si="45"/>
        <v>Medium</v>
      </c>
      <c r="L317" s="11" t="s">
        <v>20</v>
      </c>
      <c r="M317" s="14">
        <v>45580</v>
      </c>
      <c r="N317" s="14" t="str">
        <f t="shared" si="46"/>
        <v>15/10/2024</v>
      </c>
      <c r="O317" s="14" t="str">
        <f t="shared" si="47"/>
        <v>2024</v>
      </c>
      <c r="P317" s="11" t="s">
        <v>970</v>
      </c>
      <c r="Q317" s="11" t="s">
        <v>117</v>
      </c>
      <c r="R317" s="11">
        <v>9</v>
      </c>
      <c r="S317" s="11" t="str">
        <f t="shared" si="48"/>
        <v>9 - 12 yrs</v>
      </c>
      <c r="T317" s="12">
        <v>84.2</v>
      </c>
      <c r="U317" s="11" t="str">
        <f t="shared" si="49"/>
        <v>(51 - 100)</v>
      </c>
      <c r="V317" s="12">
        <f t="shared" si="50"/>
        <v>10.643086816720256</v>
      </c>
      <c r="W317" s="12">
        <f t="shared" si="51"/>
        <v>162.14501510574019</v>
      </c>
      <c r="X317" s="12">
        <f t="shared" si="52"/>
        <v>0.25438066465256798</v>
      </c>
    </row>
    <row r="318" spans="1:24">
      <c r="A318" s="11">
        <v>317</v>
      </c>
      <c r="B318" s="11" t="s">
        <v>971</v>
      </c>
      <c r="C318" s="11" t="s">
        <v>16</v>
      </c>
      <c r="D318" s="11" t="s">
        <v>33</v>
      </c>
      <c r="E318" s="12">
        <v>17.899999999999999</v>
      </c>
      <c r="F318" s="11" t="s">
        <v>26</v>
      </c>
      <c r="G318" s="11" t="str">
        <f t="shared" si="44"/>
        <v>Litres</v>
      </c>
      <c r="H318" s="13">
        <v>37</v>
      </c>
      <c r="I318" s="11" t="s">
        <v>19</v>
      </c>
      <c r="J318" s="12">
        <v>71279</v>
      </c>
      <c r="K318" s="12" t="str">
        <f t="shared" si="45"/>
        <v>Moderate</v>
      </c>
      <c r="L318" s="11" t="s">
        <v>20</v>
      </c>
      <c r="M318" s="14">
        <v>45376</v>
      </c>
      <c r="N318" s="14" t="str">
        <f t="shared" si="46"/>
        <v>25/03/2024</v>
      </c>
      <c r="O318" s="14" t="str">
        <f t="shared" si="47"/>
        <v>2024</v>
      </c>
      <c r="P318" s="11" t="s">
        <v>888</v>
      </c>
      <c r="Q318" s="11" t="s">
        <v>86</v>
      </c>
      <c r="R318" s="11">
        <v>12</v>
      </c>
      <c r="S318" s="11" t="str">
        <f t="shared" si="48"/>
        <v>9 - 12 yrs</v>
      </c>
      <c r="T318" s="12">
        <v>55.4</v>
      </c>
      <c r="U318" s="11" t="str">
        <f t="shared" si="49"/>
        <v>(51 - 100)</v>
      </c>
      <c r="V318" s="12">
        <f t="shared" si="50"/>
        <v>2.0670391061452515</v>
      </c>
      <c r="W318" s="12">
        <f t="shared" si="51"/>
        <v>1926.4594594594594</v>
      </c>
      <c r="X318" s="12">
        <f t="shared" si="52"/>
        <v>1.4972972972972973</v>
      </c>
    </row>
    <row r="319" spans="1:24">
      <c r="A319" s="11">
        <v>318</v>
      </c>
      <c r="B319" s="11" t="s">
        <v>973</v>
      </c>
      <c r="C319" s="11" t="s">
        <v>39</v>
      </c>
      <c r="D319" s="11" t="s">
        <v>17</v>
      </c>
      <c r="E319" s="12">
        <v>13.2</v>
      </c>
      <c r="F319" s="11" t="s">
        <v>62</v>
      </c>
      <c r="G319" s="11" t="str">
        <f t="shared" si="44"/>
        <v>kWh</v>
      </c>
      <c r="H319" s="13">
        <v>478</v>
      </c>
      <c r="I319" s="11" t="s">
        <v>19</v>
      </c>
      <c r="J319" s="12">
        <v>100007</v>
      </c>
      <c r="K319" s="12" t="str">
        <f t="shared" si="45"/>
        <v>Very High</v>
      </c>
      <c r="L319" s="11" t="s">
        <v>20</v>
      </c>
      <c r="M319" s="14">
        <v>45062</v>
      </c>
      <c r="N319" s="14" t="str">
        <f t="shared" si="46"/>
        <v>16/05/2023</v>
      </c>
      <c r="O319" s="14" t="str">
        <f t="shared" si="47"/>
        <v>2023</v>
      </c>
      <c r="P319" s="11" t="s">
        <v>975</v>
      </c>
      <c r="Q319" s="11" t="s">
        <v>54</v>
      </c>
      <c r="R319" s="11">
        <v>2</v>
      </c>
      <c r="S319" s="11" t="str">
        <f t="shared" si="48"/>
        <v>0 - 4 yrs</v>
      </c>
      <c r="T319" s="12">
        <v>38.9</v>
      </c>
      <c r="U319" s="11" t="str">
        <f t="shared" si="49"/>
        <v>(0 - 50)</v>
      </c>
      <c r="V319" s="12">
        <f t="shared" si="50"/>
        <v>36.212121212121211</v>
      </c>
      <c r="W319" s="12">
        <f t="shared" si="51"/>
        <v>209.21966527196653</v>
      </c>
      <c r="X319" s="12">
        <f t="shared" si="52"/>
        <v>8.1380753138075315E-2</v>
      </c>
    </row>
    <row r="320" spans="1:24">
      <c r="A320" s="11">
        <v>319</v>
      </c>
      <c r="B320" s="11" t="s">
        <v>976</v>
      </c>
      <c r="C320" s="11" t="s">
        <v>39</v>
      </c>
      <c r="D320" s="11" t="s">
        <v>33</v>
      </c>
      <c r="E320" s="12">
        <v>63.5</v>
      </c>
      <c r="F320" s="11" t="s">
        <v>2643</v>
      </c>
      <c r="G320" s="11" t="str">
        <f t="shared" si="44"/>
        <v>Litres</v>
      </c>
      <c r="H320" s="13">
        <v>486</v>
      </c>
      <c r="I320" s="11" t="s">
        <v>19</v>
      </c>
      <c r="J320" s="12">
        <v>10897</v>
      </c>
      <c r="K320" s="12" t="str">
        <f t="shared" si="45"/>
        <v>Very Low</v>
      </c>
      <c r="L320" s="11" t="s">
        <v>20</v>
      </c>
      <c r="M320" s="14">
        <v>45362</v>
      </c>
      <c r="N320" s="14" t="str">
        <f t="shared" si="46"/>
        <v>11/03/2024</v>
      </c>
      <c r="O320" s="14" t="str">
        <f t="shared" si="47"/>
        <v>2024</v>
      </c>
      <c r="P320" s="11" t="s">
        <v>519</v>
      </c>
      <c r="Q320" s="11" t="s">
        <v>59</v>
      </c>
      <c r="R320" s="11">
        <v>20</v>
      </c>
      <c r="S320" s="11" t="str">
        <f t="shared" si="48"/>
        <v>17 + yrs</v>
      </c>
      <c r="T320" s="12">
        <v>160.9</v>
      </c>
      <c r="U320" s="11" t="str">
        <f t="shared" si="49"/>
        <v>(151 - 200)</v>
      </c>
      <c r="V320" s="12">
        <f t="shared" si="50"/>
        <v>7.6535433070866139</v>
      </c>
      <c r="W320" s="12">
        <f t="shared" si="51"/>
        <v>22.421810699588477</v>
      </c>
      <c r="X320" s="12">
        <f t="shared" si="52"/>
        <v>0.33106995884773666</v>
      </c>
    </row>
    <row r="321" spans="1:24">
      <c r="A321" s="11">
        <v>320</v>
      </c>
      <c r="B321" s="11" t="s">
        <v>978</v>
      </c>
      <c r="C321" s="11" t="s">
        <v>32</v>
      </c>
      <c r="D321" s="11" t="s">
        <v>33</v>
      </c>
      <c r="E321" s="12">
        <v>4.5</v>
      </c>
      <c r="F321" s="11" t="s">
        <v>41</v>
      </c>
      <c r="G321" s="11" t="str">
        <f t="shared" si="44"/>
        <v>Litres</v>
      </c>
      <c r="H321" s="13">
        <v>314</v>
      </c>
      <c r="I321" s="11" t="s">
        <v>19</v>
      </c>
      <c r="J321" s="12">
        <v>37289</v>
      </c>
      <c r="K321" s="12" t="str">
        <f t="shared" si="45"/>
        <v>Medium</v>
      </c>
      <c r="L321" s="11" t="s">
        <v>20</v>
      </c>
      <c r="M321" s="14">
        <v>45054</v>
      </c>
      <c r="N321" s="14" t="str">
        <f t="shared" si="46"/>
        <v>08/05/2023</v>
      </c>
      <c r="O321" s="14" t="str">
        <f t="shared" si="47"/>
        <v>2023</v>
      </c>
      <c r="P321" s="11" t="s">
        <v>980</v>
      </c>
      <c r="Q321" s="11" t="s">
        <v>117</v>
      </c>
      <c r="R321" s="11">
        <v>14</v>
      </c>
      <c r="S321" s="11" t="str">
        <f t="shared" si="48"/>
        <v>13 - 16 yrs</v>
      </c>
      <c r="T321" s="12">
        <v>13.1</v>
      </c>
      <c r="U321" s="11" t="str">
        <f t="shared" si="49"/>
        <v>(0 - 50)</v>
      </c>
      <c r="V321" s="12">
        <f t="shared" si="50"/>
        <v>69.777777777777771</v>
      </c>
      <c r="W321" s="12">
        <f t="shared" si="51"/>
        <v>118.7547770700637</v>
      </c>
      <c r="X321" s="12">
        <f t="shared" si="52"/>
        <v>4.1719745222929934E-2</v>
      </c>
    </row>
    <row r="322" spans="1:24">
      <c r="A322" s="11">
        <v>321</v>
      </c>
      <c r="B322" s="11" t="s">
        <v>981</v>
      </c>
      <c r="C322" s="11" t="s">
        <v>39</v>
      </c>
      <c r="D322" s="11" t="s">
        <v>17</v>
      </c>
      <c r="E322" s="12">
        <v>67</v>
      </c>
      <c r="F322" s="11" t="s">
        <v>2643</v>
      </c>
      <c r="G322" s="11" t="str">
        <f t="shared" ref="G322:G385" si="53">IF(OR(F322="L",F322="ltrs",F322="liters"),"Litres",F322)</f>
        <v>Litres</v>
      </c>
      <c r="H322" s="13">
        <v>511</v>
      </c>
      <c r="I322" s="11" t="s">
        <v>19</v>
      </c>
      <c r="J322" s="12">
        <v>41925</v>
      </c>
      <c r="K322" s="12" t="str">
        <f t="shared" si="45"/>
        <v>Medium</v>
      </c>
      <c r="L322" s="11" t="s">
        <v>20</v>
      </c>
      <c r="M322" s="14">
        <v>45326</v>
      </c>
      <c r="N322" s="14" t="str">
        <f t="shared" si="46"/>
        <v>04/02/2024</v>
      </c>
      <c r="O322" s="14" t="str">
        <f t="shared" si="47"/>
        <v>2024</v>
      </c>
      <c r="P322" s="11" t="s">
        <v>983</v>
      </c>
      <c r="Q322" s="11" t="s">
        <v>117</v>
      </c>
      <c r="R322" s="11">
        <v>17</v>
      </c>
      <c r="S322" s="11" t="str">
        <f t="shared" si="48"/>
        <v>17 + yrs</v>
      </c>
      <c r="T322" s="12">
        <v>205</v>
      </c>
      <c r="U322" s="11" t="str">
        <f t="shared" si="49"/>
        <v>(201 - 250)</v>
      </c>
      <c r="V322" s="12">
        <f t="shared" si="50"/>
        <v>7.6268656716417906</v>
      </c>
      <c r="W322" s="12">
        <f t="shared" si="51"/>
        <v>82.045009784735811</v>
      </c>
      <c r="X322" s="12">
        <f t="shared" si="52"/>
        <v>0.40117416829745595</v>
      </c>
    </row>
    <row r="323" spans="1:24">
      <c r="A323" s="11">
        <v>322</v>
      </c>
      <c r="B323" s="11" t="s">
        <v>2489</v>
      </c>
      <c r="C323" s="11" t="s">
        <v>39</v>
      </c>
      <c r="D323" s="11" t="s">
        <v>33</v>
      </c>
      <c r="E323" s="12">
        <v>39.299999999999997</v>
      </c>
      <c r="F323" s="11" t="s">
        <v>62</v>
      </c>
      <c r="G323" s="11" t="str">
        <f t="shared" si="53"/>
        <v>kWh</v>
      </c>
      <c r="H323" s="13">
        <v>302</v>
      </c>
      <c r="I323" s="11" t="s">
        <v>19</v>
      </c>
      <c r="J323" s="12">
        <v>90492</v>
      </c>
      <c r="K323" s="12" t="str">
        <f t="shared" si="45"/>
        <v>Very High</v>
      </c>
      <c r="L323" s="11" t="s">
        <v>20</v>
      </c>
      <c r="M323" s="14">
        <v>45182</v>
      </c>
      <c r="N323" s="14" t="str">
        <f t="shared" si="46"/>
        <v>13/09/2023</v>
      </c>
      <c r="O323" s="14" t="str">
        <f t="shared" si="47"/>
        <v>2023</v>
      </c>
      <c r="P323" s="11" t="s">
        <v>986</v>
      </c>
      <c r="Q323" s="11" t="s">
        <v>59</v>
      </c>
      <c r="R323" s="11">
        <v>8</v>
      </c>
      <c r="S323" s="11" t="str">
        <f t="shared" si="48"/>
        <v>5 - 8 yrs</v>
      </c>
      <c r="T323" s="12">
        <v>131.1</v>
      </c>
      <c r="U323" s="11" t="str">
        <f t="shared" si="49"/>
        <v>(101 - 150)</v>
      </c>
      <c r="V323" s="12">
        <f t="shared" si="50"/>
        <v>7.6844783715012728</v>
      </c>
      <c r="W323" s="12">
        <f t="shared" si="51"/>
        <v>299.64238410596028</v>
      </c>
      <c r="X323" s="12">
        <f t="shared" si="52"/>
        <v>0.43410596026490067</v>
      </c>
    </row>
    <row r="324" spans="1:24">
      <c r="A324" s="11">
        <v>323</v>
      </c>
      <c r="B324" s="11" t="s">
        <v>987</v>
      </c>
      <c r="C324" s="11" t="s">
        <v>16</v>
      </c>
      <c r="D324" s="11" t="s">
        <v>17</v>
      </c>
      <c r="E324" s="12">
        <v>74.400000000000006</v>
      </c>
      <c r="F324" s="11" t="s">
        <v>26</v>
      </c>
      <c r="G324" s="11" t="str">
        <f t="shared" si="53"/>
        <v>Litres</v>
      </c>
      <c r="H324" s="13">
        <v>287</v>
      </c>
      <c r="I324" s="11" t="s">
        <v>19</v>
      </c>
      <c r="J324" s="12">
        <v>21497</v>
      </c>
      <c r="K324" s="12" t="str">
        <f t="shared" si="45"/>
        <v>Low</v>
      </c>
      <c r="L324" s="11" t="s">
        <v>20</v>
      </c>
      <c r="M324" s="14">
        <v>45478</v>
      </c>
      <c r="N324" s="14" t="str">
        <f t="shared" si="46"/>
        <v>05/07/2024</v>
      </c>
      <c r="O324" s="14" t="str">
        <f t="shared" si="47"/>
        <v>2024</v>
      </c>
      <c r="P324" s="11" t="s">
        <v>989</v>
      </c>
      <c r="Q324" s="11" t="s">
        <v>54</v>
      </c>
      <c r="R324" s="11">
        <v>2</v>
      </c>
      <c r="S324" s="11" t="str">
        <f t="shared" si="48"/>
        <v>0 - 4 yrs</v>
      </c>
      <c r="T324" s="12">
        <v>195.5</v>
      </c>
      <c r="U324" s="11" t="str">
        <f t="shared" si="49"/>
        <v>(151 - 200)</v>
      </c>
      <c r="V324" s="12">
        <f t="shared" si="50"/>
        <v>3.85752688172043</v>
      </c>
      <c r="W324" s="12">
        <f t="shared" si="51"/>
        <v>74.902439024390247</v>
      </c>
      <c r="X324" s="12">
        <f t="shared" si="52"/>
        <v>0.68118466898954699</v>
      </c>
    </row>
    <row r="325" spans="1:24">
      <c r="A325" s="11">
        <v>324</v>
      </c>
      <c r="B325" s="11" t="s">
        <v>2490</v>
      </c>
      <c r="C325" s="11" t="s">
        <v>32</v>
      </c>
      <c r="D325" s="11" t="s">
        <v>33</v>
      </c>
      <c r="E325" s="12">
        <v>99.3</v>
      </c>
      <c r="F325" s="11" t="s">
        <v>62</v>
      </c>
      <c r="G325" s="11" t="str">
        <f t="shared" si="53"/>
        <v>kWh</v>
      </c>
      <c r="H325" s="13">
        <v>214</v>
      </c>
      <c r="I325" s="11" t="s">
        <v>19</v>
      </c>
      <c r="J325" s="12">
        <v>47818</v>
      </c>
      <c r="K325" s="12" t="str">
        <f t="shared" si="45"/>
        <v>Medium</v>
      </c>
      <c r="L325" s="11" t="s">
        <v>20</v>
      </c>
      <c r="M325" s="14">
        <v>45531</v>
      </c>
      <c r="N325" s="14" t="str">
        <f t="shared" si="46"/>
        <v>27/08/2024</v>
      </c>
      <c r="O325" s="14" t="str">
        <f t="shared" si="47"/>
        <v>2024</v>
      </c>
      <c r="P325" s="11" t="s">
        <v>819</v>
      </c>
      <c r="Q325" s="11" t="s">
        <v>54</v>
      </c>
      <c r="R325" s="11">
        <v>19</v>
      </c>
      <c r="S325" s="11" t="str">
        <f t="shared" si="48"/>
        <v>17 + yrs</v>
      </c>
      <c r="T325" s="12">
        <v>247.3</v>
      </c>
      <c r="U325" s="11" t="str">
        <f t="shared" si="49"/>
        <v>(201 - 250)</v>
      </c>
      <c r="V325" s="12">
        <f t="shared" si="50"/>
        <v>2.1550855991943605</v>
      </c>
      <c r="W325" s="12">
        <f t="shared" si="51"/>
        <v>223.44859813084113</v>
      </c>
      <c r="X325" s="12">
        <f t="shared" si="52"/>
        <v>1.155607476635514</v>
      </c>
    </row>
    <row r="326" spans="1:24">
      <c r="A326" s="11">
        <v>325</v>
      </c>
      <c r="B326" s="11" t="s">
        <v>992</v>
      </c>
      <c r="C326" s="11" t="s">
        <v>39</v>
      </c>
      <c r="D326" s="11" t="s">
        <v>61</v>
      </c>
      <c r="E326" s="12">
        <v>10</v>
      </c>
      <c r="F326" s="11" t="s">
        <v>2643</v>
      </c>
      <c r="G326" s="11" t="str">
        <f t="shared" si="53"/>
        <v>Litres</v>
      </c>
      <c r="H326" s="13">
        <v>319</v>
      </c>
      <c r="I326" s="11" t="s">
        <v>19</v>
      </c>
      <c r="J326" s="12">
        <v>10643</v>
      </c>
      <c r="K326" s="12" t="str">
        <f t="shared" si="45"/>
        <v>Very Low</v>
      </c>
      <c r="L326" s="11" t="s">
        <v>20</v>
      </c>
      <c r="M326" s="14">
        <v>45609</v>
      </c>
      <c r="N326" s="14" t="str">
        <f t="shared" si="46"/>
        <v>13/11/2024</v>
      </c>
      <c r="O326" s="14" t="str">
        <f t="shared" si="47"/>
        <v>2024</v>
      </c>
      <c r="P326" s="11" t="s">
        <v>994</v>
      </c>
      <c r="Q326" s="11" t="s">
        <v>48</v>
      </c>
      <c r="R326" s="11">
        <v>14</v>
      </c>
      <c r="S326" s="11" t="str">
        <f t="shared" si="48"/>
        <v>13 - 16 yrs</v>
      </c>
      <c r="T326" s="12">
        <v>0</v>
      </c>
      <c r="U326" s="11" t="str">
        <f t="shared" si="49"/>
        <v>(0 - 50)</v>
      </c>
      <c r="V326" s="12">
        <f t="shared" si="50"/>
        <v>31.9</v>
      </c>
      <c r="W326" s="12">
        <f t="shared" si="51"/>
        <v>33.363636363636367</v>
      </c>
      <c r="X326" s="12">
        <f t="shared" si="52"/>
        <v>0</v>
      </c>
    </row>
    <row r="327" spans="1:24">
      <c r="A327" s="11">
        <v>326</v>
      </c>
      <c r="B327" s="11" t="s">
        <v>995</v>
      </c>
      <c r="C327" s="11" t="s">
        <v>16</v>
      </c>
      <c r="D327" s="11" t="s">
        <v>33</v>
      </c>
      <c r="E327" s="12">
        <v>11.8</v>
      </c>
      <c r="F327" s="11" t="s">
        <v>41</v>
      </c>
      <c r="G327" s="11" t="str">
        <f t="shared" si="53"/>
        <v>Litres</v>
      </c>
      <c r="H327" s="13">
        <v>30</v>
      </c>
      <c r="I327" s="11" t="s">
        <v>19</v>
      </c>
      <c r="J327" s="12">
        <v>108369</v>
      </c>
      <c r="K327" s="12" t="str">
        <f t="shared" si="45"/>
        <v>Extreme</v>
      </c>
      <c r="L327" s="11" t="s">
        <v>20</v>
      </c>
      <c r="M327" s="14">
        <v>45808</v>
      </c>
      <c r="N327" s="14" t="str">
        <f t="shared" si="46"/>
        <v>31/05/2025</v>
      </c>
      <c r="O327" s="14" t="str">
        <f t="shared" si="47"/>
        <v>2025</v>
      </c>
      <c r="P327" s="11" t="s">
        <v>997</v>
      </c>
      <c r="Q327" s="11" t="s">
        <v>112</v>
      </c>
      <c r="R327" s="11">
        <v>15</v>
      </c>
      <c r="S327" s="11" t="str">
        <f t="shared" si="48"/>
        <v>13 - 16 yrs</v>
      </c>
      <c r="T327" s="12">
        <v>26.5</v>
      </c>
      <c r="U327" s="11" t="str">
        <f t="shared" si="49"/>
        <v>(0 - 50)</v>
      </c>
      <c r="V327" s="12">
        <f t="shared" si="50"/>
        <v>2.5423728813559321</v>
      </c>
      <c r="W327" s="12">
        <f t="shared" si="51"/>
        <v>3612.3</v>
      </c>
      <c r="X327" s="12">
        <f t="shared" si="52"/>
        <v>0.8833333333333333</v>
      </c>
    </row>
    <row r="328" spans="1:24">
      <c r="A328" s="11">
        <v>327</v>
      </c>
      <c r="B328" s="11" t="s">
        <v>2491</v>
      </c>
      <c r="C328" s="11" t="s">
        <v>50</v>
      </c>
      <c r="D328" s="11" t="s">
        <v>33</v>
      </c>
      <c r="E328" s="12">
        <v>35.200000000000003</v>
      </c>
      <c r="F328" s="11" t="s">
        <v>56</v>
      </c>
      <c r="G328" s="11" t="str">
        <f t="shared" si="53"/>
        <v>Litres</v>
      </c>
      <c r="H328" s="13">
        <v>265</v>
      </c>
      <c r="I328" s="11" t="s">
        <v>19</v>
      </c>
      <c r="J328" s="12">
        <v>28950</v>
      </c>
      <c r="K328" s="12" t="str">
        <f t="shared" si="45"/>
        <v>Low</v>
      </c>
      <c r="L328" s="11" t="s">
        <v>20</v>
      </c>
      <c r="M328" s="14">
        <v>45468</v>
      </c>
      <c r="N328" s="14" t="str">
        <f t="shared" si="46"/>
        <v>25/06/2024</v>
      </c>
      <c r="O328" s="14" t="str">
        <f t="shared" si="47"/>
        <v>2024</v>
      </c>
      <c r="P328" s="11" t="s">
        <v>970</v>
      </c>
      <c r="Q328" s="11" t="s">
        <v>441</v>
      </c>
      <c r="R328" s="11">
        <v>17</v>
      </c>
      <c r="S328" s="11" t="str">
        <f t="shared" si="48"/>
        <v>17 + yrs</v>
      </c>
      <c r="T328" s="12">
        <v>106.5</v>
      </c>
      <c r="U328" s="11" t="str">
        <f t="shared" si="49"/>
        <v>(101 - 150)</v>
      </c>
      <c r="V328" s="12">
        <f t="shared" si="50"/>
        <v>7.5284090909090899</v>
      </c>
      <c r="W328" s="12">
        <f t="shared" si="51"/>
        <v>109.24528301886792</v>
      </c>
      <c r="X328" s="12">
        <f t="shared" si="52"/>
        <v>0.40188679245283021</v>
      </c>
    </row>
    <row r="329" spans="1:24">
      <c r="A329" s="11">
        <v>328</v>
      </c>
      <c r="B329" s="11" t="s">
        <v>1000</v>
      </c>
      <c r="C329" s="11" t="s">
        <v>50</v>
      </c>
      <c r="D329" s="11" t="s">
        <v>33</v>
      </c>
      <c r="E329" s="12">
        <v>61.8</v>
      </c>
      <c r="F329" s="11" t="s">
        <v>2643</v>
      </c>
      <c r="G329" s="11" t="str">
        <f t="shared" si="53"/>
        <v>Litres</v>
      </c>
      <c r="H329" s="13">
        <v>657</v>
      </c>
      <c r="I329" s="11" t="s">
        <v>19</v>
      </c>
      <c r="J329" s="12">
        <v>97828</v>
      </c>
      <c r="K329" s="12" t="str">
        <f t="shared" si="45"/>
        <v>Very High</v>
      </c>
      <c r="L329" s="11" t="s">
        <v>20</v>
      </c>
      <c r="M329" s="14">
        <v>45773</v>
      </c>
      <c r="N329" s="14" t="str">
        <f t="shared" si="46"/>
        <v>26/04/2025</v>
      </c>
      <c r="O329" s="14" t="str">
        <f t="shared" si="47"/>
        <v>2025</v>
      </c>
      <c r="P329" s="11" t="s">
        <v>1002</v>
      </c>
      <c r="Q329" s="11" t="s">
        <v>69</v>
      </c>
      <c r="R329" s="11">
        <v>4</v>
      </c>
      <c r="S329" s="11" t="str">
        <f t="shared" si="48"/>
        <v>0 - 4 yrs</v>
      </c>
      <c r="T329" s="12">
        <v>176.3</v>
      </c>
      <c r="U329" s="11" t="str">
        <f t="shared" si="49"/>
        <v>(151 - 200)</v>
      </c>
      <c r="V329" s="12">
        <f t="shared" si="50"/>
        <v>10.63106796116505</v>
      </c>
      <c r="W329" s="12">
        <f t="shared" si="51"/>
        <v>148.90106544901064</v>
      </c>
      <c r="X329" s="12">
        <f t="shared" si="52"/>
        <v>0.26834094368340944</v>
      </c>
    </row>
    <row r="330" spans="1:24">
      <c r="A330" s="11">
        <v>329</v>
      </c>
      <c r="B330" s="11" t="s">
        <v>1003</v>
      </c>
      <c r="C330" s="11" t="s">
        <v>16</v>
      </c>
      <c r="D330" s="11" t="s">
        <v>33</v>
      </c>
      <c r="E330" s="12">
        <v>21.7</v>
      </c>
      <c r="F330" s="11" t="s">
        <v>26</v>
      </c>
      <c r="G330" s="11" t="str">
        <f t="shared" si="53"/>
        <v>Litres</v>
      </c>
      <c r="H330" s="13">
        <v>482</v>
      </c>
      <c r="I330" s="11" t="s">
        <v>19</v>
      </c>
      <c r="J330" s="12">
        <v>52077</v>
      </c>
      <c r="K330" s="12" t="str">
        <f t="shared" si="45"/>
        <v>Medium</v>
      </c>
      <c r="L330" s="11" t="s">
        <v>20</v>
      </c>
      <c r="M330" s="14">
        <v>45737</v>
      </c>
      <c r="N330" s="14" t="str">
        <f t="shared" si="46"/>
        <v>21/03/2025</v>
      </c>
      <c r="O330" s="14" t="str">
        <f t="shared" si="47"/>
        <v>2025</v>
      </c>
      <c r="P330" s="11" t="s">
        <v>502</v>
      </c>
      <c r="Q330" s="11" t="s">
        <v>86</v>
      </c>
      <c r="R330" s="11">
        <v>3</v>
      </c>
      <c r="S330" s="11" t="str">
        <f t="shared" si="48"/>
        <v>0 - 4 yrs</v>
      </c>
      <c r="T330" s="12">
        <v>61.4</v>
      </c>
      <c r="U330" s="11" t="str">
        <f t="shared" si="49"/>
        <v>(51 - 100)</v>
      </c>
      <c r="V330" s="12">
        <f t="shared" si="50"/>
        <v>22.211981566820278</v>
      </c>
      <c r="W330" s="12">
        <f t="shared" si="51"/>
        <v>108.04356846473028</v>
      </c>
      <c r="X330" s="12">
        <f t="shared" si="52"/>
        <v>0.12738589211618256</v>
      </c>
    </row>
    <row r="331" spans="1:24">
      <c r="A331" s="11">
        <v>330</v>
      </c>
      <c r="B331" s="11" t="s">
        <v>207</v>
      </c>
      <c r="C331" s="11" t="s">
        <v>32</v>
      </c>
      <c r="D331" s="11" t="s">
        <v>17</v>
      </c>
      <c r="E331" s="12">
        <v>47.4</v>
      </c>
      <c r="F331" s="11" t="s">
        <v>62</v>
      </c>
      <c r="G331" s="11" t="str">
        <f t="shared" si="53"/>
        <v>kWh</v>
      </c>
      <c r="H331" s="13">
        <v>135</v>
      </c>
      <c r="I331" s="11" t="s">
        <v>19</v>
      </c>
      <c r="J331" s="12">
        <v>2366</v>
      </c>
      <c r="K331" s="12" t="str">
        <f t="shared" si="45"/>
        <v>Very Low</v>
      </c>
      <c r="L331" s="11" t="s">
        <v>20</v>
      </c>
      <c r="M331" s="14">
        <v>45616</v>
      </c>
      <c r="N331" s="14" t="str">
        <f t="shared" si="46"/>
        <v>20/11/2024</v>
      </c>
      <c r="O331" s="14" t="str">
        <f t="shared" si="47"/>
        <v>2024</v>
      </c>
      <c r="P331" s="11" t="s">
        <v>549</v>
      </c>
      <c r="Q331" s="11" t="s">
        <v>48</v>
      </c>
      <c r="R331" s="11">
        <v>18</v>
      </c>
      <c r="S331" s="11" t="str">
        <f t="shared" si="48"/>
        <v>17 + yrs</v>
      </c>
      <c r="T331" s="12">
        <v>139.19999999999999</v>
      </c>
      <c r="U331" s="11" t="str">
        <f t="shared" si="49"/>
        <v>(101 - 150)</v>
      </c>
      <c r="V331" s="12">
        <f t="shared" si="50"/>
        <v>2.8481012658227849</v>
      </c>
      <c r="W331" s="12">
        <f t="shared" si="51"/>
        <v>17.525925925925925</v>
      </c>
      <c r="X331" s="12">
        <f t="shared" si="52"/>
        <v>1.0311111111111111</v>
      </c>
    </row>
    <row r="332" spans="1:24">
      <c r="A332" s="11">
        <v>331</v>
      </c>
      <c r="B332" s="11" t="s">
        <v>1006</v>
      </c>
      <c r="C332" s="11" t="s">
        <v>39</v>
      </c>
      <c r="D332" s="11" t="s">
        <v>114</v>
      </c>
      <c r="E332" s="12">
        <v>9.6999999999999993</v>
      </c>
      <c r="F332" s="11" t="s">
        <v>41</v>
      </c>
      <c r="G332" s="11" t="str">
        <f t="shared" si="53"/>
        <v>Litres</v>
      </c>
      <c r="H332" s="13">
        <v>24</v>
      </c>
      <c r="I332" s="11" t="s">
        <v>19</v>
      </c>
      <c r="J332" s="12">
        <v>11631</v>
      </c>
      <c r="K332" s="12" t="str">
        <f t="shared" si="45"/>
        <v>Very Low</v>
      </c>
      <c r="L332" s="11" t="s">
        <v>20</v>
      </c>
      <c r="M332" s="14">
        <v>45479</v>
      </c>
      <c r="N332" s="14" t="str">
        <f t="shared" si="46"/>
        <v>06/07/2024</v>
      </c>
      <c r="O332" s="14" t="str">
        <f t="shared" si="47"/>
        <v>2024</v>
      </c>
      <c r="P332" s="11" t="s">
        <v>1008</v>
      </c>
      <c r="Q332" s="11" t="s">
        <v>441</v>
      </c>
      <c r="R332" s="11">
        <v>15</v>
      </c>
      <c r="S332" s="11" t="str">
        <f t="shared" si="48"/>
        <v>13 - 16 yrs</v>
      </c>
      <c r="T332" s="12">
        <v>31.7</v>
      </c>
      <c r="U332" s="11" t="str">
        <f t="shared" si="49"/>
        <v>(0 - 50)</v>
      </c>
      <c r="V332" s="12">
        <f t="shared" si="50"/>
        <v>2.4742268041237114</v>
      </c>
      <c r="W332" s="12">
        <f t="shared" si="51"/>
        <v>484.625</v>
      </c>
      <c r="X332" s="12">
        <f t="shared" si="52"/>
        <v>1.3208333333333333</v>
      </c>
    </row>
    <row r="333" spans="1:24">
      <c r="A333" s="11">
        <v>332</v>
      </c>
      <c r="B333" s="11" t="s">
        <v>1009</v>
      </c>
      <c r="C333" s="11" t="s">
        <v>16</v>
      </c>
      <c r="D333" s="11" t="s">
        <v>33</v>
      </c>
      <c r="E333" s="12">
        <v>32.4</v>
      </c>
      <c r="F333" s="11" t="s">
        <v>2643</v>
      </c>
      <c r="G333" s="11" t="str">
        <f t="shared" si="53"/>
        <v>Litres</v>
      </c>
      <c r="H333" s="13">
        <v>636</v>
      </c>
      <c r="I333" s="11" t="s">
        <v>19</v>
      </c>
      <c r="J333" s="12">
        <v>16536</v>
      </c>
      <c r="K333" s="12" t="str">
        <f t="shared" si="45"/>
        <v>Very Low</v>
      </c>
      <c r="L333" s="11" t="s">
        <v>20</v>
      </c>
      <c r="M333" s="14">
        <v>45478</v>
      </c>
      <c r="N333" s="14" t="str">
        <f t="shared" si="46"/>
        <v>05/07/2024</v>
      </c>
      <c r="O333" s="14" t="str">
        <f t="shared" si="47"/>
        <v>2024</v>
      </c>
      <c r="P333" s="11" t="s">
        <v>1010</v>
      </c>
      <c r="Q333" s="11" t="s">
        <v>54</v>
      </c>
      <c r="R333" s="11">
        <v>15</v>
      </c>
      <c r="S333" s="11" t="str">
        <f t="shared" si="48"/>
        <v>13 - 16 yrs</v>
      </c>
      <c r="T333" s="12">
        <v>100.6</v>
      </c>
      <c r="U333" s="11" t="str">
        <f t="shared" si="49"/>
        <v>(101 - 150)</v>
      </c>
      <c r="V333" s="12">
        <f t="shared" si="50"/>
        <v>19.62962962962963</v>
      </c>
      <c r="W333" s="12">
        <f t="shared" si="51"/>
        <v>26</v>
      </c>
      <c r="X333" s="12">
        <f t="shared" si="52"/>
        <v>0.15817610062893081</v>
      </c>
    </row>
    <row r="334" spans="1:24">
      <c r="A334" s="11">
        <v>333</v>
      </c>
      <c r="B334" s="11" t="s">
        <v>2492</v>
      </c>
      <c r="C334" s="11" t="s">
        <v>32</v>
      </c>
      <c r="D334" s="11" t="s">
        <v>33</v>
      </c>
      <c r="E334" s="12">
        <v>40.799999999999997</v>
      </c>
      <c r="F334" s="11" t="s">
        <v>62</v>
      </c>
      <c r="G334" s="11" t="str">
        <f t="shared" si="53"/>
        <v>kWh</v>
      </c>
      <c r="H334" s="13">
        <v>614</v>
      </c>
      <c r="I334" s="11" t="s">
        <v>19</v>
      </c>
      <c r="J334" s="12">
        <v>109518</v>
      </c>
      <c r="K334" s="12" t="str">
        <f t="shared" si="45"/>
        <v>Extreme</v>
      </c>
      <c r="L334" s="11" t="s">
        <v>20</v>
      </c>
      <c r="M334" s="14">
        <v>45206</v>
      </c>
      <c r="N334" s="14" t="str">
        <f t="shared" si="46"/>
        <v>07/10/2023</v>
      </c>
      <c r="O334" s="14" t="str">
        <f t="shared" si="47"/>
        <v>2023</v>
      </c>
      <c r="P334" s="11" t="s">
        <v>1013</v>
      </c>
      <c r="Q334" s="11" t="s">
        <v>117</v>
      </c>
      <c r="R334" s="11">
        <v>10</v>
      </c>
      <c r="S334" s="11" t="str">
        <f t="shared" si="48"/>
        <v>9 - 12 yrs</v>
      </c>
      <c r="T334" s="12">
        <v>113.3</v>
      </c>
      <c r="U334" s="11" t="str">
        <f t="shared" si="49"/>
        <v>(101 - 150)</v>
      </c>
      <c r="V334" s="12">
        <f t="shared" si="50"/>
        <v>15.049019607843139</v>
      </c>
      <c r="W334" s="12">
        <f t="shared" si="51"/>
        <v>178.36807817589576</v>
      </c>
      <c r="X334" s="12">
        <f t="shared" si="52"/>
        <v>0.18452768729641694</v>
      </c>
    </row>
    <row r="335" spans="1:24">
      <c r="A335" s="11">
        <v>334</v>
      </c>
      <c r="B335" s="11" t="s">
        <v>1014</v>
      </c>
      <c r="C335" s="11" t="s">
        <v>50</v>
      </c>
      <c r="D335" s="11" t="s">
        <v>114</v>
      </c>
      <c r="E335" s="12">
        <v>11.1</v>
      </c>
      <c r="F335" s="11" t="s">
        <v>62</v>
      </c>
      <c r="G335" s="11" t="str">
        <f t="shared" si="53"/>
        <v>kWh</v>
      </c>
      <c r="H335" s="13">
        <v>577</v>
      </c>
      <c r="I335" s="11" t="s">
        <v>19</v>
      </c>
      <c r="J335" s="12">
        <v>112060</v>
      </c>
      <c r="K335" s="12" t="str">
        <f t="shared" si="45"/>
        <v>Extreme</v>
      </c>
      <c r="L335" s="11" t="s">
        <v>20</v>
      </c>
      <c r="M335" s="14">
        <v>45596</v>
      </c>
      <c r="N335" s="14" t="str">
        <f t="shared" si="46"/>
        <v>31/10/2024</v>
      </c>
      <c r="O335" s="14" t="str">
        <f t="shared" si="47"/>
        <v>2024</v>
      </c>
      <c r="P335" s="11" t="s">
        <v>1016</v>
      </c>
      <c r="Q335" s="11" t="s">
        <v>48</v>
      </c>
      <c r="R335" s="11">
        <v>8</v>
      </c>
      <c r="S335" s="11" t="str">
        <f t="shared" si="48"/>
        <v>5 - 8 yrs</v>
      </c>
      <c r="T335" s="12">
        <v>26.3</v>
      </c>
      <c r="U335" s="11" t="str">
        <f t="shared" si="49"/>
        <v>(0 - 50)</v>
      </c>
      <c r="V335" s="12">
        <f t="shared" si="50"/>
        <v>51.981981981981981</v>
      </c>
      <c r="W335" s="12">
        <f t="shared" si="51"/>
        <v>194.21143847487002</v>
      </c>
      <c r="X335" s="12">
        <f t="shared" si="52"/>
        <v>4.5580589254766032E-2</v>
      </c>
    </row>
    <row r="336" spans="1:24">
      <c r="A336" s="11">
        <v>335</v>
      </c>
      <c r="B336" s="11" t="s">
        <v>2493</v>
      </c>
      <c r="C336" s="11" t="s">
        <v>16</v>
      </c>
      <c r="D336" s="11" t="s">
        <v>33</v>
      </c>
      <c r="E336" s="12">
        <v>62.2</v>
      </c>
      <c r="F336" s="11" t="s">
        <v>62</v>
      </c>
      <c r="G336" s="11" t="str">
        <f t="shared" si="53"/>
        <v>kWh</v>
      </c>
      <c r="H336" s="13">
        <v>533</v>
      </c>
      <c r="I336" s="11" t="s">
        <v>19</v>
      </c>
      <c r="J336" s="12">
        <v>11271</v>
      </c>
      <c r="K336" s="12" t="str">
        <f t="shared" si="45"/>
        <v>Very Low</v>
      </c>
      <c r="L336" s="11" t="s">
        <v>20</v>
      </c>
      <c r="M336" s="14">
        <v>45105</v>
      </c>
      <c r="N336" s="14" t="str">
        <f t="shared" si="46"/>
        <v>28/06/2023</v>
      </c>
      <c r="O336" s="14" t="str">
        <f t="shared" si="47"/>
        <v>2023</v>
      </c>
      <c r="P336" s="11" t="s">
        <v>1019</v>
      </c>
      <c r="Q336" s="11" t="s">
        <v>59</v>
      </c>
      <c r="R336" s="11">
        <v>1</v>
      </c>
      <c r="S336" s="11" t="str">
        <f t="shared" si="48"/>
        <v>0 - 4 yrs</v>
      </c>
      <c r="T336" s="12">
        <v>191.9</v>
      </c>
      <c r="U336" s="11" t="str">
        <f t="shared" si="49"/>
        <v>(151 - 200)</v>
      </c>
      <c r="V336" s="12">
        <f t="shared" si="50"/>
        <v>8.569131832797428</v>
      </c>
      <c r="W336" s="12">
        <f t="shared" si="51"/>
        <v>21.146341463414632</v>
      </c>
      <c r="X336" s="12">
        <f t="shared" si="52"/>
        <v>0.36003752345215762</v>
      </c>
    </row>
    <row r="337" spans="1:24">
      <c r="A337" s="11">
        <v>336</v>
      </c>
      <c r="B337" s="11" t="s">
        <v>2494</v>
      </c>
      <c r="C337" s="11" t="s">
        <v>50</v>
      </c>
      <c r="D337" s="11" t="s">
        <v>33</v>
      </c>
      <c r="E337" s="12">
        <v>12.9</v>
      </c>
      <c r="F337" s="11" t="s">
        <v>41</v>
      </c>
      <c r="G337" s="11" t="str">
        <f t="shared" si="53"/>
        <v>Litres</v>
      </c>
      <c r="H337" s="13">
        <v>648</v>
      </c>
      <c r="I337" s="11" t="s">
        <v>19</v>
      </c>
      <c r="J337" s="12">
        <v>54992</v>
      </c>
      <c r="K337" s="12" t="str">
        <f t="shared" si="45"/>
        <v>Moderate</v>
      </c>
      <c r="L337" s="11" t="s">
        <v>20</v>
      </c>
      <c r="M337" s="14">
        <v>45689</v>
      </c>
      <c r="N337" s="14" t="str">
        <f t="shared" si="46"/>
        <v>01/02/2025</v>
      </c>
      <c r="O337" s="14" t="str">
        <f t="shared" si="47"/>
        <v>2025</v>
      </c>
      <c r="P337" s="11" t="s">
        <v>1022</v>
      </c>
      <c r="Q337" s="11" t="s">
        <v>48</v>
      </c>
      <c r="R337" s="11">
        <v>8</v>
      </c>
      <c r="S337" s="11" t="str">
        <f t="shared" si="48"/>
        <v>5 - 8 yrs</v>
      </c>
      <c r="T337" s="12">
        <v>34.700000000000003</v>
      </c>
      <c r="U337" s="11" t="str">
        <f t="shared" si="49"/>
        <v>(0 - 50)</v>
      </c>
      <c r="V337" s="12">
        <f t="shared" si="50"/>
        <v>50.232558139534881</v>
      </c>
      <c r="W337" s="12">
        <f t="shared" si="51"/>
        <v>84.864197530864203</v>
      </c>
      <c r="X337" s="12">
        <f t="shared" si="52"/>
        <v>5.3549382716049386E-2</v>
      </c>
    </row>
    <row r="338" spans="1:24">
      <c r="A338" s="11">
        <v>337</v>
      </c>
      <c r="B338" s="11" t="s">
        <v>835</v>
      </c>
      <c r="C338" s="11" t="s">
        <v>16</v>
      </c>
      <c r="D338" s="11" t="s">
        <v>114</v>
      </c>
      <c r="E338" s="12">
        <v>65</v>
      </c>
      <c r="F338" s="11" t="s">
        <v>26</v>
      </c>
      <c r="G338" s="11" t="str">
        <f t="shared" si="53"/>
        <v>Litres</v>
      </c>
      <c r="H338" s="13">
        <v>283</v>
      </c>
      <c r="I338" s="11" t="s">
        <v>19</v>
      </c>
      <c r="J338" s="12">
        <v>72859</v>
      </c>
      <c r="K338" s="12" t="str">
        <f t="shared" si="45"/>
        <v>High</v>
      </c>
      <c r="L338" s="11" t="s">
        <v>20</v>
      </c>
      <c r="M338" s="14">
        <v>45453</v>
      </c>
      <c r="N338" s="14" t="str">
        <f t="shared" si="46"/>
        <v>10/06/2024</v>
      </c>
      <c r="O338" s="14" t="str">
        <f t="shared" si="47"/>
        <v>2024</v>
      </c>
      <c r="P338" s="11" t="s">
        <v>1023</v>
      </c>
      <c r="Q338" s="11" t="s">
        <v>54</v>
      </c>
      <c r="R338" s="11">
        <v>18</v>
      </c>
      <c r="S338" s="11" t="str">
        <f t="shared" si="48"/>
        <v>17 + yrs</v>
      </c>
      <c r="T338" s="12">
        <v>170.8</v>
      </c>
      <c r="U338" s="11" t="str">
        <f t="shared" si="49"/>
        <v>(151 - 200)</v>
      </c>
      <c r="V338" s="12">
        <f t="shared" si="50"/>
        <v>4.3538461538461535</v>
      </c>
      <c r="W338" s="12">
        <f t="shared" si="51"/>
        <v>257.45229681978799</v>
      </c>
      <c r="X338" s="12">
        <f t="shared" si="52"/>
        <v>0.60353356890459364</v>
      </c>
    </row>
    <row r="339" spans="1:24">
      <c r="A339" s="11">
        <v>338</v>
      </c>
      <c r="B339" s="11" t="s">
        <v>2495</v>
      </c>
      <c r="C339" s="11" t="s">
        <v>32</v>
      </c>
      <c r="D339" s="11" t="s">
        <v>61</v>
      </c>
      <c r="E339" s="12">
        <v>10</v>
      </c>
      <c r="F339" s="11" t="s">
        <v>62</v>
      </c>
      <c r="G339" s="11" t="str">
        <f t="shared" si="53"/>
        <v>kWh</v>
      </c>
      <c r="H339" s="13">
        <v>425</v>
      </c>
      <c r="I339" s="11" t="s">
        <v>19</v>
      </c>
      <c r="J339" s="12">
        <v>116680</v>
      </c>
      <c r="K339" s="12" t="str">
        <f t="shared" si="45"/>
        <v>Extreme</v>
      </c>
      <c r="L339" s="11" t="s">
        <v>20</v>
      </c>
      <c r="M339" s="14">
        <v>45107</v>
      </c>
      <c r="N339" s="14" t="str">
        <f t="shared" si="46"/>
        <v>30/06/2023</v>
      </c>
      <c r="O339" s="14" t="str">
        <f t="shared" si="47"/>
        <v>2023</v>
      </c>
      <c r="P339" s="11" t="s">
        <v>1026</v>
      </c>
      <c r="Q339" s="11" t="s">
        <v>112</v>
      </c>
      <c r="R339" s="11">
        <v>1</v>
      </c>
      <c r="S339" s="11" t="str">
        <f t="shared" si="48"/>
        <v>0 - 4 yrs</v>
      </c>
      <c r="T339" s="12">
        <v>0</v>
      </c>
      <c r="U339" s="11" t="str">
        <f t="shared" si="49"/>
        <v>(0 - 50)</v>
      </c>
      <c r="V339" s="12">
        <f t="shared" si="50"/>
        <v>42.5</v>
      </c>
      <c r="W339" s="12">
        <f t="shared" si="51"/>
        <v>274.54117647058825</v>
      </c>
      <c r="X339" s="12">
        <f t="shared" si="52"/>
        <v>0</v>
      </c>
    </row>
    <row r="340" spans="1:24">
      <c r="A340" s="11">
        <v>339</v>
      </c>
      <c r="B340" s="11" t="s">
        <v>334</v>
      </c>
      <c r="C340" s="11" t="s">
        <v>32</v>
      </c>
      <c r="D340" s="11" t="s">
        <v>33</v>
      </c>
      <c r="E340" s="12">
        <v>6.9</v>
      </c>
      <c r="F340" s="11" t="s">
        <v>62</v>
      </c>
      <c r="G340" s="11" t="str">
        <f t="shared" si="53"/>
        <v>kWh</v>
      </c>
      <c r="H340" s="13">
        <v>401</v>
      </c>
      <c r="I340" s="11" t="s">
        <v>19</v>
      </c>
      <c r="J340" s="12">
        <v>44560</v>
      </c>
      <c r="K340" s="12" t="str">
        <f t="shared" si="45"/>
        <v>Medium</v>
      </c>
      <c r="L340" s="11" t="s">
        <v>20</v>
      </c>
      <c r="M340" s="14">
        <v>45750</v>
      </c>
      <c r="N340" s="14" t="str">
        <f t="shared" si="46"/>
        <v>03/04/2025</v>
      </c>
      <c r="O340" s="14" t="str">
        <f t="shared" si="47"/>
        <v>2025</v>
      </c>
      <c r="P340" s="11" t="s">
        <v>1028</v>
      </c>
      <c r="Q340" s="11" t="s">
        <v>69</v>
      </c>
      <c r="R340" s="11">
        <v>1</v>
      </c>
      <c r="S340" s="11" t="str">
        <f t="shared" si="48"/>
        <v>0 - 4 yrs</v>
      </c>
      <c r="T340" s="12">
        <v>18.3</v>
      </c>
      <c r="U340" s="11" t="str">
        <f t="shared" si="49"/>
        <v>(0 - 50)</v>
      </c>
      <c r="V340" s="12">
        <f t="shared" si="50"/>
        <v>58.115942028985508</v>
      </c>
      <c r="W340" s="12">
        <f t="shared" si="51"/>
        <v>111.12219451371571</v>
      </c>
      <c r="X340" s="12">
        <f t="shared" si="52"/>
        <v>4.5635910224438907E-2</v>
      </c>
    </row>
    <row r="341" spans="1:24">
      <c r="A341" s="11">
        <v>340</v>
      </c>
      <c r="B341" s="11" t="s">
        <v>1029</v>
      </c>
      <c r="C341" s="11" t="s">
        <v>39</v>
      </c>
      <c r="D341" s="11" t="s">
        <v>114</v>
      </c>
      <c r="E341" s="12">
        <v>67</v>
      </c>
      <c r="F341" s="11" t="s">
        <v>2643</v>
      </c>
      <c r="G341" s="11" t="str">
        <f t="shared" si="53"/>
        <v>Litres</v>
      </c>
      <c r="H341" s="13">
        <v>645</v>
      </c>
      <c r="I341" s="11" t="s">
        <v>19</v>
      </c>
      <c r="J341" s="12">
        <v>103706</v>
      </c>
      <c r="K341" s="12" t="str">
        <f t="shared" si="45"/>
        <v>Very High</v>
      </c>
      <c r="L341" s="11" t="s">
        <v>20</v>
      </c>
      <c r="M341" s="14">
        <v>45717</v>
      </c>
      <c r="N341" s="14" t="str">
        <f t="shared" si="46"/>
        <v>01/03/2025</v>
      </c>
      <c r="O341" s="14" t="str">
        <f t="shared" si="47"/>
        <v>2025</v>
      </c>
      <c r="P341" s="11" t="s">
        <v>1030</v>
      </c>
      <c r="Q341" s="11" t="s">
        <v>117</v>
      </c>
      <c r="R341" s="11">
        <v>19</v>
      </c>
      <c r="S341" s="11" t="str">
        <f t="shared" si="48"/>
        <v>17 + yrs</v>
      </c>
      <c r="T341" s="12">
        <v>174.4</v>
      </c>
      <c r="U341" s="11" t="str">
        <f t="shared" si="49"/>
        <v>(151 - 200)</v>
      </c>
      <c r="V341" s="12">
        <f t="shared" si="50"/>
        <v>9.6268656716417915</v>
      </c>
      <c r="W341" s="12">
        <f t="shared" si="51"/>
        <v>160.78449612403099</v>
      </c>
      <c r="X341" s="12">
        <f t="shared" si="52"/>
        <v>0.27038759689922481</v>
      </c>
    </row>
    <row r="342" spans="1:24">
      <c r="A342" s="11">
        <v>341</v>
      </c>
      <c r="B342" s="11" t="s">
        <v>1031</v>
      </c>
      <c r="C342" s="11" t="s">
        <v>39</v>
      </c>
      <c r="D342" s="11" t="s">
        <v>33</v>
      </c>
      <c r="E342" s="12">
        <v>4.3</v>
      </c>
      <c r="F342" s="11" t="s">
        <v>56</v>
      </c>
      <c r="G342" s="11" t="str">
        <f t="shared" si="53"/>
        <v>Litres</v>
      </c>
      <c r="H342" s="13">
        <v>416</v>
      </c>
      <c r="I342" s="11" t="s">
        <v>19</v>
      </c>
      <c r="J342" s="12">
        <v>9073</v>
      </c>
      <c r="K342" s="12" t="str">
        <f t="shared" si="45"/>
        <v>Very Low</v>
      </c>
      <c r="L342" s="11" t="s">
        <v>20</v>
      </c>
      <c r="M342" s="14">
        <v>45714</v>
      </c>
      <c r="N342" s="14" t="str">
        <f t="shared" si="46"/>
        <v>26/02/2025</v>
      </c>
      <c r="O342" s="14" t="str">
        <f t="shared" si="47"/>
        <v>2025</v>
      </c>
      <c r="P342" s="11" t="s">
        <v>1033</v>
      </c>
      <c r="Q342" s="11" t="s">
        <v>112</v>
      </c>
      <c r="R342" s="11">
        <v>14</v>
      </c>
      <c r="S342" s="11" t="str">
        <f t="shared" si="48"/>
        <v>13 - 16 yrs</v>
      </c>
      <c r="T342" s="12">
        <v>11.2</v>
      </c>
      <c r="U342" s="11" t="str">
        <f t="shared" si="49"/>
        <v>(0 - 50)</v>
      </c>
      <c r="V342" s="12">
        <f t="shared" si="50"/>
        <v>96.744186046511629</v>
      </c>
      <c r="W342" s="12">
        <f t="shared" si="51"/>
        <v>21.810096153846153</v>
      </c>
      <c r="X342" s="12">
        <f t="shared" si="52"/>
        <v>2.6923076923076921E-2</v>
      </c>
    </row>
    <row r="343" spans="1:24">
      <c r="A343" s="11">
        <v>342</v>
      </c>
      <c r="B343" s="11" t="s">
        <v>742</v>
      </c>
      <c r="C343" s="11" t="s">
        <v>16</v>
      </c>
      <c r="D343" s="11" t="s">
        <v>61</v>
      </c>
      <c r="E343" s="12">
        <v>10</v>
      </c>
      <c r="F343" s="11" t="s">
        <v>41</v>
      </c>
      <c r="G343" s="11" t="str">
        <f t="shared" si="53"/>
        <v>Litres</v>
      </c>
      <c r="H343" s="13">
        <v>333</v>
      </c>
      <c r="I343" s="11" t="s">
        <v>19</v>
      </c>
      <c r="J343" s="12">
        <v>46650</v>
      </c>
      <c r="K343" s="12" t="str">
        <f t="shared" si="45"/>
        <v>Medium</v>
      </c>
      <c r="L343" s="11" t="s">
        <v>20</v>
      </c>
      <c r="M343" s="14">
        <v>44974</v>
      </c>
      <c r="N343" s="14" t="str">
        <f t="shared" si="46"/>
        <v>17/02/2023</v>
      </c>
      <c r="O343" s="14" t="str">
        <f t="shared" si="47"/>
        <v>2023</v>
      </c>
      <c r="P343" s="11" t="s">
        <v>655</v>
      </c>
      <c r="Q343" s="11" t="s">
        <v>2648</v>
      </c>
      <c r="R343" s="11">
        <v>19</v>
      </c>
      <c r="S343" s="11" t="str">
        <f t="shared" si="48"/>
        <v>17 + yrs</v>
      </c>
      <c r="T343" s="12">
        <v>0</v>
      </c>
      <c r="U343" s="11" t="str">
        <f t="shared" si="49"/>
        <v>(0 - 50)</v>
      </c>
      <c r="V343" s="12">
        <f t="shared" si="50"/>
        <v>33.299999999999997</v>
      </c>
      <c r="W343" s="12">
        <f t="shared" si="51"/>
        <v>140.09009009009009</v>
      </c>
      <c r="X343" s="12">
        <f t="shared" si="52"/>
        <v>0</v>
      </c>
    </row>
    <row r="344" spans="1:24">
      <c r="A344" s="11">
        <v>343</v>
      </c>
      <c r="B344" s="11" t="s">
        <v>2496</v>
      </c>
      <c r="C344" s="11" t="s">
        <v>32</v>
      </c>
      <c r="D344" s="11" t="s">
        <v>61</v>
      </c>
      <c r="E344" s="12">
        <v>10</v>
      </c>
      <c r="F344" s="11" t="s">
        <v>26</v>
      </c>
      <c r="G344" s="11" t="str">
        <f t="shared" si="53"/>
        <v>Litres</v>
      </c>
      <c r="H344" s="13">
        <v>452</v>
      </c>
      <c r="I344" s="11" t="s">
        <v>19</v>
      </c>
      <c r="J344" s="12">
        <v>112534</v>
      </c>
      <c r="K344" s="12" t="str">
        <f t="shared" si="45"/>
        <v>Extreme</v>
      </c>
      <c r="L344" s="11" t="s">
        <v>20</v>
      </c>
      <c r="M344" s="14">
        <v>45552</v>
      </c>
      <c r="N344" s="14" t="str">
        <f t="shared" si="46"/>
        <v>17/09/2024</v>
      </c>
      <c r="O344" s="14" t="str">
        <f t="shared" si="47"/>
        <v>2024</v>
      </c>
      <c r="P344" s="11" t="s">
        <v>1037</v>
      </c>
      <c r="Q344" s="11" t="s">
        <v>48</v>
      </c>
      <c r="R344" s="11">
        <v>7</v>
      </c>
      <c r="S344" s="11" t="str">
        <f t="shared" si="48"/>
        <v>5 - 8 yrs</v>
      </c>
      <c r="T344" s="12">
        <v>0</v>
      </c>
      <c r="U344" s="11" t="str">
        <f t="shared" si="49"/>
        <v>(0 - 50)</v>
      </c>
      <c r="V344" s="12">
        <f t="shared" si="50"/>
        <v>45.2</v>
      </c>
      <c r="W344" s="12">
        <f t="shared" si="51"/>
        <v>248.96902654867256</v>
      </c>
      <c r="X344" s="12">
        <f t="shared" si="52"/>
        <v>0</v>
      </c>
    </row>
    <row r="345" spans="1:24">
      <c r="A345" s="11">
        <v>344</v>
      </c>
      <c r="B345" s="11" t="s">
        <v>1038</v>
      </c>
      <c r="C345" s="11" t="s">
        <v>32</v>
      </c>
      <c r="D345" s="11" t="s">
        <v>33</v>
      </c>
      <c r="E345" s="12">
        <v>73.900000000000006</v>
      </c>
      <c r="F345" s="11" t="s">
        <v>56</v>
      </c>
      <c r="G345" s="11" t="str">
        <f t="shared" si="53"/>
        <v>Litres</v>
      </c>
      <c r="H345" s="13">
        <v>378</v>
      </c>
      <c r="I345" s="11" t="s">
        <v>19</v>
      </c>
      <c r="J345" s="12">
        <v>97362</v>
      </c>
      <c r="K345" s="12" t="str">
        <f t="shared" si="45"/>
        <v>Very High</v>
      </c>
      <c r="L345" s="11" t="s">
        <v>20</v>
      </c>
      <c r="M345" s="14">
        <v>45405</v>
      </c>
      <c r="N345" s="14" t="str">
        <f t="shared" si="46"/>
        <v>23/04/2024</v>
      </c>
      <c r="O345" s="14" t="str">
        <f t="shared" si="47"/>
        <v>2024</v>
      </c>
      <c r="P345" s="11" t="s">
        <v>642</v>
      </c>
      <c r="Q345" s="11" t="s">
        <v>441</v>
      </c>
      <c r="R345" s="11">
        <v>3</v>
      </c>
      <c r="S345" s="11" t="str">
        <f t="shared" si="48"/>
        <v>0 - 4 yrs</v>
      </c>
      <c r="T345" s="12">
        <v>183.9</v>
      </c>
      <c r="U345" s="11" t="str">
        <f t="shared" si="49"/>
        <v>(151 - 200)</v>
      </c>
      <c r="V345" s="12">
        <f t="shared" si="50"/>
        <v>5.1150202976995933</v>
      </c>
      <c r="W345" s="12">
        <f t="shared" si="51"/>
        <v>257.57142857142856</v>
      </c>
      <c r="X345" s="12">
        <f t="shared" si="52"/>
        <v>0.4865079365079365</v>
      </c>
    </row>
    <row r="346" spans="1:24">
      <c r="A346" s="11">
        <v>345</v>
      </c>
      <c r="B346" s="11" t="s">
        <v>1040</v>
      </c>
      <c r="C346" s="11" t="s">
        <v>32</v>
      </c>
      <c r="D346" s="11" t="s">
        <v>114</v>
      </c>
      <c r="E346" s="12">
        <v>10.5</v>
      </c>
      <c r="F346" s="11" t="s">
        <v>56</v>
      </c>
      <c r="G346" s="11" t="str">
        <f t="shared" si="53"/>
        <v>Litres</v>
      </c>
      <c r="H346" s="13">
        <v>414</v>
      </c>
      <c r="I346" s="11" t="s">
        <v>19</v>
      </c>
      <c r="J346" s="12">
        <v>81002</v>
      </c>
      <c r="K346" s="12" t="str">
        <f t="shared" si="45"/>
        <v>High</v>
      </c>
      <c r="L346" s="11" t="s">
        <v>20</v>
      </c>
      <c r="M346" s="14">
        <v>45248</v>
      </c>
      <c r="N346" s="14" t="str">
        <f t="shared" si="46"/>
        <v>18/11/2023</v>
      </c>
      <c r="O346" s="14" t="str">
        <f t="shared" si="47"/>
        <v>2023</v>
      </c>
      <c r="P346" s="11" t="s">
        <v>896</v>
      </c>
      <c r="Q346" s="11" t="s">
        <v>441</v>
      </c>
      <c r="R346" s="11">
        <v>2</v>
      </c>
      <c r="S346" s="11" t="str">
        <f t="shared" si="48"/>
        <v>0 - 4 yrs</v>
      </c>
      <c r="T346" s="12">
        <v>28.7</v>
      </c>
      <c r="U346" s="11" t="str">
        <f t="shared" si="49"/>
        <v>(0 - 50)</v>
      </c>
      <c r="V346" s="12">
        <f t="shared" si="50"/>
        <v>39.428571428571431</v>
      </c>
      <c r="W346" s="12">
        <f t="shared" si="51"/>
        <v>195.65700483091788</v>
      </c>
      <c r="X346" s="12">
        <f t="shared" si="52"/>
        <v>6.9323671497584533E-2</v>
      </c>
    </row>
    <row r="347" spans="1:24">
      <c r="A347" s="11">
        <v>346</v>
      </c>
      <c r="B347" s="11" t="s">
        <v>1042</v>
      </c>
      <c r="C347" s="11" t="s">
        <v>32</v>
      </c>
      <c r="D347" s="11" t="s">
        <v>33</v>
      </c>
      <c r="E347" s="12">
        <v>57.2</v>
      </c>
      <c r="F347" s="11" t="s">
        <v>2643</v>
      </c>
      <c r="G347" s="11" t="str">
        <f t="shared" si="53"/>
        <v>Litres</v>
      </c>
      <c r="H347" s="13">
        <v>494</v>
      </c>
      <c r="I347" s="11" t="s">
        <v>19</v>
      </c>
      <c r="J347" s="12">
        <v>3163</v>
      </c>
      <c r="K347" s="12" t="str">
        <f t="shared" si="45"/>
        <v>Very Low</v>
      </c>
      <c r="L347" s="11" t="s">
        <v>20</v>
      </c>
      <c r="M347" s="14">
        <v>45260</v>
      </c>
      <c r="N347" s="14" t="str">
        <f t="shared" si="46"/>
        <v>30/11/2023</v>
      </c>
      <c r="O347" s="14" t="str">
        <f t="shared" si="47"/>
        <v>2023</v>
      </c>
      <c r="P347" s="11" t="s">
        <v>1044</v>
      </c>
      <c r="Q347" s="11" t="s">
        <v>121</v>
      </c>
      <c r="R347" s="11">
        <v>19</v>
      </c>
      <c r="S347" s="11" t="str">
        <f t="shared" si="48"/>
        <v>17 + yrs</v>
      </c>
      <c r="T347" s="12">
        <v>144.80000000000001</v>
      </c>
      <c r="U347" s="11" t="str">
        <f t="shared" si="49"/>
        <v>(101 - 150)</v>
      </c>
      <c r="V347" s="12">
        <f t="shared" si="50"/>
        <v>8.6363636363636367</v>
      </c>
      <c r="W347" s="12">
        <f t="shared" si="51"/>
        <v>6.402834008097166</v>
      </c>
      <c r="X347" s="12">
        <f t="shared" si="52"/>
        <v>0.29311740890688259</v>
      </c>
    </row>
    <row r="348" spans="1:24">
      <c r="A348" s="11">
        <v>347</v>
      </c>
      <c r="B348" s="11" t="s">
        <v>1045</v>
      </c>
      <c r="C348" s="11" t="s">
        <v>50</v>
      </c>
      <c r="D348" s="11" t="s">
        <v>17</v>
      </c>
      <c r="E348" s="12">
        <v>99</v>
      </c>
      <c r="F348" s="11" t="s">
        <v>56</v>
      </c>
      <c r="G348" s="11" t="str">
        <f t="shared" si="53"/>
        <v>Litres</v>
      </c>
      <c r="H348" s="13">
        <v>662</v>
      </c>
      <c r="I348" s="11" t="s">
        <v>19</v>
      </c>
      <c r="J348" s="12">
        <v>104054</v>
      </c>
      <c r="K348" s="12" t="str">
        <f t="shared" si="45"/>
        <v>Very High</v>
      </c>
      <c r="L348" s="11" t="s">
        <v>20</v>
      </c>
      <c r="M348" s="14">
        <v>45369</v>
      </c>
      <c r="N348" s="14" t="str">
        <f t="shared" si="46"/>
        <v>18/03/2024</v>
      </c>
      <c r="O348" s="14" t="str">
        <f t="shared" si="47"/>
        <v>2024</v>
      </c>
      <c r="P348" s="11" t="s">
        <v>1047</v>
      </c>
      <c r="Q348" s="11" t="s">
        <v>69</v>
      </c>
      <c r="R348" s="11">
        <v>15</v>
      </c>
      <c r="S348" s="11" t="str">
        <f t="shared" si="48"/>
        <v>13 - 16 yrs</v>
      </c>
      <c r="T348" s="12">
        <v>218.1</v>
      </c>
      <c r="U348" s="11" t="str">
        <f t="shared" si="49"/>
        <v>(201 - 250)</v>
      </c>
      <c r="V348" s="12">
        <f t="shared" si="50"/>
        <v>6.6868686868686869</v>
      </c>
      <c r="W348" s="12">
        <f t="shared" si="51"/>
        <v>157.18126888217523</v>
      </c>
      <c r="X348" s="12">
        <f t="shared" si="52"/>
        <v>0.32945619335347431</v>
      </c>
    </row>
    <row r="349" spans="1:24">
      <c r="A349" s="11">
        <v>348</v>
      </c>
      <c r="B349" s="11" t="s">
        <v>1048</v>
      </c>
      <c r="C349" s="11" t="s">
        <v>39</v>
      </c>
      <c r="D349" s="11" t="s">
        <v>33</v>
      </c>
      <c r="E349" s="12">
        <v>83.7</v>
      </c>
      <c r="F349" s="11" t="s">
        <v>62</v>
      </c>
      <c r="G349" s="11" t="str">
        <f t="shared" si="53"/>
        <v>kWh</v>
      </c>
      <c r="H349" s="13">
        <v>428</v>
      </c>
      <c r="I349" s="11" t="s">
        <v>19</v>
      </c>
      <c r="J349" s="12">
        <v>56259</v>
      </c>
      <c r="K349" s="12" t="str">
        <f t="shared" si="45"/>
        <v>Moderate</v>
      </c>
      <c r="L349" s="11" t="s">
        <v>20</v>
      </c>
      <c r="M349" s="14">
        <v>45378</v>
      </c>
      <c r="N349" s="14" t="str">
        <f t="shared" si="46"/>
        <v>27/03/2024</v>
      </c>
      <c r="O349" s="14" t="str">
        <f t="shared" si="47"/>
        <v>2024</v>
      </c>
      <c r="P349" s="11" t="s">
        <v>1050</v>
      </c>
      <c r="Q349" s="11" t="s">
        <v>112</v>
      </c>
      <c r="R349" s="11">
        <v>7</v>
      </c>
      <c r="S349" s="11" t="str">
        <f t="shared" si="48"/>
        <v>5 - 8 yrs</v>
      </c>
      <c r="T349" s="12">
        <v>176.6</v>
      </c>
      <c r="U349" s="11" t="str">
        <f t="shared" si="49"/>
        <v>(151 - 200)</v>
      </c>
      <c r="V349" s="12">
        <f t="shared" si="50"/>
        <v>5.1135005973715648</v>
      </c>
      <c r="W349" s="12">
        <f t="shared" si="51"/>
        <v>131.44626168224298</v>
      </c>
      <c r="X349" s="12">
        <f t="shared" si="52"/>
        <v>0.41261682242990655</v>
      </c>
    </row>
    <row r="350" spans="1:24">
      <c r="A350" s="11">
        <v>349</v>
      </c>
      <c r="B350" s="11" t="s">
        <v>1051</v>
      </c>
      <c r="C350" s="11" t="s">
        <v>50</v>
      </c>
      <c r="D350" s="11" t="s">
        <v>33</v>
      </c>
      <c r="E350" s="12">
        <v>93.4</v>
      </c>
      <c r="F350" s="11" t="s">
        <v>26</v>
      </c>
      <c r="G350" s="11" t="str">
        <f t="shared" si="53"/>
        <v>Litres</v>
      </c>
      <c r="H350" s="13">
        <v>653</v>
      </c>
      <c r="I350" s="11" t="s">
        <v>19</v>
      </c>
      <c r="J350" s="12">
        <v>66651</v>
      </c>
      <c r="K350" s="12" t="str">
        <f t="shared" si="45"/>
        <v>Moderate</v>
      </c>
      <c r="L350" s="11" t="s">
        <v>20</v>
      </c>
      <c r="M350" s="14">
        <v>45616</v>
      </c>
      <c r="N350" s="14" t="str">
        <f t="shared" si="46"/>
        <v>20/11/2024</v>
      </c>
      <c r="O350" s="14" t="str">
        <f t="shared" si="47"/>
        <v>2024</v>
      </c>
      <c r="P350" s="11" t="s">
        <v>621</v>
      </c>
      <c r="Q350" s="11" t="s">
        <v>112</v>
      </c>
      <c r="R350" s="11">
        <v>1</v>
      </c>
      <c r="S350" s="11" t="str">
        <f t="shared" si="48"/>
        <v>0 - 4 yrs</v>
      </c>
      <c r="T350" s="12">
        <v>320.2</v>
      </c>
      <c r="U350" s="11" t="str">
        <f t="shared" si="49"/>
        <v>(301 - 350)</v>
      </c>
      <c r="V350" s="12">
        <f t="shared" si="50"/>
        <v>6.9914346895074946</v>
      </c>
      <c r="W350" s="12">
        <f t="shared" si="51"/>
        <v>102.06891271056662</v>
      </c>
      <c r="X350" s="12">
        <f t="shared" si="52"/>
        <v>0.49035222052067379</v>
      </c>
    </row>
    <row r="351" spans="1:24">
      <c r="A351" s="11">
        <v>350</v>
      </c>
      <c r="B351" s="11" t="s">
        <v>1053</v>
      </c>
      <c r="C351" s="11" t="s">
        <v>39</v>
      </c>
      <c r="D351" s="11" t="s">
        <v>33</v>
      </c>
      <c r="E351" s="12">
        <v>18.8</v>
      </c>
      <c r="F351" s="11" t="s">
        <v>26</v>
      </c>
      <c r="G351" s="11" t="str">
        <f t="shared" si="53"/>
        <v>Litres</v>
      </c>
      <c r="H351" s="13">
        <v>200</v>
      </c>
      <c r="I351" s="11" t="s">
        <v>19</v>
      </c>
      <c r="J351" s="12">
        <v>10466</v>
      </c>
      <c r="K351" s="12" t="str">
        <f t="shared" si="45"/>
        <v>Very Low</v>
      </c>
      <c r="L351" s="11" t="s">
        <v>20</v>
      </c>
      <c r="M351" s="14">
        <v>44963</v>
      </c>
      <c r="N351" s="14" t="str">
        <f t="shared" si="46"/>
        <v>06/02/2023</v>
      </c>
      <c r="O351" s="14" t="str">
        <f t="shared" si="47"/>
        <v>2023</v>
      </c>
      <c r="P351" s="11" t="s">
        <v>1055</v>
      </c>
      <c r="Q351" s="11" t="s">
        <v>2648</v>
      </c>
      <c r="R351" s="11">
        <v>15</v>
      </c>
      <c r="S351" s="11" t="str">
        <f t="shared" si="48"/>
        <v>13 - 16 yrs</v>
      </c>
      <c r="T351" s="12">
        <v>47.3</v>
      </c>
      <c r="U351" s="11" t="str">
        <f t="shared" si="49"/>
        <v>(0 - 50)</v>
      </c>
      <c r="V351" s="12">
        <f t="shared" si="50"/>
        <v>10.638297872340425</v>
      </c>
      <c r="W351" s="12">
        <f t="shared" si="51"/>
        <v>52.33</v>
      </c>
      <c r="X351" s="12">
        <f t="shared" si="52"/>
        <v>0.23649999999999999</v>
      </c>
    </row>
    <row r="352" spans="1:24">
      <c r="A352" s="11">
        <v>351</v>
      </c>
      <c r="B352" s="11" t="s">
        <v>2454</v>
      </c>
      <c r="C352" s="11" t="s">
        <v>50</v>
      </c>
      <c r="D352" s="11" t="s">
        <v>17</v>
      </c>
      <c r="E352" s="12">
        <v>21.4</v>
      </c>
      <c r="F352" s="11" t="s">
        <v>56</v>
      </c>
      <c r="G352" s="11" t="str">
        <f t="shared" si="53"/>
        <v>Litres</v>
      </c>
      <c r="H352" s="13">
        <v>459</v>
      </c>
      <c r="I352" s="11" t="s">
        <v>19</v>
      </c>
      <c r="J352" s="12">
        <v>7360</v>
      </c>
      <c r="K352" s="12" t="str">
        <f t="shared" si="45"/>
        <v>Very Low</v>
      </c>
      <c r="L352" s="11" t="s">
        <v>20</v>
      </c>
      <c r="M352" s="14">
        <v>45114</v>
      </c>
      <c r="N352" s="14" t="str">
        <f t="shared" si="46"/>
        <v>07/07/2023</v>
      </c>
      <c r="O352" s="14" t="str">
        <f t="shared" si="47"/>
        <v>2023</v>
      </c>
      <c r="P352" s="11" t="s">
        <v>822</v>
      </c>
      <c r="Q352" s="11" t="s">
        <v>441</v>
      </c>
      <c r="R352" s="11">
        <v>14</v>
      </c>
      <c r="S352" s="11" t="str">
        <f t="shared" si="48"/>
        <v>13 - 16 yrs</v>
      </c>
      <c r="T352" s="12">
        <v>54.1</v>
      </c>
      <c r="U352" s="11" t="str">
        <f t="shared" si="49"/>
        <v>(51 - 100)</v>
      </c>
      <c r="V352" s="12">
        <f t="shared" si="50"/>
        <v>21.448598130841123</v>
      </c>
      <c r="W352" s="12">
        <f t="shared" si="51"/>
        <v>16.034858387799563</v>
      </c>
      <c r="X352" s="12">
        <f t="shared" si="52"/>
        <v>0.1178649237472767</v>
      </c>
    </row>
    <row r="353" spans="1:24">
      <c r="A353" s="11">
        <v>352</v>
      </c>
      <c r="B353" s="11" t="s">
        <v>1057</v>
      </c>
      <c r="C353" s="11" t="s">
        <v>16</v>
      </c>
      <c r="D353" s="11" t="s">
        <v>33</v>
      </c>
      <c r="E353" s="12">
        <v>51.1</v>
      </c>
      <c r="F353" s="11" t="s">
        <v>2643</v>
      </c>
      <c r="G353" s="11" t="str">
        <f t="shared" si="53"/>
        <v>Litres</v>
      </c>
      <c r="H353" s="13">
        <v>568</v>
      </c>
      <c r="I353" s="11" t="s">
        <v>19</v>
      </c>
      <c r="J353" s="12">
        <v>20520</v>
      </c>
      <c r="K353" s="12" t="str">
        <f t="shared" si="45"/>
        <v>Low</v>
      </c>
      <c r="L353" s="11" t="s">
        <v>20</v>
      </c>
      <c r="M353" s="14">
        <v>45240</v>
      </c>
      <c r="N353" s="14" t="str">
        <f t="shared" si="46"/>
        <v>10/11/2023</v>
      </c>
      <c r="O353" s="14" t="str">
        <f t="shared" si="47"/>
        <v>2023</v>
      </c>
      <c r="P353" s="11" t="s">
        <v>1059</v>
      </c>
      <c r="Q353" s="11" t="s">
        <v>48</v>
      </c>
      <c r="R353" s="11">
        <v>4</v>
      </c>
      <c r="S353" s="11" t="str">
        <f t="shared" si="48"/>
        <v>0 - 4 yrs</v>
      </c>
      <c r="T353" s="12">
        <v>143</v>
      </c>
      <c r="U353" s="11" t="str">
        <f t="shared" si="49"/>
        <v>(101 - 150)</v>
      </c>
      <c r="V353" s="12">
        <f t="shared" si="50"/>
        <v>11.115459882583171</v>
      </c>
      <c r="W353" s="12">
        <f t="shared" si="51"/>
        <v>36.12676056338028</v>
      </c>
      <c r="X353" s="12">
        <f t="shared" si="52"/>
        <v>0.25176056338028169</v>
      </c>
    </row>
    <row r="354" spans="1:24">
      <c r="A354" s="11">
        <v>353</v>
      </c>
      <c r="B354" s="11" t="s">
        <v>1060</v>
      </c>
      <c r="C354" s="11" t="s">
        <v>39</v>
      </c>
      <c r="D354" s="11" t="s">
        <v>17</v>
      </c>
      <c r="E354" s="12">
        <v>24.1</v>
      </c>
      <c r="F354" s="11" t="s">
        <v>26</v>
      </c>
      <c r="G354" s="11" t="str">
        <f t="shared" si="53"/>
        <v>Litres</v>
      </c>
      <c r="H354" s="13">
        <v>531</v>
      </c>
      <c r="I354" s="11" t="s">
        <v>19</v>
      </c>
      <c r="J354" s="12">
        <v>22595</v>
      </c>
      <c r="K354" s="12" t="str">
        <f t="shared" si="45"/>
        <v>Low</v>
      </c>
      <c r="L354" s="11" t="s">
        <v>20</v>
      </c>
      <c r="M354" s="14">
        <v>45349</v>
      </c>
      <c r="N354" s="14" t="str">
        <f t="shared" si="46"/>
        <v>27/02/2024</v>
      </c>
      <c r="O354" s="14" t="str">
        <f t="shared" si="47"/>
        <v>2024</v>
      </c>
      <c r="P354" s="11" t="s">
        <v>1061</v>
      </c>
      <c r="Q354" s="11" t="s">
        <v>2648</v>
      </c>
      <c r="R354" s="11">
        <v>9</v>
      </c>
      <c r="S354" s="11" t="str">
        <f t="shared" si="48"/>
        <v>9 - 12 yrs</v>
      </c>
      <c r="T354" s="12">
        <v>58</v>
      </c>
      <c r="U354" s="11" t="str">
        <f t="shared" si="49"/>
        <v>(51 - 100)</v>
      </c>
      <c r="V354" s="12">
        <f t="shared" si="50"/>
        <v>22.033195020746888</v>
      </c>
      <c r="W354" s="12">
        <f t="shared" si="51"/>
        <v>42.551789077212803</v>
      </c>
      <c r="X354" s="12">
        <f t="shared" si="52"/>
        <v>0.10922787193973635</v>
      </c>
    </row>
    <row r="355" spans="1:24">
      <c r="A355" s="11">
        <v>354</v>
      </c>
      <c r="B355" s="11" t="s">
        <v>1062</v>
      </c>
      <c r="C355" s="11" t="s">
        <v>50</v>
      </c>
      <c r="D355" s="11" t="s">
        <v>33</v>
      </c>
      <c r="E355" s="12">
        <v>70.599999999999994</v>
      </c>
      <c r="F355" s="11" t="s">
        <v>62</v>
      </c>
      <c r="G355" s="11" t="str">
        <f t="shared" si="53"/>
        <v>kWh</v>
      </c>
      <c r="H355" s="13">
        <v>343</v>
      </c>
      <c r="I355" s="11" t="s">
        <v>19</v>
      </c>
      <c r="J355" s="12">
        <v>36636</v>
      </c>
      <c r="K355" s="12" t="str">
        <f t="shared" si="45"/>
        <v>Medium</v>
      </c>
      <c r="L355" s="11" t="s">
        <v>20</v>
      </c>
      <c r="M355" s="14">
        <v>45202</v>
      </c>
      <c r="N355" s="14" t="str">
        <f t="shared" si="46"/>
        <v>03/10/2023</v>
      </c>
      <c r="O355" s="14" t="str">
        <f t="shared" si="47"/>
        <v>2023</v>
      </c>
      <c r="P355" s="11" t="s">
        <v>1013</v>
      </c>
      <c r="Q355" s="11" t="s">
        <v>121</v>
      </c>
      <c r="R355" s="11">
        <v>10</v>
      </c>
      <c r="S355" s="11" t="str">
        <f t="shared" si="48"/>
        <v>9 - 12 yrs</v>
      </c>
      <c r="T355" s="12">
        <v>224</v>
      </c>
      <c r="U355" s="11" t="str">
        <f t="shared" si="49"/>
        <v>(201 - 250)</v>
      </c>
      <c r="V355" s="12">
        <f t="shared" si="50"/>
        <v>4.8583569405099158</v>
      </c>
      <c r="W355" s="12">
        <f t="shared" si="51"/>
        <v>106.81049562682216</v>
      </c>
      <c r="X355" s="12">
        <f t="shared" si="52"/>
        <v>0.65306122448979587</v>
      </c>
    </row>
    <row r="356" spans="1:24">
      <c r="A356" s="11">
        <v>355</v>
      </c>
      <c r="B356" s="11" t="s">
        <v>2497</v>
      </c>
      <c r="C356" s="11" t="s">
        <v>39</v>
      </c>
      <c r="D356" s="11" t="s">
        <v>33</v>
      </c>
      <c r="E356" s="12">
        <v>57.2</v>
      </c>
      <c r="F356" s="11" t="s">
        <v>2643</v>
      </c>
      <c r="G356" s="11" t="str">
        <f t="shared" si="53"/>
        <v>Litres</v>
      </c>
      <c r="H356" s="13">
        <v>320</v>
      </c>
      <c r="I356" s="11" t="s">
        <v>19</v>
      </c>
      <c r="J356" s="12">
        <v>74570</v>
      </c>
      <c r="K356" s="12" t="str">
        <f t="shared" si="45"/>
        <v>High</v>
      </c>
      <c r="L356" s="11" t="s">
        <v>20</v>
      </c>
      <c r="M356" s="14">
        <v>45746</v>
      </c>
      <c r="N356" s="14" t="str">
        <f t="shared" si="46"/>
        <v>30/03/2025</v>
      </c>
      <c r="O356" s="14" t="str">
        <f t="shared" si="47"/>
        <v>2025</v>
      </c>
      <c r="P356" s="11" t="s">
        <v>1065</v>
      </c>
      <c r="Q356" s="11" t="s">
        <v>69</v>
      </c>
      <c r="R356" s="11">
        <v>9</v>
      </c>
      <c r="S356" s="11" t="str">
        <f t="shared" si="48"/>
        <v>9 - 12 yrs</v>
      </c>
      <c r="T356" s="12">
        <v>193.8</v>
      </c>
      <c r="U356" s="11" t="str">
        <f t="shared" si="49"/>
        <v>(151 - 200)</v>
      </c>
      <c r="V356" s="12">
        <f t="shared" si="50"/>
        <v>5.5944055944055942</v>
      </c>
      <c r="W356" s="12">
        <f t="shared" si="51"/>
        <v>233.03125</v>
      </c>
      <c r="X356" s="12">
        <f t="shared" si="52"/>
        <v>0.60562500000000008</v>
      </c>
    </row>
    <row r="357" spans="1:24">
      <c r="A357" s="11">
        <v>356</v>
      </c>
      <c r="B357" s="11" t="s">
        <v>1066</v>
      </c>
      <c r="C357" s="11" t="s">
        <v>50</v>
      </c>
      <c r="D357" s="11" t="s">
        <v>17</v>
      </c>
      <c r="E357" s="12">
        <v>60.2</v>
      </c>
      <c r="F357" s="11" t="s">
        <v>56</v>
      </c>
      <c r="G357" s="11" t="str">
        <f t="shared" si="53"/>
        <v>Litres</v>
      </c>
      <c r="H357" s="13">
        <v>319</v>
      </c>
      <c r="I357" s="11" t="s">
        <v>19</v>
      </c>
      <c r="J357" s="12">
        <v>68113</v>
      </c>
      <c r="K357" s="12" t="str">
        <f t="shared" si="45"/>
        <v>Moderate</v>
      </c>
      <c r="L357" s="11" t="s">
        <v>20</v>
      </c>
      <c r="M357" s="14">
        <v>45024</v>
      </c>
      <c r="N357" s="14" t="str">
        <f t="shared" si="46"/>
        <v>08/04/2023</v>
      </c>
      <c r="O357" s="14" t="str">
        <f t="shared" si="47"/>
        <v>2023</v>
      </c>
      <c r="P357" s="11" t="s">
        <v>1068</v>
      </c>
      <c r="Q357" s="11" t="s">
        <v>117</v>
      </c>
      <c r="R357" s="11">
        <v>6</v>
      </c>
      <c r="S357" s="11" t="str">
        <f t="shared" si="48"/>
        <v>5 - 8 yrs</v>
      </c>
      <c r="T357" s="12">
        <v>196.1</v>
      </c>
      <c r="U357" s="11" t="str">
        <f t="shared" si="49"/>
        <v>(151 - 200)</v>
      </c>
      <c r="V357" s="12">
        <f t="shared" si="50"/>
        <v>5.2990033222591357</v>
      </c>
      <c r="W357" s="12">
        <f t="shared" si="51"/>
        <v>213.52037617554859</v>
      </c>
      <c r="X357" s="12">
        <f t="shared" si="52"/>
        <v>0.61473354231974919</v>
      </c>
    </row>
    <row r="358" spans="1:24">
      <c r="A358" s="11">
        <v>357</v>
      </c>
      <c r="B358" s="11" t="s">
        <v>1069</v>
      </c>
      <c r="C358" s="11" t="s">
        <v>16</v>
      </c>
      <c r="D358" s="11" t="s">
        <v>17</v>
      </c>
      <c r="E358" s="12">
        <v>63.1</v>
      </c>
      <c r="F358" s="11" t="s">
        <v>41</v>
      </c>
      <c r="G358" s="11" t="str">
        <f t="shared" si="53"/>
        <v>Litres</v>
      </c>
      <c r="H358" s="13">
        <v>592</v>
      </c>
      <c r="I358" s="11" t="s">
        <v>19</v>
      </c>
      <c r="J358" s="12">
        <v>36129</v>
      </c>
      <c r="K358" s="12" t="str">
        <f t="shared" ref="K358:K421" si="54">IF(J358&lt;18000,"Very Low",IF(J358&lt;36000,"Low",IF(J358&lt;54000,"Medium",IF(J358&lt;72000,"Moderate",IF(J358&lt;90000,"High",IF(J358&lt;108000,"Very High","Extreme"))))))</f>
        <v>Medium</v>
      </c>
      <c r="L358" s="11" t="s">
        <v>20</v>
      </c>
      <c r="M358" s="14">
        <v>44982</v>
      </c>
      <c r="N358" s="14" t="str">
        <f t="shared" ref="N358:N421" si="55">TEXT(M358,"dd/mm/yyyy")</f>
        <v>25/02/2023</v>
      </c>
      <c r="O358" s="14" t="str">
        <f t="shared" ref="O358:O421" si="56">TEXT(M358,"yyyy")</f>
        <v>2023</v>
      </c>
      <c r="P358" s="11" t="s">
        <v>1071</v>
      </c>
      <c r="Q358" s="11" t="s">
        <v>54</v>
      </c>
      <c r="R358" s="11">
        <v>11</v>
      </c>
      <c r="S358" s="11" t="str">
        <f t="shared" ref="S358:S421" si="57">IF(R358&lt;=4,"0 - 4 yrs",IF(R358&lt;=8,"5 - 8 yrs",IF(R358&lt;=12,"9 - 12 yrs",IF(R358&lt;=16,"13 - 16 yrs","17 + yrs"))))</f>
        <v>9 - 12 yrs</v>
      </c>
      <c r="T358" s="12">
        <v>219.4</v>
      </c>
      <c r="U358" s="11" t="str">
        <f t="shared" ref="U358:U415" si="58">IF(T358&lt;=50,"(0 - 50)",IF(T358&lt;=100,"(51 - 100)",IF(T358&lt;=150,"(101 - 150)",IF(T358&lt;=200,"(151 - 200)",IF(T358&lt;=250,"(201 - 250)",IF(T358&lt;=300,"(251 - 300)","(301 - 350)"))))))</f>
        <v>(201 - 250)</v>
      </c>
      <c r="V358" s="12">
        <f t="shared" ref="V358:V415" si="59">H358/E358</f>
        <v>9.3819334389857367</v>
      </c>
      <c r="W358" s="12">
        <f t="shared" ref="W358:W415" si="60">J358/H358</f>
        <v>61.028716216216218</v>
      </c>
      <c r="X358" s="12">
        <f t="shared" ref="X358:X415" si="61">T358/H358</f>
        <v>0.37060810810810813</v>
      </c>
    </row>
    <row r="359" spans="1:24">
      <c r="A359" s="11">
        <v>358</v>
      </c>
      <c r="B359" s="11" t="s">
        <v>1072</v>
      </c>
      <c r="C359" s="11" t="s">
        <v>39</v>
      </c>
      <c r="D359" s="11" t="s">
        <v>17</v>
      </c>
      <c r="E359" s="12">
        <v>52.7</v>
      </c>
      <c r="F359" s="11" t="s">
        <v>26</v>
      </c>
      <c r="G359" s="11" t="str">
        <f t="shared" si="53"/>
        <v>Litres</v>
      </c>
      <c r="H359" s="13">
        <v>91</v>
      </c>
      <c r="I359" s="11" t="s">
        <v>19</v>
      </c>
      <c r="J359" s="12">
        <v>98236</v>
      </c>
      <c r="K359" s="12" t="str">
        <f t="shared" si="54"/>
        <v>Very High</v>
      </c>
      <c r="L359" s="11" t="s">
        <v>20</v>
      </c>
      <c r="M359" s="14">
        <v>45232</v>
      </c>
      <c r="N359" s="14" t="str">
        <f t="shared" si="55"/>
        <v>02/11/2023</v>
      </c>
      <c r="O359" s="14" t="str">
        <f t="shared" si="56"/>
        <v>2023</v>
      </c>
      <c r="P359" s="11" t="s">
        <v>1074</v>
      </c>
      <c r="Q359" s="11" t="s">
        <v>86</v>
      </c>
      <c r="R359" s="11">
        <v>11</v>
      </c>
      <c r="S359" s="11" t="str">
        <f t="shared" si="57"/>
        <v>9 - 12 yrs</v>
      </c>
      <c r="T359" s="12">
        <v>132.80000000000001</v>
      </c>
      <c r="U359" s="11" t="str">
        <f t="shared" si="58"/>
        <v>(101 - 150)</v>
      </c>
      <c r="V359" s="12">
        <f t="shared" si="59"/>
        <v>1.7267552182163186</v>
      </c>
      <c r="W359" s="12">
        <f t="shared" si="60"/>
        <v>1079.5164835164835</v>
      </c>
      <c r="X359" s="12">
        <f t="shared" si="61"/>
        <v>1.4593406593406595</v>
      </c>
    </row>
    <row r="360" spans="1:24">
      <c r="A360" s="11">
        <v>359</v>
      </c>
      <c r="B360" s="11" t="s">
        <v>731</v>
      </c>
      <c r="C360" s="11" t="s">
        <v>50</v>
      </c>
      <c r="D360" s="11" t="s">
        <v>33</v>
      </c>
      <c r="E360" s="12">
        <v>7.4</v>
      </c>
      <c r="F360" s="11" t="s">
        <v>41</v>
      </c>
      <c r="G360" s="11" t="str">
        <f t="shared" si="53"/>
        <v>Litres</v>
      </c>
      <c r="H360" s="13">
        <v>225</v>
      </c>
      <c r="I360" s="11" t="s">
        <v>19</v>
      </c>
      <c r="J360" s="12">
        <v>119233</v>
      </c>
      <c r="K360" s="12" t="str">
        <f t="shared" si="54"/>
        <v>Extreme</v>
      </c>
      <c r="L360" s="11" t="s">
        <v>20</v>
      </c>
      <c r="M360" s="14">
        <v>45590</v>
      </c>
      <c r="N360" s="14" t="str">
        <f t="shared" si="55"/>
        <v>25/10/2024</v>
      </c>
      <c r="O360" s="14" t="str">
        <f t="shared" si="56"/>
        <v>2024</v>
      </c>
      <c r="P360" s="11" t="s">
        <v>1076</v>
      </c>
      <c r="Q360" s="11" t="s">
        <v>441</v>
      </c>
      <c r="R360" s="11">
        <v>20</v>
      </c>
      <c r="S360" s="11" t="str">
        <f t="shared" si="57"/>
        <v>17 + yrs</v>
      </c>
      <c r="T360" s="12">
        <v>16.100000000000001</v>
      </c>
      <c r="U360" s="11" t="str">
        <f t="shared" si="58"/>
        <v>(0 - 50)</v>
      </c>
      <c r="V360" s="12">
        <f t="shared" si="59"/>
        <v>30.405405405405403</v>
      </c>
      <c r="W360" s="12">
        <f t="shared" si="60"/>
        <v>529.92444444444448</v>
      </c>
      <c r="X360" s="12">
        <f t="shared" si="61"/>
        <v>7.1555555555555567E-2</v>
      </c>
    </row>
    <row r="361" spans="1:24">
      <c r="A361" s="11">
        <v>360</v>
      </c>
      <c r="B361" s="11" t="s">
        <v>619</v>
      </c>
      <c r="C361" s="11" t="s">
        <v>50</v>
      </c>
      <c r="D361" s="11" t="s">
        <v>33</v>
      </c>
      <c r="E361" s="12">
        <v>67.599999999999994</v>
      </c>
      <c r="F361" s="11" t="s">
        <v>26</v>
      </c>
      <c r="G361" s="11" t="str">
        <f t="shared" si="53"/>
        <v>Litres</v>
      </c>
      <c r="H361" s="13">
        <v>368</v>
      </c>
      <c r="I361" s="11" t="s">
        <v>19</v>
      </c>
      <c r="J361" s="12">
        <v>49832</v>
      </c>
      <c r="K361" s="12" t="str">
        <f t="shared" si="54"/>
        <v>Medium</v>
      </c>
      <c r="L361" s="11" t="s">
        <v>20</v>
      </c>
      <c r="M361" s="14">
        <v>44933</v>
      </c>
      <c r="N361" s="14" t="str">
        <f t="shared" si="55"/>
        <v>07/01/2023</v>
      </c>
      <c r="O361" s="14" t="str">
        <f t="shared" si="56"/>
        <v>2023</v>
      </c>
      <c r="P361" s="11" t="s">
        <v>1078</v>
      </c>
      <c r="Q361" s="11" t="s">
        <v>121</v>
      </c>
      <c r="R361" s="11">
        <v>4</v>
      </c>
      <c r="S361" s="11" t="str">
        <f t="shared" si="57"/>
        <v>0 - 4 yrs</v>
      </c>
      <c r="T361" s="12">
        <v>168.7</v>
      </c>
      <c r="U361" s="11" t="str">
        <f t="shared" si="58"/>
        <v>(151 - 200)</v>
      </c>
      <c r="V361" s="12">
        <f t="shared" si="59"/>
        <v>5.443786982248521</v>
      </c>
      <c r="W361" s="12">
        <f t="shared" si="60"/>
        <v>135.41304347826087</v>
      </c>
      <c r="X361" s="12">
        <f t="shared" si="61"/>
        <v>0.45842391304347824</v>
      </c>
    </row>
    <row r="362" spans="1:24">
      <c r="A362" s="11">
        <v>361</v>
      </c>
      <c r="B362" s="11" t="s">
        <v>1079</v>
      </c>
      <c r="C362" s="11" t="s">
        <v>39</v>
      </c>
      <c r="D362" s="11" t="s">
        <v>33</v>
      </c>
      <c r="E362" s="12">
        <v>61.2</v>
      </c>
      <c r="F362" s="11" t="s">
        <v>26</v>
      </c>
      <c r="G362" s="11" t="str">
        <f t="shared" si="53"/>
        <v>Litres</v>
      </c>
      <c r="H362" s="13">
        <v>669</v>
      </c>
      <c r="I362" s="11" t="s">
        <v>19</v>
      </c>
      <c r="J362" s="12">
        <v>38016</v>
      </c>
      <c r="K362" s="12" t="str">
        <f t="shared" si="54"/>
        <v>Medium</v>
      </c>
      <c r="L362" s="11" t="s">
        <v>20</v>
      </c>
      <c r="M362" s="14">
        <v>45175</v>
      </c>
      <c r="N362" s="14" t="str">
        <f t="shared" si="55"/>
        <v>06/09/2023</v>
      </c>
      <c r="O362" s="14" t="str">
        <f t="shared" si="56"/>
        <v>2023</v>
      </c>
      <c r="P362" s="11" t="s">
        <v>788</v>
      </c>
      <c r="Q362" s="11" t="s">
        <v>2648</v>
      </c>
      <c r="R362" s="11">
        <v>5</v>
      </c>
      <c r="S362" s="11" t="str">
        <f t="shared" si="57"/>
        <v>5 - 8 yrs</v>
      </c>
      <c r="T362" s="12">
        <v>193.6</v>
      </c>
      <c r="U362" s="11" t="str">
        <f t="shared" si="58"/>
        <v>(151 - 200)</v>
      </c>
      <c r="V362" s="12">
        <f t="shared" si="59"/>
        <v>10.931372549019608</v>
      </c>
      <c r="W362" s="12">
        <f t="shared" si="60"/>
        <v>56.825112107623319</v>
      </c>
      <c r="X362" s="12">
        <f t="shared" si="61"/>
        <v>0.28938714499252616</v>
      </c>
    </row>
    <row r="363" spans="1:24">
      <c r="A363" s="11">
        <v>362</v>
      </c>
      <c r="B363" s="11" t="s">
        <v>1081</v>
      </c>
      <c r="C363" s="11" t="s">
        <v>50</v>
      </c>
      <c r="D363" s="11" t="s">
        <v>33</v>
      </c>
      <c r="E363" s="12">
        <v>22.9</v>
      </c>
      <c r="F363" s="11" t="s">
        <v>26</v>
      </c>
      <c r="G363" s="11" t="str">
        <f t="shared" si="53"/>
        <v>Litres</v>
      </c>
      <c r="H363" s="13">
        <v>412</v>
      </c>
      <c r="I363" s="11" t="s">
        <v>19</v>
      </c>
      <c r="J363" s="12">
        <v>83224</v>
      </c>
      <c r="K363" s="12" t="str">
        <f t="shared" si="54"/>
        <v>High</v>
      </c>
      <c r="L363" s="11" t="s">
        <v>20</v>
      </c>
      <c r="M363" s="14">
        <v>45724</v>
      </c>
      <c r="N363" s="14" t="str">
        <f t="shared" si="55"/>
        <v>08/03/2025</v>
      </c>
      <c r="O363" s="14" t="str">
        <f t="shared" si="56"/>
        <v>2025</v>
      </c>
      <c r="P363" s="11" t="s">
        <v>496</v>
      </c>
      <c r="Q363" s="11" t="s">
        <v>441</v>
      </c>
      <c r="R363" s="11">
        <v>2</v>
      </c>
      <c r="S363" s="11" t="str">
        <f t="shared" si="57"/>
        <v>0 - 4 yrs</v>
      </c>
      <c r="T363" s="12">
        <v>52.2</v>
      </c>
      <c r="U363" s="11" t="str">
        <f t="shared" si="58"/>
        <v>(51 - 100)</v>
      </c>
      <c r="V363" s="12">
        <f t="shared" si="59"/>
        <v>17.991266375545852</v>
      </c>
      <c r="W363" s="12">
        <f t="shared" si="60"/>
        <v>202</v>
      </c>
      <c r="X363" s="12">
        <f t="shared" si="61"/>
        <v>0.12669902912621359</v>
      </c>
    </row>
    <row r="364" spans="1:24">
      <c r="A364" s="11">
        <v>363</v>
      </c>
      <c r="B364" s="11" t="s">
        <v>1083</v>
      </c>
      <c r="C364" s="11" t="s">
        <v>39</v>
      </c>
      <c r="D364" s="11" t="s">
        <v>61</v>
      </c>
      <c r="E364" s="12">
        <v>10</v>
      </c>
      <c r="F364" s="11" t="s">
        <v>56</v>
      </c>
      <c r="G364" s="11" t="str">
        <f t="shared" si="53"/>
        <v>Litres</v>
      </c>
      <c r="H364" s="13">
        <v>164</v>
      </c>
      <c r="I364" s="11" t="s">
        <v>19</v>
      </c>
      <c r="J364" s="12">
        <v>117144</v>
      </c>
      <c r="K364" s="12" t="str">
        <f t="shared" si="54"/>
        <v>Extreme</v>
      </c>
      <c r="L364" s="11" t="s">
        <v>20</v>
      </c>
      <c r="M364" s="14">
        <v>45188</v>
      </c>
      <c r="N364" s="14" t="str">
        <f t="shared" si="55"/>
        <v>19/09/2023</v>
      </c>
      <c r="O364" s="14" t="str">
        <f t="shared" si="56"/>
        <v>2023</v>
      </c>
      <c r="P364" s="11" t="s">
        <v>1085</v>
      </c>
      <c r="Q364" s="11" t="s">
        <v>59</v>
      </c>
      <c r="R364" s="11">
        <v>15</v>
      </c>
      <c r="S364" s="11" t="str">
        <f t="shared" si="57"/>
        <v>13 - 16 yrs</v>
      </c>
      <c r="T364" s="12">
        <v>0</v>
      </c>
      <c r="U364" s="11" t="str">
        <f t="shared" si="58"/>
        <v>(0 - 50)</v>
      </c>
      <c r="V364" s="12">
        <f t="shared" si="59"/>
        <v>16.399999999999999</v>
      </c>
      <c r="W364" s="12">
        <f t="shared" si="60"/>
        <v>714.29268292682923</v>
      </c>
      <c r="X364" s="12">
        <f t="shared" si="61"/>
        <v>0</v>
      </c>
    </row>
    <row r="365" spans="1:24">
      <c r="A365" s="11">
        <v>364</v>
      </c>
      <c r="B365" s="11" t="s">
        <v>1086</v>
      </c>
      <c r="C365" s="11" t="s">
        <v>32</v>
      </c>
      <c r="D365" s="11" t="s">
        <v>114</v>
      </c>
      <c r="E365" s="12">
        <v>84.4</v>
      </c>
      <c r="F365" s="11" t="s">
        <v>62</v>
      </c>
      <c r="G365" s="11" t="str">
        <f t="shared" si="53"/>
        <v>kWh</v>
      </c>
      <c r="H365" s="13">
        <v>56</v>
      </c>
      <c r="I365" s="11" t="s">
        <v>19</v>
      </c>
      <c r="J365" s="12">
        <v>71760</v>
      </c>
      <c r="K365" s="12" t="str">
        <f t="shared" si="54"/>
        <v>Moderate</v>
      </c>
      <c r="L365" s="11" t="s">
        <v>20</v>
      </c>
      <c r="M365" s="14">
        <v>44933</v>
      </c>
      <c r="N365" s="14" t="str">
        <f t="shared" si="55"/>
        <v>07/01/2023</v>
      </c>
      <c r="O365" s="14" t="str">
        <f t="shared" si="56"/>
        <v>2023</v>
      </c>
      <c r="P365" s="11" t="s">
        <v>788</v>
      </c>
      <c r="Q365" s="11" t="s">
        <v>48</v>
      </c>
      <c r="R365" s="11">
        <v>3</v>
      </c>
      <c r="S365" s="11" t="str">
        <f t="shared" si="57"/>
        <v>0 - 4 yrs</v>
      </c>
      <c r="T365" s="12">
        <v>271.8</v>
      </c>
      <c r="U365" s="11" t="str">
        <f t="shared" si="58"/>
        <v>(251 - 300)</v>
      </c>
      <c r="V365" s="12">
        <f t="shared" si="59"/>
        <v>0.6635071090047393</v>
      </c>
      <c r="W365" s="12">
        <f t="shared" si="60"/>
        <v>1281.4285714285713</v>
      </c>
      <c r="X365" s="12">
        <f t="shared" si="61"/>
        <v>4.8535714285714286</v>
      </c>
    </row>
    <row r="366" spans="1:24">
      <c r="A366" s="11">
        <v>365</v>
      </c>
      <c r="B366" s="11" t="s">
        <v>1087</v>
      </c>
      <c r="C366" s="11" t="s">
        <v>16</v>
      </c>
      <c r="D366" s="11" t="s">
        <v>61</v>
      </c>
      <c r="E366" s="12">
        <v>10</v>
      </c>
      <c r="F366" s="11" t="s">
        <v>56</v>
      </c>
      <c r="G366" s="11" t="str">
        <f t="shared" si="53"/>
        <v>Litres</v>
      </c>
      <c r="H366" s="13">
        <v>500</v>
      </c>
      <c r="I366" s="11" t="s">
        <v>19</v>
      </c>
      <c r="J366" s="12">
        <v>31470</v>
      </c>
      <c r="K366" s="12" t="str">
        <f t="shared" si="54"/>
        <v>Low</v>
      </c>
      <c r="L366" s="11" t="s">
        <v>20</v>
      </c>
      <c r="M366" s="14">
        <v>44934</v>
      </c>
      <c r="N366" s="14" t="str">
        <f t="shared" si="55"/>
        <v>08/01/2023</v>
      </c>
      <c r="O366" s="14" t="str">
        <f t="shared" si="56"/>
        <v>2023</v>
      </c>
      <c r="P366" s="11" t="s">
        <v>915</v>
      </c>
      <c r="Q366" s="11" t="s">
        <v>69</v>
      </c>
      <c r="R366" s="11">
        <v>8</v>
      </c>
      <c r="S366" s="11" t="str">
        <f t="shared" si="57"/>
        <v>5 - 8 yrs</v>
      </c>
      <c r="T366" s="12">
        <v>0</v>
      </c>
      <c r="U366" s="11" t="str">
        <f t="shared" si="58"/>
        <v>(0 - 50)</v>
      </c>
      <c r="V366" s="12">
        <f t="shared" si="59"/>
        <v>50</v>
      </c>
      <c r="W366" s="12">
        <f t="shared" si="60"/>
        <v>62.94</v>
      </c>
      <c r="X366" s="12">
        <f t="shared" si="61"/>
        <v>0</v>
      </c>
    </row>
    <row r="367" spans="1:24">
      <c r="A367" s="11">
        <v>366</v>
      </c>
      <c r="B367" s="11" t="s">
        <v>1088</v>
      </c>
      <c r="C367" s="11" t="s">
        <v>39</v>
      </c>
      <c r="D367" s="11" t="s">
        <v>17</v>
      </c>
      <c r="E367" s="12">
        <v>18.100000000000001</v>
      </c>
      <c r="F367" s="11" t="s">
        <v>2643</v>
      </c>
      <c r="G367" s="11" t="str">
        <f t="shared" si="53"/>
        <v>Litres</v>
      </c>
      <c r="H367" s="13">
        <v>82</v>
      </c>
      <c r="I367" s="11" t="s">
        <v>19</v>
      </c>
      <c r="J367" s="12">
        <v>114288</v>
      </c>
      <c r="K367" s="12" t="str">
        <f t="shared" si="54"/>
        <v>Extreme</v>
      </c>
      <c r="L367" s="11" t="s">
        <v>20</v>
      </c>
      <c r="M367" s="14">
        <v>45060</v>
      </c>
      <c r="N367" s="14" t="str">
        <f t="shared" si="55"/>
        <v>14/05/2023</v>
      </c>
      <c r="O367" s="14" t="str">
        <f t="shared" si="56"/>
        <v>2023</v>
      </c>
      <c r="P367" s="11" t="s">
        <v>1090</v>
      </c>
      <c r="Q367" s="11" t="s">
        <v>54</v>
      </c>
      <c r="R367" s="11">
        <v>8</v>
      </c>
      <c r="S367" s="11" t="str">
        <f t="shared" si="57"/>
        <v>5 - 8 yrs</v>
      </c>
      <c r="T367" s="12">
        <v>41.9</v>
      </c>
      <c r="U367" s="11" t="str">
        <f t="shared" si="58"/>
        <v>(0 - 50)</v>
      </c>
      <c r="V367" s="12">
        <f t="shared" si="59"/>
        <v>4.5303867403314912</v>
      </c>
      <c r="W367" s="12">
        <f t="shared" si="60"/>
        <v>1393.7560975609756</v>
      </c>
      <c r="X367" s="12">
        <f t="shared" si="61"/>
        <v>0.51097560975609757</v>
      </c>
    </row>
    <row r="368" spans="1:24">
      <c r="A368" s="11">
        <v>367</v>
      </c>
      <c r="B368" s="11" t="s">
        <v>1091</v>
      </c>
      <c r="C368" s="11" t="s">
        <v>16</v>
      </c>
      <c r="D368" s="11" t="s">
        <v>17</v>
      </c>
      <c r="E368" s="12">
        <v>17.5</v>
      </c>
      <c r="F368" s="11" t="s">
        <v>62</v>
      </c>
      <c r="G368" s="11" t="str">
        <f t="shared" si="53"/>
        <v>kWh</v>
      </c>
      <c r="H368" s="13">
        <v>66</v>
      </c>
      <c r="I368" s="11" t="s">
        <v>19</v>
      </c>
      <c r="J368" s="12">
        <v>119142</v>
      </c>
      <c r="K368" s="12" t="str">
        <f t="shared" si="54"/>
        <v>Extreme</v>
      </c>
      <c r="L368" s="11" t="s">
        <v>20</v>
      </c>
      <c r="M368" s="14">
        <v>45806</v>
      </c>
      <c r="N368" s="14" t="str">
        <f t="shared" si="55"/>
        <v>29/05/2025</v>
      </c>
      <c r="O368" s="14" t="str">
        <f t="shared" si="56"/>
        <v>2025</v>
      </c>
      <c r="P368" s="11" t="s">
        <v>1093</v>
      </c>
      <c r="Q368" s="11" t="s">
        <v>59</v>
      </c>
      <c r="R368" s="11">
        <v>19</v>
      </c>
      <c r="S368" s="11" t="str">
        <f t="shared" si="57"/>
        <v>17 + yrs</v>
      </c>
      <c r="T368" s="12">
        <v>36.799999999999997</v>
      </c>
      <c r="U368" s="11" t="str">
        <f t="shared" si="58"/>
        <v>(0 - 50)</v>
      </c>
      <c r="V368" s="12">
        <f t="shared" si="59"/>
        <v>3.7714285714285714</v>
      </c>
      <c r="W368" s="12">
        <f t="shared" si="60"/>
        <v>1805.1818181818182</v>
      </c>
      <c r="X368" s="12">
        <f t="shared" si="61"/>
        <v>0.5575757575757575</v>
      </c>
    </row>
    <row r="369" spans="1:24">
      <c r="A369" s="11">
        <v>368</v>
      </c>
      <c r="B369" s="11" t="s">
        <v>1094</v>
      </c>
      <c r="C369" s="11" t="s">
        <v>50</v>
      </c>
      <c r="D369" s="11" t="s">
        <v>33</v>
      </c>
      <c r="E369" s="12">
        <v>31.9</v>
      </c>
      <c r="F369" s="11" t="s">
        <v>2643</v>
      </c>
      <c r="G369" s="11" t="str">
        <f t="shared" si="53"/>
        <v>Litres</v>
      </c>
      <c r="H369" s="13">
        <v>479</v>
      </c>
      <c r="I369" s="11" t="s">
        <v>19</v>
      </c>
      <c r="J369" s="12">
        <v>84023</v>
      </c>
      <c r="K369" s="12" t="str">
        <f t="shared" si="54"/>
        <v>High</v>
      </c>
      <c r="L369" s="11" t="s">
        <v>20</v>
      </c>
      <c r="M369" s="14">
        <v>45157</v>
      </c>
      <c r="N369" s="14" t="str">
        <f t="shared" si="55"/>
        <v>19/08/2023</v>
      </c>
      <c r="O369" s="14" t="str">
        <f t="shared" si="56"/>
        <v>2023</v>
      </c>
      <c r="P369" s="11" t="s">
        <v>74</v>
      </c>
      <c r="Q369" s="11" t="s">
        <v>69</v>
      </c>
      <c r="R369" s="11">
        <v>16</v>
      </c>
      <c r="S369" s="11" t="str">
        <f t="shared" si="57"/>
        <v>13 - 16 yrs</v>
      </c>
      <c r="T369" s="12">
        <v>66</v>
      </c>
      <c r="U369" s="11" t="str">
        <f t="shared" si="58"/>
        <v>(51 - 100)</v>
      </c>
      <c r="V369" s="12">
        <f t="shared" si="59"/>
        <v>15.015673981191224</v>
      </c>
      <c r="W369" s="12">
        <f t="shared" si="60"/>
        <v>175.4133611691023</v>
      </c>
      <c r="X369" s="12">
        <f t="shared" si="61"/>
        <v>0.13778705636743216</v>
      </c>
    </row>
    <row r="370" spans="1:24">
      <c r="A370" s="11">
        <v>369</v>
      </c>
      <c r="B370" s="11" t="s">
        <v>1096</v>
      </c>
      <c r="C370" s="11" t="s">
        <v>16</v>
      </c>
      <c r="D370" s="11" t="s">
        <v>17</v>
      </c>
      <c r="E370" s="12">
        <v>90.8</v>
      </c>
      <c r="F370" s="11" t="s">
        <v>62</v>
      </c>
      <c r="G370" s="11" t="str">
        <f t="shared" si="53"/>
        <v>kWh</v>
      </c>
      <c r="H370" s="13">
        <v>597</v>
      </c>
      <c r="I370" s="11" t="s">
        <v>19</v>
      </c>
      <c r="J370" s="12">
        <v>59275</v>
      </c>
      <c r="K370" s="12" t="str">
        <f t="shared" si="54"/>
        <v>Moderate</v>
      </c>
      <c r="L370" s="11" t="s">
        <v>20</v>
      </c>
      <c r="M370" s="14">
        <v>45182</v>
      </c>
      <c r="N370" s="14" t="str">
        <f t="shared" si="55"/>
        <v>13/09/2023</v>
      </c>
      <c r="O370" s="14" t="str">
        <f t="shared" si="56"/>
        <v>2023</v>
      </c>
      <c r="P370" s="11" t="s">
        <v>1098</v>
      </c>
      <c r="Q370" s="11" t="s">
        <v>121</v>
      </c>
      <c r="R370" s="11">
        <v>5</v>
      </c>
      <c r="S370" s="11" t="str">
        <f t="shared" si="57"/>
        <v>5 - 8 yrs</v>
      </c>
      <c r="T370" s="12">
        <v>310.60000000000002</v>
      </c>
      <c r="U370" s="11" t="str">
        <f t="shared" si="58"/>
        <v>(301 - 350)</v>
      </c>
      <c r="V370" s="12">
        <f t="shared" si="59"/>
        <v>6.5748898678414101</v>
      </c>
      <c r="W370" s="12">
        <f t="shared" si="60"/>
        <v>99.288107202680067</v>
      </c>
      <c r="X370" s="12">
        <f t="shared" si="61"/>
        <v>0.5202680067001676</v>
      </c>
    </row>
    <row r="371" spans="1:24">
      <c r="A371" s="11">
        <v>370</v>
      </c>
      <c r="B371" s="11" t="s">
        <v>1099</v>
      </c>
      <c r="C371" s="11" t="s">
        <v>50</v>
      </c>
      <c r="D371" s="11" t="s">
        <v>17</v>
      </c>
      <c r="E371" s="12">
        <v>41.4</v>
      </c>
      <c r="F371" s="11" t="s">
        <v>41</v>
      </c>
      <c r="G371" s="11" t="str">
        <f t="shared" si="53"/>
        <v>Litres</v>
      </c>
      <c r="H371" s="13">
        <v>505</v>
      </c>
      <c r="I371" s="11" t="s">
        <v>19</v>
      </c>
      <c r="J371" s="12">
        <v>83546</v>
      </c>
      <c r="K371" s="12" t="str">
        <f t="shared" si="54"/>
        <v>High</v>
      </c>
      <c r="L371" s="11" t="s">
        <v>20</v>
      </c>
      <c r="M371" s="14">
        <v>45416</v>
      </c>
      <c r="N371" s="14" t="str">
        <f t="shared" si="55"/>
        <v>04/05/2024</v>
      </c>
      <c r="O371" s="14" t="str">
        <f t="shared" si="56"/>
        <v>2024</v>
      </c>
      <c r="P371" s="11" t="s">
        <v>1100</v>
      </c>
      <c r="Q371" s="11" t="s">
        <v>69</v>
      </c>
      <c r="R371" s="11">
        <v>4</v>
      </c>
      <c r="S371" s="11" t="str">
        <f t="shared" si="57"/>
        <v>0 - 4 yrs</v>
      </c>
      <c r="T371" s="12">
        <v>98.1</v>
      </c>
      <c r="U371" s="11" t="str">
        <f t="shared" si="58"/>
        <v>(51 - 100)</v>
      </c>
      <c r="V371" s="12">
        <f t="shared" si="59"/>
        <v>12.198067632850242</v>
      </c>
      <c r="W371" s="12">
        <f t="shared" si="60"/>
        <v>165.43762376237623</v>
      </c>
      <c r="X371" s="12">
        <f t="shared" si="61"/>
        <v>0.19425742574257424</v>
      </c>
    </row>
    <row r="372" spans="1:24">
      <c r="A372" s="11">
        <v>371</v>
      </c>
      <c r="B372" s="11" t="s">
        <v>2498</v>
      </c>
      <c r="C372" s="11" t="s">
        <v>39</v>
      </c>
      <c r="D372" s="11" t="s">
        <v>17</v>
      </c>
      <c r="E372" s="12">
        <v>86.3</v>
      </c>
      <c r="F372" s="11" t="s">
        <v>41</v>
      </c>
      <c r="G372" s="11" t="str">
        <f t="shared" si="53"/>
        <v>Litres</v>
      </c>
      <c r="H372" s="13">
        <v>210</v>
      </c>
      <c r="I372" s="11" t="s">
        <v>19</v>
      </c>
      <c r="J372" s="12">
        <v>100132</v>
      </c>
      <c r="K372" s="12" t="str">
        <f t="shared" si="54"/>
        <v>Very High</v>
      </c>
      <c r="L372" s="11" t="s">
        <v>20</v>
      </c>
      <c r="M372" s="14">
        <v>45034</v>
      </c>
      <c r="N372" s="14" t="str">
        <f t="shared" si="55"/>
        <v>18/04/2023</v>
      </c>
      <c r="O372" s="14" t="str">
        <f t="shared" si="56"/>
        <v>2023</v>
      </c>
      <c r="P372" s="11" t="s">
        <v>1103</v>
      </c>
      <c r="Q372" s="11" t="s">
        <v>121</v>
      </c>
      <c r="R372" s="11">
        <v>11</v>
      </c>
      <c r="S372" s="11" t="str">
        <f t="shared" si="57"/>
        <v>9 - 12 yrs</v>
      </c>
      <c r="T372" s="12">
        <v>220.8</v>
      </c>
      <c r="U372" s="11" t="str">
        <f t="shared" si="58"/>
        <v>(201 - 250)</v>
      </c>
      <c r="V372" s="12">
        <f t="shared" si="59"/>
        <v>2.4333719582850524</v>
      </c>
      <c r="W372" s="12">
        <f t="shared" si="60"/>
        <v>476.81904761904764</v>
      </c>
      <c r="X372" s="12">
        <f t="shared" si="61"/>
        <v>1.0514285714285714</v>
      </c>
    </row>
    <row r="373" spans="1:24">
      <c r="A373" s="11">
        <v>372</v>
      </c>
      <c r="B373" s="11" t="s">
        <v>1104</v>
      </c>
      <c r="C373" s="11" t="s">
        <v>39</v>
      </c>
      <c r="D373" s="11" t="s">
        <v>17</v>
      </c>
      <c r="E373" s="12">
        <v>59.7</v>
      </c>
      <c r="F373" s="11" t="s">
        <v>26</v>
      </c>
      <c r="G373" s="11" t="str">
        <f t="shared" si="53"/>
        <v>Litres</v>
      </c>
      <c r="H373" s="13">
        <v>647</v>
      </c>
      <c r="I373" s="11" t="s">
        <v>19</v>
      </c>
      <c r="J373" s="12">
        <v>69132</v>
      </c>
      <c r="K373" s="12" t="str">
        <f t="shared" si="54"/>
        <v>Moderate</v>
      </c>
      <c r="L373" s="11" t="s">
        <v>20</v>
      </c>
      <c r="M373" s="14">
        <v>45711</v>
      </c>
      <c r="N373" s="14" t="str">
        <f t="shared" si="55"/>
        <v>23/02/2025</v>
      </c>
      <c r="O373" s="14" t="str">
        <f t="shared" si="56"/>
        <v>2025</v>
      </c>
      <c r="P373" s="11" t="s">
        <v>633</v>
      </c>
      <c r="Q373" s="11" t="s">
        <v>86</v>
      </c>
      <c r="R373" s="11">
        <v>19</v>
      </c>
      <c r="S373" s="11" t="str">
        <f t="shared" si="57"/>
        <v>17 + yrs</v>
      </c>
      <c r="T373" s="12">
        <v>142.30000000000001</v>
      </c>
      <c r="U373" s="11" t="str">
        <f t="shared" si="58"/>
        <v>(101 - 150)</v>
      </c>
      <c r="V373" s="12">
        <f t="shared" si="59"/>
        <v>10.837520938023451</v>
      </c>
      <c r="W373" s="12">
        <f t="shared" si="60"/>
        <v>106.85007727975271</v>
      </c>
      <c r="X373" s="12">
        <f t="shared" si="61"/>
        <v>0.21993817619783618</v>
      </c>
    </row>
    <row r="374" spans="1:24">
      <c r="A374" s="11">
        <v>373</v>
      </c>
      <c r="B374" s="11" t="s">
        <v>1106</v>
      </c>
      <c r="C374" s="11" t="s">
        <v>50</v>
      </c>
      <c r="D374" s="11" t="s">
        <v>114</v>
      </c>
      <c r="E374" s="12">
        <v>93.5</v>
      </c>
      <c r="F374" s="11" t="s">
        <v>56</v>
      </c>
      <c r="G374" s="11" t="str">
        <f t="shared" si="53"/>
        <v>Litres</v>
      </c>
      <c r="H374" s="13">
        <v>101</v>
      </c>
      <c r="I374" s="11" t="s">
        <v>19</v>
      </c>
      <c r="J374" s="12">
        <v>47581</v>
      </c>
      <c r="K374" s="12" t="str">
        <f t="shared" si="54"/>
        <v>Medium</v>
      </c>
      <c r="L374" s="11" t="s">
        <v>20</v>
      </c>
      <c r="M374" s="14">
        <v>45773</v>
      </c>
      <c r="N374" s="14" t="str">
        <f t="shared" si="55"/>
        <v>26/04/2025</v>
      </c>
      <c r="O374" s="14" t="str">
        <f t="shared" si="56"/>
        <v>2025</v>
      </c>
      <c r="P374" s="11" t="s">
        <v>606</v>
      </c>
      <c r="Q374" s="11" t="s">
        <v>117</v>
      </c>
      <c r="R374" s="11">
        <v>18</v>
      </c>
      <c r="S374" s="11" t="str">
        <f t="shared" si="57"/>
        <v>17 + yrs</v>
      </c>
      <c r="T374" s="12">
        <v>308.89999999999998</v>
      </c>
      <c r="U374" s="11" t="str">
        <f t="shared" si="58"/>
        <v>(301 - 350)</v>
      </c>
      <c r="V374" s="12">
        <f t="shared" si="59"/>
        <v>1.0802139037433156</v>
      </c>
      <c r="W374" s="12">
        <f t="shared" si="60"/>
        <v>471.0990099009901</v>
      </c>
      <c r="X374" s="12">
        <f t="shared" si="61"/>
        <v>3.058415841584158</v>
      </c>
    </row>
    <row r="375" spans="1:24">
      <c r="A375" s="11">
        <v>374</v>
      </c>
      <c r="B375" s="11" t="s">
        <v>1107</v>
      </c>
      <c r="C375" s="11" t="s">
        <v>50</v>
      </c>
      <c r="D375" s="11" t="s">
        <v>17</v>
      </c>
      <c r="E375" s="12">
        <v>17.100000000000001</v>
      </c>
      <c r="F375" s="11" t="s">
        <v>62</v>
      </c>
      <c r="G375" s="11" t="str">
        <f t="shared" si="53"/>
        <v>kWh</v>
      </c>
      <c r="H375" s="13">
        <v>544</v>
      </c>
      <c r="I375" s="11" t="s">
        <v>19</v>
      </c>
      <c r="J375" s="12">
        <v>18689</v>
      </c>
      <c r="K375" s="12" t="str">
        <f t="shared" si="54"/>
        <v>Low</v>
      </c>
      <c r="L375" s="11" t="s">
        <v>20</v>
      </c>
      <c r="M375" s="14">
        <v>45245</v>
      </c>
      <c r="N375" s="14" t="str">
        <f t="shared" si="55"/>
        <v>15/11/2023</v>
      </c>
      <c r="O375" s="14" t="str">
        <f t="shared" si="56"/>
        <v>2023</v>
      </c>
      <c r="P375" s="11" t="s">
        <v>986</v>
      </c>
      <c r="Q375" s="11" t="s">
        <v>2648</v>
      </c>
      <c r="R375" s="11">
        <v>6</v>
      </c>
      <c r="S375" s="11" t="str">
        <f t="shared" si="57"/>
        <v>5 - 8 yrs</v>
      </c>
      <c r="T375" s="12">
        <v>55</v>
      </c>
      <c r="U375" s="11" t="str">
        <f t="shared" si="58"/>
        <v>(51 - 100)</v>
      </c>
      <c r="V375" s="12">
        <f t="shared" si="59"/>
        <v>31.812865497076022</v>
      </c>
      <c r="W375" s="12">
        <f t="shared" si="60"/>
        <v>34.354779411764703</v>
      </c>
      <c r="X375" s="12">
        <f t="shared" si="61"/>
        <v>0.10110294117647059</v>
      </c>
    </row>
    <row r="376" spans="1:24">
      <c r="A376" s="11">
        <v>375</v>
      </c>
      <c r="B376" s="11" t="s">
        <v>1088</v>
      </c>
      <c r="C376" s="11" t="s">
        <v>39</v>
      </c>
      <c r="D376" s="11" t="s">
        <v>17</v>
      </c>
      <c r="E376" s="12">
        <v>7.1</v>
      </c>
      <c r="F376" s="11" t="s">
        <v>62</v>
      </c>
      <c r="G376" s="11" t="str">
        <f t="shared" si="53"/>
        <v>kWh</v>
      </c>
      <c r="H376" s="13">
        <v>594</v>
      </c>
      <c r="I376" s="11" t="s">
        <v>19</v>
      </c>
      <c r="J376" s="12">
        <v>119655</v>
      </c>
      <c r="K376" s="12" t="str">
        <f t="shared" si="54"/>
        <v>Extreme</v>
      </c>
      <c r="L376" s="11" t="s">
        <v>20</v>
      </c>
      <c r="M376" s="14">
        <v>45762</v>
      </c>
      <c r="N376" s="14" t="str">
        <f t="shared" si="55"/>
        <v>15/04/2025</v>
      </c>
      <c r="O376" s="14" t="str">
        <f t="shared" si="56"/>
        <v>2025</v>
      </c>
      <c r="P376" s="11" t="s">
        <v>1109</v>
      </c>
      <c r="Q376" s="11" t="s">
        <v>441</v>
      </c>
      <c r="R376" s="11">
        <v>19</v>
      </c>
      <c r="S376" s="11" t="str">
        <f t="shared" si="57"/>
        <v>17 + yrs</v>
      </c>
      <c r="T376" s="12">
        <v>23.1</v>
      </c>
      <c r="U376" s="11" t="str">
        <f t="shared" si="58"/>
        <v>(0 - 50)</v>
      </c>
      <c r="V376" s="12">
        <f t="shared" si="59"/>
        <v>83.661971830985919</v>
      </c>
      <c r="W376" s="12">
        <f t="shared" si="60"/>
        <v>201.43939393939394</v>
      </c>
      <c r="X376" s="12">
        <f t="shared" si="61"/>
        <v>3.888888888888889E-2</v>
      </c>
    </row>
    <row r="377" spans="1:24">
      <c r="A377" s="11">
        <v>376</v>
      </c>
      <c r="B377" s="11" t="s">
        <v>1110</v>
      </c>
      <c r="C377" s="11" t="s">
        <v>32</v>
      </c>
      <c r="D377" s="11" t="s">
        <v>33</v>
      </c>
      <c r="E377" s="12">
        <v>3.5</v>
      </c>
      <c r="F377" s="11" t="s">
        <v>62</v>
      </c>
      <c r="G377" s="11" t="str">
        <f t="shared" si="53"/>
        <v>kWh</v>
      </c>
      <c r="H377" s="13">
        <v>336</v>
      </c>
      <c r="I377" s="11" t="s">
        <v>19</v>
      </c>
      <c r="J377" s="12">
        <v>17362</v>
      </c>
      <c r="K377" s="12" t="str">
        <f t="shared" si="54"/>
        <v>Very Low</v>
      </c>
      <c r="L377" s="11" t="s">
        <v>20</v>
      </c>
      <c r="M377" s="14">
        <v>44974</v>
      </c>
      <c r="N377" s="14" t="str">
        <f t="shared" si="55"/>
        <v>17/02/2023</v>
      </c>
      <c r="O377" s="14" t="str">
        <f t="shared" si="56"/>
        <v>2023</v>
      </c>
      <c r="P377" s="11" t="s">
        <v>1111</v>
      </c>
      <c r="Q377" s="11" t="s">
        <v>86</v>
      </c>
      <c r="R377" s="11">
        <v>3</v>
      </c>
      <c r="S377" s="11" t="str">
        <f t="shared" si="57"/>
        <v>0 - 4 yrs</v>
      </c>
      <c r="T377" s="12">
        <v>8.9</v>
      </c>
      <c r="U377" s="11" t="str">
        <f t="shared" si="58"/>
        <v>(0 - 50)</v>
      </c>
      <c r="V377" s="12">
        <f t="shared" si="59"/>
        <v>96</v>
      </c>
      <c r="W377" s="12">
        <f t="shared" si="60"/>
        <v>51.672619047619051</v>
      </c>
      <c r="X377" s="12">
        <f t="shared" si="61"/>
        <v>2.6488095238095238E-2</v>
      </c>
    </row>
    <row r="378" spans="1:24">
      <c r="A378" s="11">
        <v>377</v>
      </c>
      <c r="B378" s="11" t="s">
        <v>1112</v>
      </c>
      <c r="C378" s="11" t="s">
        <v>32</v>
      </c>
      <c r="D378" s="11" t="s">
        <v>17</v>
      </c>
      <c r="E378" s="12">
        <v>92.7</v>
      </c>
      <c r="F378" s="11" t="s">
        <v>62</v>
      </c>
      <c r="G378" s="11" t="str">
        <f t="shared" si="53"/>
        <v>kWh</v>
      </c>
      <c r="H378" s="13">
        <v>276</v>
      </c>
      <c r="I378" s="11" t="s">
        <v>19</v>
      </c>
      <c r="J378" s="12">
        <v>25079</v>
      </c>
      <c r="K378" s="12" t="str">
        <f t="shared" si="54"/>
        <v>Low</v>
      </c>
      <c r="L378" s="11" t="s">
        <v>20</v>
      </c>
      <c r="M378" s="14">
        <v>45283</v>
      </c>
      <c r="N378" s="14" t="str">
        <f t="shared" si="55"/>
        <v>23/12/2023</v>
      </c>
      <c r="O378" s="14" t="str">
        <f t="shared" si="56"/>
        <v>2023</v>
      </c>
      <c r="P378" s="11" t="s">
        <v>655</v>
      </c>
      <c r="Q378" s="11" t="s">
        <v>59</v>
      </c>
      <c r="R378" s="11">
        <v>13</v>
      </c>
      <c r="S378" s="11" t="str">
        <f t="shared" si="57"/>
        <v>13 - 16 yrs</v>
      </c>
      <c r="T378" s="12">
        <v>195.6</v>
      </c>
      <c r="U378" s="11" t="str">
        <f t="shared" si="58"/>
        <v>(151 - 200)</v>
      </c>
      <c r="V378" s="12">
        <f t="shared" si="59"/>
        <v>2.9773462783171518</v>
      </c>
      <c r="W378" s="12">
        <f t="shared" si="60"/>
        <v>90.865942028985501</v>
      </c>
      <c r="X378" s="12">
        <f t="shared" si="61"/>
        <v>0.70869565217391306</v>
      </c>
    </row>
    <row r="379" spans="1:24">
      <c r="A379" s="11">
        <v>378</v>
      </c>
      <c r="B379" s="11" t="s">
        <v>1114</v>
      </c>
      <c r="C379" s="11" t="s">
        <v>32</v>
      </c>
      <c r="D379" s="11" t="s">
        <v>33</v>
      </c>
      <c r="E379" s="12">
        <v>71.7</v>
      </c>
      <c r="F379" s="11" t="s">
        <v>41</v>
      </c>
      <c r="G379" s="11" t="str">
        <f t="shared" si="53"/>
        <v>Litres</v>
      </c>
      <c r="H379" s="13">
        <v>110</v>
      </c>
      <c r="I379" s="11" t="s">
        <v>19</v>
      </c>
      <c r="J379" s="12">
        <v>63815</v>
      </c>
      <c r="K379" s="12" t="str">
        <f t="shared" si="54"/>
        <v>Moderate</v>
      </c>
      <c r="L379" s="11" t="s">
        <v>20</v>
      </c>
      <c r="M379" s="14">
        <v>45242</v>
      </c>
      <c r="N379" s="14" t="str">
        <f t="shared" si="55"/>
        <v>12/11/2023</v>
      </c>
      <c r="O379" s="14" t="str">
        <f t="shared" si="56"/>
        <v>2023</v>
      </c>
      <c r="P379" s="11" t="s">
        <v>1116</v>
      </c>
      <c r="Q379" s="11" t="s">
        <v>48</v>
      </c>
      <c r="R379" s="11">
        <v>9</v>
      </c>
      <c r="S379" s="11" t="str">
        <f t="shared" si="57"/>
        <v>9 - 12 yrs</v>
      </c>
      <c r="T379" s="12">
        <v>168.7</v>
      </c>
      <c r="U379" s="11" t="str">
        <f t="shared" si="58"/>
        <v>(151 - 200)</v>
      </c>
      <c r="V379" s="12">
        <f t="shared" si="59"/>
        <v>1.5341701534170153</v>
      </c>
      <c r="W379" s="12">
        <f t="shared" si="60"/>
        <v>580.13636363636363</v>
      </c>
      <c r="X379" s="12">
        <f t="shared" si="61"/>
        <v>1.5336363636363635</v>
      </c>
    </row>
    <row r="380" spans="1:24">
      <c r="A380" s="11">
        <v>379</v>
      </c>
      <c r="B380" s="11" t="s">
        <v>2499</v>
      </c>
      <c r="C380" s="11" t="s">
        <v>39</v>
      </c>
      <c r="D380" s="11" t="s">
        <v>17</v>
      </c>
      <c r="E380" s="12">
        <v>49.2</v>
      </c>
      <c r="F380" s="11" t="s">
        <v>2643</v>
      </c>
      <c r="G380" s="11" t="str">
        <f t="shared" si="53"/>
        <v>Litres</v>
      </c>
      <c r="H380" s="13">
        <v>375</v>
      </c>
      <c r="I380" s="11" t="s">
        <v>19</v>
      </c>
      <c r="J380" s="12">
        <v>37590</v>
      </c>
      <c r="K380" s="12" t="str">
        <f t="shared" si="54"/>
        <v>Medium</v>
      </c>
      <c r="L380" s="11" t="s">
        <v>20</v>
      </c>
      <c r="M380" s="14">
        <v>45301</v>
      </c>
      <c r="N380" s="14" t="str">
        <f t="shared" si="55"/>
        <v>10/01/2024</v>
      </c>
      <c r="O380" s="14" t="str">
        <f t="shared" si="56"/>
        <v>2024</v>
      </c>
      <c r="P380" s="11" t="s">
        <v>1119</v>
      </c>
      <c r="Q380" s="11" t="s">
        <v>86</v>
      </c>
      <c r="R380" s="11">
        <v>13</v>
      </c>
      <c r="S380" s="11" t="str">
        <f t="shared" si="57"/>
        <v>13 - 16 yrs</v>
      </c>
      <c r="T380" s="12">
        <v>136.4</v>
      </c>
      <c r="U380" s="11" t="str">
        <f t="shared" si="58"/>
        <v>(101 - 150)</v>
      </c>
      <c r="V380" s="12">
        <f t="shared" si="59"/>
        <v>7.6219512195121943</v>
      </c>
      <c r="W380" s="12">
        <f t="shared" si="60"/>
        <v>100.24</v>
      </c>
      <c r="X380" s="12">
        <f t="shared" si="61"/>
        <v>0.36373333333333335</v>
      </c>
    </row>
    <row r="381" spans="1:24">
      <c r="A381" s="11">
        <v>380</v>
      </c>
      <c r="B381" s="11" t="s">
        <v>643</v>
      </c>
      <c r="C381" s="11" t="s">
        <v>16</v>
      </c>
      <c r="D381" s="11" t="s">
        <v>33</v>
      </c>
      <c r="E381" s="12">
        <v>75.8</v>
      </c>
      <c r="F381" s="11" t="s">
        <v>41</v>
      </c>
      <c r="G381" s="11" t="str">
        <f t="shared" si="53"/>
        <v>Litres</v>
      </c>
      <c r="H381" s="13">
        <v>239</v>
      </c>
      <c r="I381" s="11" t="s">
        <v>19</v>
      </c>
      <c r="J381" s="12">
        <v>59491</v>
      </c>
      <c r="K381" s="12" t="str">
        <f t="shared" si="54"/>
        <v>Moderate</v>
      </c>
      <c r="L381" s="11" t="s">
        <v>20</v>
      </c>
      <c r="M381" s="14">
        <v>45488</v>
      </c>
      <c r="N381" s="14" t="str">
        <f t="shared" si="55"/>
        <v>15/07/2024</v>
      </c>
      <c r="O381" s="14" t="str">
        <f t="shared" si="56"/>
        <v>2024</v>
      </c>
      <c r="P381" s="11" t="s">
        <v>1121</v>
      </c>
      <c r="Q381" s="11" t="s">
        <v>112</v>
      </c>
      <c r="R381" s="11">
        <v>3</v>
      </c>
      <c r="S381" s="11" t="str">
        <f t="shared" si="57"/>
        <v>0 - 4 yrs</v>
      </c>
      <c r="T381" s="12">
        <v>228.3</v>
      </c>
      <c r="U381" s="11" t="str">
        <f t="shared" si="58"/>
        <v>(201 - 250)</v>
      </c>
      <c r="V381" s="12">
        <f t="shared" si="59"/>
        <v>3.1530343007915569</v>
      </c>
      <c r="W381" s="12">
        <f t="shared" si="60"/>
        <v>248.91631799163179</v>
      </c>
      <c r="X381" s="12">
        <f t="shared" si="61"/>
        <v>0.95523012552301256</v>
      </c>
    </row>
    <row r="382" spans="1:24">
      <c r="A382" s="11">
        <v>381</v>
      </c>
      <c r="B382" s="11" t="s">
        <v>2500</v>
      </c>
      <c r="C382" s="11" t="s">
        <v>32</v>
      </c>
      <c r="D382" s="11" t="s">
        <v>33</v>
      </c>
      <c r="E382" s="12">
        <v>36.299999999999997</v>
      </c>
      <c r="F382" s="11" t="s">
        <v>26</v>
      </c>
      <c r="G382" s="11" t="str">
        <f t="shared" si="53"/>
        <v>Litres</v>
      </c>
      <c r="H382" s="13">
        <v>619</v>
      </c>
      <c r="I382" s="11" t="s">
        <v>19</v>
      </c>
      <c r="J382" s="12">
        <v>30168</v>
      </c>
      <c r="K382" s="12" t="str">
        <f t="shared" si="54"/>
        <v>Low</v>
      </c>
      <c r="L382" s="11" t="s">
        <v>20</v>
      </c>
      <c r="M382" s="14">
        <v>45604</v>
      </c>
      <c r="N382" s="14" t="str">
        <f t="shared" si="55"/>
        <v>08/11/2024</v>
      </c>
      <c r="O382" s="14" t="str">
        <f t="shared" si="56"/>
        <v>2024</v>
      </c>
      <c r="P382" s="11" t="s">
        <v>600</v>
      </c>
      <c r="Q382" s="11" t="s">
        <v>117</v>
      </c>
      <c r="R382" s="11">
        <v>4</v>
      </c>
      <c r="S382" s="11" t="str">
        <f t="shared" si="57"/>
        <v>0 - 4 yrs</v>
      </c>
      <c r="T382" s="12">
        <v>79</v>
      </c>
      <c r="U382" s="11" t="str">
        <f t="shared" si="58"/>
        <v>(51 - 100)</v>
      </c>
      <c r="V382" s="12">
        <f t="shared" si="59"/>
        <v>17.052341597796143</v>
      </c>
      <c r="W382" s="12">
        <f t="shared" si="60"/>
        <v>48.736672051696281</v>
      </c>
      <c r="X382" s="12">
        <f t="shared" si="61"/>
        <v>0.12762520193861066</v>
      </c>
    </row>
    <row r="383" spans="1:24">
      <c r="A383" s="11">
        <v>382</v>
      </c>
      <c r="B383" s="11" t="s">
        <v>1124</v>
      </c>
      <c r="C383" s="11" t="s">
        <v>32</v>
      </c>
      <c r="D383" s="11" t="s">
        <v>33</v>
      </c>
      <c r="E383" s="12">
        <v>22.1</v>
      </c>
      <c r="F383" s="11" t="s">
        <v>56</v>
      </c>
      <c r="G383" s="11" t="str">
        <f t="shared" si="53"/>
        <v>Litres</v>
      </c>
      <c r="H383" s="13">
        <v>119</v>
      </c>
      <c r="I383" s="11" t="s">
        <v>19</v>
      </c>
      <c r="J383" s="12">
        <v>24336</v>
      </c>
      <c r="K383" s="12" t="str">
        <f t="shared" si="54"/>
        <v>Low</v>
      </c>
      <c r="L383" s="11" t="s">
        <v>20</v>
      </c>
      <c r="M383" s="14">
        <v>45652</v>
      </c>
      <c r="N383" s="14" t="str">
        <f t="shared" si="55"/>
        <v>26/12/2024</v>
      </c>
      <c r="O383" s="14" t="str">
        <f t="shared" si="56"/>
        <v>2024</v>
      </c>
      <c r="P383" s="11" t="s">
        <v>1126</v>
      </c>
      <c r="Q383" s="11" t="s">
        <v>117</v>
      </c>
      <c r="R383" s="11">
        <v>8</v>
      </c>
      <c r="S383" s="11" t="str">
        <f t="shared" si="57"/>
        <v>5 - 8 yrs</v>
      </c>
      <c r="T383" s="12">
        <v>61.8</v>
      </c>
      <c r="U383" s="11" t="str">
        <f t="shared" si="58"/>
        <v>(51 - 100)</v>
      </c>
      <c r="V383" s="12">
        <f t="shared" si="59"/>
        <v>5.3846153846153841</v>
      </c>
      <c r="W383" s="12">
        <f t="shared" si="60"/>
        <v>204.50420168067228</v>
      </c>
      <c r="X383" s="12">
        <f t="shared" si="61"/>
        <v>0.51932773109243691</v>
      </c>
    </row>
    <row r="384" spans="1:24">
      <c r="A384" s="11">
        <v>383</v>
      </c>
      <c r="B384" s="11" t="s">
        <v>1127</v>
      </c>
      <c r="C384" s="11" t="s">
        <v>50</v>
      </c>
      <c r="D384" s="11" t="s">
        <v>61</v>
      </c>
      <c r="E384" s="12">
        <v>10</v>
      </c>
      <c r="F384" s="11" t="s">
        <v>62</v>
      </c>
      <c r="G384" s="11" t="str">
        <f t="shared" si="53"/>
        <v>kWh</v>
      </c>
      <c r="H384" s="13">
        <v>88</v>
      </c>
      <c r="I384" s="11" t="s">
        <v>19</v>
      </c>
      <c r="J384" s="12">
        <v>75951</v>
      </c>
      <c r="K384" s="12" t="str">
        <f t="shared" si="54"/>
        <v>High</v>
      </c>
      <c r="L384" s="11" t="s">
        <v>20</v>
      </c>
      <c r="M384" s="14">
        <v>45156</v>
      </c>
      <c r="N384" s="14" t="str">
        <f t="shared" si="55"/>
        <v>18/08/2023</v>
      </c>
      <c r="O384" s="14" t="str">
        <f t="shared" si="56"/>
        <v>2023</v>
      </c>
      <c r="P384" s="11" t="s">
        <v>1129</v>
      </c>
      <c r="Q384" s="11" t="s">
        <v>112</v>
      </c>
      <c r="R384" s="11">
        <v>13</v>
      </c>
      <c r="S384" s="11" t="str">
        <f t="shared" si="57"/>
        <v>13 - 16 yrs</v>
      </c>
      <c r="T384" s="12">
        <v>0</v>
      </c>
      <c r="U384" s="11" t="str">
        <f t="shared" si="58"/>
        <v>(0 - 50)</v>
      </c>
      <c r="V384" s="12">
        <f t="shared" si="59"/>
        <v>8.8000000000000007</v>
      </c>
      <c r="W384" s="12">
        <f t="shared" si="60"/>
        <v>863.0795454545455</v>
      </c>
      <c r="X384" s="12">
        <f t="shared" si="61"/>
        <v>0</v>
      </c>
    </row>
    <row r="385" spans="1:24">
      <c r="A385" s="11">
        <v>384</v>
      </c>
      <c r="B385" s="11" t="s">
        <v>2501</v>
      </c>
      <c r="C385" s="11" t="s">
        <v>32</v>
      </c>
      <c r="D385" s="11" t="s">
        <v>61</v>
      </c>
      <c r="E385" s="12">
        <v>10</v>
      </c>
      <c r="F385" s="11" t="s">
        <v>56</v>
      </c>
      <c r="G385" s="11" t="str">
        <f t="shared" si="53"/>
        <v>Litres</v>
      </c>
      <c r="H385" s="13">
        <v>108</v>
      </c>
      <c r="I385" s="11" t="s">
        <v>19</v>
      </c>
      <c r="J385" s="12">
        <v>94177</v>
      </c>
      <c r="K385" s="12" t="str">
        <f t="shared" si="54"/>
        <v>Very High</v>
      </c>
      <c r="L385" s="11" t="s">
        <v>20</v>
      </c>
      <c r="M385" s="14">
        <v>45586</v>
      </c>
      <c r="N385" s="14" t="str">
        <f t="shared" si="55"/>
        <v>21/10/2024</v>
      </c>
      <c r="O385" s="14" t="str">
        <f t="shared" si="56"/>
        <v>2024</v>
      </c>
      <c r="P385" s="11" t="s">
        <v>827</v>
      </c>
      <c r="Q385" s="11" t="s">
        <v>441</v>
      </c>
      <c r="R385" s="11">
        <v>17</v>
      </c>
      <c r="S385" s="11" t="str">
        <f t="shared" si="57"/>
        <v>17 + yrs</v>
      </c>
      <c r="T385" s="12">
        <v>0</v>
      </c>
      <c r="U385" s="11" t="str">
        <f t="shared" si="58"/>
        <v>(0 - 50)</v>
      </c>
      <c r="V385" s="12">
        <f t="shared" si="59"/>
        <v>10.8</v>
      </c>
      <c r="W385" s="12">
        <f t="shared" si="60"/>
        <v>872.00925925925924</v>
      </c>
      <c r="X385" s="12">
        <f t="shared" si="61"/>
        <v>0</v>
      </c>
    </row>
    <row r="386" spans="1:24">
      <c r="A386" s="11">
        <v>385</v>
      </c>
      <c r="B386" s="11" t="s">
        <v>1132</v>
      </c>
      <c r="C386" s="11" t="s">
        <v>32</v>
      </c>
      <c r="D386" s="11" t="s">
        <v>33</v>
      </c>
      <c r="E386" s="12">
        <v>15.4</v>
      </c>
      <c r="F386" s="11" t="s">
        <v>62</v>
      </c>
      <c r="G386" s="11" t="str">
        <f t="shared" ref="G386:G449" si="62">IF(OR(F386="L",F386="ltrs",F386="liters"),"Litres",F386)</f>
        <v>kWh</v>
      </c>
      <c r="H386" s="13">
        <v>565</v>
      </c>
      <c r="I386" s="11" t="s">
        <v>19</v>
      </c>
      <c r="J386" s="12">
        <v>76762</v>
      </c>
      <c r="K386" s="12" t="str">
        <f t="shared" si="54"/>
        <v>High</v>
      </c>
      <c r="L386" s="11" t="s">
        <v>20</v>
      </c>
      <c r="M386" s="14">
        <v>45771</v>
      </c>
      <c r="N386" s="14" t="str">
        <f t="shared" si="55"/>
        <v>24/04/2025</v>
      </c>
      <c r="O386" s="14" t="str">
        <f t="shared" si="56"/>
        <v>2025</v>
      </c>
      <c r="P386" s="11" t="s">
        <v>1134</v>
      </c>
      <c r="Q386" s="11" t="s">
        <v>2648</v>
      </c>
      <c r="R386" s="11">
        <v>16</v>
      </c>
      <c r="S386" s="11" t="str">
        <f t="shared" si="57"/>
        <v>13 - 16 yrs</v>
      </c>
      <c r="T386" s="12">
        <v>34.6</v>
      </c>
      <c r="U386" s="11" t="str">
        <f t="shared" si="58"/>
        <v>(0 - 50)</v>
      </c>
      <c r="V386" s="12">
        <f t="shared" si="59"/>
        <v>36.688311688311686</v>
      </c>
      <c r="W386" s="12">
        <f t="shared" si="60"/>
        <v>135.86194690265486</v>
      </c>
      <c r="X386" s="12">
        <f t="shared" si="61"/>
        <v>6.1238938053097346E-2</v>
      </c>
    </row>
    <row r="387" spans="1:24">
      <c r="A387" s="11">
        <v>386</v>
      </c>
      <c r="B387" s="11" t="s">
        <v>1135</v>
      </c>
      <c r="C387" s="11" t="s">
        <v>39</v>
      </c>
      <c r="D387" s="11" t="s">
        <v>33</v>
      </c>
      <c r="E387" s="12">
        <v>29.9</v>
      </c>
      <c r="F387" s="11" t="s">
        <v>26</v>
      </c>
      <c r="G387" s="11" t="str">
        <f t="shared" si="62"/>
        <v>Litres</v>
      </c>
      <c r="H387" s="13">
        <v>573</v>
      </c>
      <c r="I387" s="11" t="s">
        <v>19</v>
      </c>
      <c r="J387" s="12">
        <v>31560</v>
      </c>
      <c r="K387" s="12" t="str">
        <f t="shared" si="54"/>
        <v>Low</v>
      </c>
      <c r="L387" s="11" t="s">
        <v>20</v>
      </c>
      <c r="M387" s="14">
        <v>45027</v>
      </c>
      <c r="N387" s="14" t="str">
        <f t="shared" si="55"/>
        <v>11/04/2023</v>
      </c>
      <c r="O387" s="14" t="str">
        <f t="shared" si="56"/>
        <v>2023</v>
      </c>
      <c r="P387" s="11" t="s">
        <v>1137</v>
      </c>
      <c r="Q387" s="11" t="s">
        <v>121</v>
      </c>
      <c r="R387" s="11">
        <v>19</v>
      </c>
      <c r="S387" s="11" t="str">
        <f t="shared" si="57"/>
        <v>17 + yrs</v>
      </c>
      <c r="T387" s="12">
        <v>63.6</v>
      </c>
      <c r="U387" s="11" t="str">
        <f t="shared" si="58"/>
        <v>(51 - 100)</v>
      </c>
      <c r="V387" s="12">
        <f t="shared" si="59"/>
        <v>19.163879598662209</v>
      </c>
      <c r="W387" s="12">
        <f t="shared" si="60"/>
        <v>55.078534031413611</v>
      </c>
      <c r="X387" s="12">
        <f t="shared" si="61"/>
        <v>0.11099476439790576</v>
      </c>
    </row>
    <row r="388" spans="1:24">
      <c r="A388" s="11">
        <v>387</v>
      </c>
      <c r="B388" s="11" t="s">
        <v>1138</v>
      </c>
      <c r="C388" s="11" t="s">
        <v>32</v>
      </c>
      <c r="D388" s="11" t="s">
        <v>17</v>
      </c>
      <c r="E388" s="12">
        <v>9.9</v>
      </c>
      <c r="F388" s="11" t="s">
        <v>56</v>
      </c>
      <c r="G388" s="11" t="str">
        <f t="shared" si="62"/>
        <v>Litres</v>
      </c>
      <c r="H388" s="13">
        <v>418</v>
      </c>
      <c r="I388" s="11" t="s">
        <v>19</v>
      </c>
      <c r="J388" s="12">
        <v>43726</v>
      </c>
      <c r="K388" s="12" t="str">
        <f t="shared" si="54"/>
        <v>Medium</v>
      </c>
      <c r="L388" s="11" t="s">
        <v>20</v>
      </c>
      <c r="M388" s="14">
        <v>45171</v>
      </c>
      <c r="N388" s="14" t="str">
        <f t="shared" si="55"/>
        <v>02/09/2023</v>
      </c>
      <c r="O388" s="14" t="str">
        <f t="shared" si="56"/>
        <v>2023</v>
      </c>
      <c r="P388" s="11" t="s">
        <v>1140</v>
      </c>
      <c r="Q388" s="11" t="s">
        <v>48</v>
      </c>
      <c r="R388" s="11">
        <v>10</v>
      </c>
      <c r="S388" s="11" t="str">
        <f t="shared" si="57"/>
        <v>9 - 12 yrs</v>
      </c>
      <c r="T388" s="12">
        <v>26.6</v>
      </c>
      <c r="U388" s="11" t="str">
        <f t="shared" si="58"/>
        <v>(0 - 50)</v>
      </c>
      <c r="V388" s="12">
        <f t="shared" si="59"/>
        <v>42.222222222222221</v>
      </c>
      <c r="W388" s="12">
        <f t="shared" si="60"/>
        <v>104.60765550239235</v>
      </c>
      <c r="X388" s="12">
        <f t="shared" si="61"/>
        <v>6.3636363636363644E-2</v>
      </c>
    </row>
    <row r="389" spans="1:24">
      <c r="A389" s="11">
        <v>388</v>
      </c>
      <c r="B389" s="11" t="s">
        <v>1141</v>
      </c>
      <c r="C389" s="11" t="s">
        <v>16</v>
      </c>
      <c r="D389" s="11" t="s">
        <v>17</v>
      </c>
      <c r="E389" s="12">
        <v>36.9</v>
      </c>
      <c r="F389" s="11" t="s">
        <v>26</v>
      </c>
      <c r="G389" s="11" t="str">
        <f t="shared" si="62"/>
        <v>Litres</v>
      </c>
      <c r="H389" s="13">
        <v>450</v>
      </c>
      <c r="I389" s="11" t="s">
        <v>19</v>
      </c>
      <c r="J389" s="12">
        <v>99107</v>
      </c>
      <c r="K389" s="12" t="str">
        <f t="shared" si="54"/>
        <v>Very High</v>
      </c>
      <c r="L389" s="11" t="s">
        <v>20</v>
      </c>
      <c r="M389" s="14">
        <v>45207</v>
      </c>
      <c r="N389" s="14" t="str">
        <f t="shared" si="55"/>
        <v>08/10/2023</v>
      </c>
      <c r="O389" s="14" t="str">
        <f t="shared" si="56"/>
        <v>2023</v>
      </c>
      <c r="P389" s="11" t="s">
        <v>1143</v>
      </c>
      <c r="Q389" s="11" t="s">
        <v>48</v>
      </c>
      <c r="R389" s="11">
        <v>9</v>
      </c>
      <c r="S389" s="11" t="str">
        <f t="shared" si="57"/>
        <v>9 - 12 yrs</v>
      </c>
      <c r="T389" s="12">
        <v>85.8</v>
      </c>
      <c r="U389" s="11" t="str">
        <f t="shared" si="58"/>
        <v>(51 - 100)</v>
      </c>
      <c r="V389" s="12">
        <f t="shared" si="59"/>
        <v>12.195121951219512</v>
      </c>
      <c r="W389" s="12">
        <f t="shared" si="60"/>
        <v>220.23777777777778</v>
      </c>
      <c r="X389" s="12">
        <f t="shared" si="61"/>
        <v>0.19066666666666665</v>
      </c>
    </row>
    <row r="390" spans="1:24">
      <c r="A390" s="11">
        <v>389</v>
      </c>
      <c r="B390" s="11" t="s">
        <v>1144</v>
      </c>
      <c r="C390" s="11" t="s">
        <v>39</v>
      </c>
      <c r="D390" s="11" t="s">
        <v>33</v>
      </c>
      <c r="E390" s="12">
        <v>3.9</v>
      </c>
      <c r="F390" s="11" t="s">
        <v>41</v>
      </c>
      <c r="G390" s="11" t="str">
        <f t="shared" si="62"/>
        <v>Litres</v>
      </c>
      <c r="H390" s="13">
        <v>211</v>
      </c>
      <c r="I390" s="11" t="s">
        <v>19</v>
      </c>
      <c r="J390" s="12">
        <v>80081</v>
      </c>
      <c r="K390" s="12" t="str">
        <f t="shared" si="54"/>
        <v>High</v>
      </c>
      <c r="L390" s="11" t="s">
        <v>20</v>
      </c>
      <c r="M390" s="14">
        <v>45507</v>
      </c>
      <c r="N390" s="14" t="str">
        <f t="shared" si="55"/>
        <v>03/08/2024</v>
      </c>
      <c r="O390" s="14" t="str">
        <f t="shared" si="56"/>
        <v>2024</v>
      </c>
      <c r="P390" s="11" t="s">
        <v>1146</v>
      </c>
      <c r="Q390" s="11" t="s">
        <v>112</v>
      </c>
      <c r="R390" s="11">
        <v>10</v>
      </c>
      <c r="S390" s="11" t="str">
        <f t="shared" si="57"/>
        <v>9 - 12 yrs</v>
      </c>
      <c r="T390" s="12">
        <v>11.3</v>
      </c>
      <c r="U390" s="11" t="str">
        <f t="shared" si="58"/>
        <v>(0 - 50)</v>
      </c>
      <c r="V390" s="12">
        <f t="shared" si="59"/>
        <v>54.102564102564102</v>
      </c>
      <c r="W390" s="12">
        <f t="shared" si="60"/>
        <v>379.53080568720378</v>
      </c>
      <c r="X390" s="12">
        <f t="shared" si="61"/>
        <v>5.3554502369668251E-2</v>
      </c>
    </row>
    <row r="391" spans="1:24">
      <c r="A391" s="11">
        <v>390</v>
      </c>
      <c r="B391" s="11" t="s">
        <v>1147</v>
      </c>
      <c r="C391" s="11" t="s">
        <v>39</v>
      </c>
      <c r="D391" s="11" t="s">
        <v>114</v>
      </c>
      <c r="E391" s="12">
        <v>89.7</v>
      </c>
      <c r="F391" s="11" t="s">
        <v>26</v>
      </c>
      <c r="G391" s="11" t="str">
        <f t="shared" si="62"/>
        <v>Litres</v>
      </c>
      <c r="H391" s="13">
        <v>162</v>
      </c>
      <c r="I391" s="11" t="s">
        <v>19</v>
      </c>
      <c r="J391" s="12">
        <v>93251</v>
      </c>
      <c r="K391" s="12" t="str">
        <f t="shared" si="54"/>
        <v>Very High</v>
      </c>
      <c r="L391" s="11" t="s">
        <v>20</v>
      </c>
      <c r="M391" s="14">
        <v>45133</v>
      </c>
      <c r="N391" s="14" t="str">
        <f t="shared" si="55"/>
        <v>26/07/2023</v>
      </c>
      <c r="O391" s="14" t="str">
        <f t="shared" si="56"/>
        <v>2023</v>
      </c>
      <c r="P391" s="11" t="s">
        <v>1149</v>
      </c>
      <c r="Q391" s="11" t="s">
        <v>54</v>
      </c>
      <c r="R391" s="11">
        <v>18</v>
      </c>
      <c r="S391" s="11" t="str">
        <f t="shared" si="57"/>
        <v>17 + yrs</v>
      </c>
      <c r="T391" s="12">
        <v>190.2</v>
      </c>
      <c r="U391" s="11" t="str">
        <f t="shared" si="58"/>
        <v>(151 - 200)</v>
      </c>
      <c r="V391" s="12">
        <f t="shared" si="59"/>
        <v>1.806020066889632</v>
      </c>
      <c r="W391" s="12">
        <f t="shared" si="60"/>
        <v>575.62345679012344</v>
      </c>
      <c r="X391" s="12">
        <f t="shared" si="61"/>
        <v>1.174074074074074</v>
      </c>
    </row>
    <row r="392" spans="1:24">
      <c r="A392" s="11">
        <v>391</v>
      </c>
      <c r="B392" s="11" t="s">
        <v>1150</v>
      </c>
      <c r="C392" s="11" t="s">
        <v>16</v>
      </c>
      <c r="D392" s="11" t="s">
        <v>17</v>
      </c>
      <c r="E392" s="12">
        <v>39.700000000000003</v>
      </c>
      <c r="F392" s="11" t="s">
        <v>41</v>
      </c>
      <c r="G392" s="11" t="str">
        <f t="shared" si="62"/>
        <v>Litres</v>
      </c>
      <c r="H392" s="13">
        <v>273</v>
      </c>
      <c r="I392" s="11" t="s">
        <v>19</v>
      </c>
      <c r="J392" s="12">
        <v>57806</v>
      </c>
      <c r="K392" s="12" t="str">
        <f t="shared" si="54"/>
        <v>Moderate</v>
      </c>
      <c r="L392" s="11" t="s">
        <v>20</v>
      </c>
      <c r="M392" s="14">
        <v>45252</v>
      </c>
      <c r="N392" s="14" t="str">
        <f t="shared" si="55"/>
        <v>22/11/2023</v>
      </c>
      <c r="O392" s="14" t="str">
        <f t="shared" si="56"/>
        <v>2023</v>
      </c>
      <c r="P392" s="11" t="s">
        <v>786</v>
      </c>
      <c r="Q392" s="11" t="s">
        <v>441</v>
      </c>
      <c r="R392" s="11">
        <v>6</v>
      </c>
      <c r="S392" s="11" t="str">
        <f t="shared" si="57"/>
        <v>5 - 8 yrs</v>
      </c>
      <c r="T392" s="12">
        <v>119.1</v>
      </c>
      <c r="U392" s="11" t="str">
        <f t="shared" si="58"/>
        <v>(101 - 150)</v>
      </c>
      <c r="V392" s="12">
        <f t="shared" si="59"/>
        <v>6.8765743073047858</v>
      </c>
      <c r="W392" s="12">
        <f t="shared" si="60"/>
        <v>211.74358974358975</v>
      </c>
      <c r="X392" s="12">
        <f t="shared" si="61"/>
        <v>0.43626373626373627</v>
      </c>
    </row>
    <row r="393" spans="1:24">
      <c r="A393" s="11">
        <v>392</v>
      </c>
      <c r="B393" s="11" t="s">
        <v>1152</v>
      </c>
      <c r="C393" s="11" t="s">
        <v>16</v>
      </c>
      <c r="D393" s="11" t="s">
        <v>33</v>
      </c>
      <c r="E393" s="12">
        <v>15.8</v>
      </c>
      <c r="F393" s="11" t="s">
        <v>2643</v>
      </c>
      <c r="G393" s="11" t="str">
        <f t="shared" si="62"/>
        <v>Litres</v>
      </c>
      <c r="H393" s="13">
        <v>262</v>
      </c>
      <c r="I393" s="11" t="s">
        <v>19</v>
      </c>
      <c r="J393" s="12">
        <v>60434</v>
      </c>
      <c r="K393" s="12" t="str">
        <f t="shared" si="54"/>
        <v>Moderate</v>
      </c>
      <c r="L393" s="11" t="s">
        <v>20</v>
      </c>
      <c r="M393" s="14">
        <v>45265</v>
      </c>
      <c r="N393" s="14" t="str">
        <f t="shared" si="55"/>
        <v>05/12/2023</v>
      </c>
      <c r="O393" s="14" t="str">
        <f t="shared" si="56"/>
        <v>2023</v>
      </c>
      <c r="P393" s="11" t="s">
        <v>747</v>
      </c>
      <c r="Q393" s="11" t="s">
        <v>48</v>
      </c>
      <c r="R393" s="11">
        <v>11</v>
      </c>
      <c r="S393" s="11" t="str">
        <f t="shared" si="57"/>
        <v>9 - 12 yrs</v>
      </c>
      <c r="T393" s="12">
        <v>37</v>
      </c>
      <c r="U393" s="11" t="str">
        <f t="shared" si="58"/>
        <v>(0 - 50)</v>
      </c>
      <c r="V393" s="12">
        <f t="shared" si="59"/>
        <v>16.582278481012658</v>
      </c>
      <c r="W393" s="12">
        <f t="shared" si="60"/>
        <v>230.66412213740458</v>
      </c>
      <c r="X393" s="12">
        <f t="shared" si="61"/>
        <v>0.14122137404580154</v>
      </c>
    </row>
    <row r="394" spans="1:24">
      <c r="A394" s="11">
        <v>393</v>
      </c>
      <c r="B394" s="11" t="s">
        <v>2502</v>
      </c>
      <c r="C394" s="11" t="s">
        <v>16</v>
      </c>
      <c r="D394" s="11" t="s">
        <v>17</v>
      </c>
      <c r="E394" s="12">
        <v>73.900000000000006</v>
      </c>
      <c r="F394" s="11" t="s">
        <v>56</v>
      </c>
      <c r="G394" s="11" t="str">
        <f t="shared" si="62"/>
        <v>Litres</v>
      </c>
      <c r="H394" s="13">
        <v>222</v>
      </c>
      <c r="I394" s="11" t="s">
        <v>19</v>
      </c>
      <c r="J394" s="12">
        <v>20489</v>
      </c>
      <c r="K394" s="12" t="str">
        <f t="shared" si="54"/>
        <v>Low</v>
      </c>
      <c r="L394" s="11" t="s">
        <v>20</v>
      </c>
      <c r="M394" s="14">
        <v>45615</v>
      </c>
      <c r="N394" s="14" t="str">
        <f t="shared" si="55"/>
        <v>19/11/2024</v>
      </c>
      <c r="O394" s="14" t="str">
        <f t="shared" si="56"/>
        <v>2024</v>
      </c>
      <c r="P394" s="11" t="s">
        <v>1156</v>
      </c>
      <c r="Q394" s="11" t="s">
        <v>2648</v>
      </c>
      <c r="R394" s="11">
        <v>14</v>
      </c>
      <c r="S394" s="11" t="str">
        <f t="shared" si="57"/>
        <v>13 - 16 yrs</v>
      </c>
      <c r="T394" s="12">
        <v>203.6</v>
      </c>
      <c r="U394" s="11" t="str">
        <f t="shared" si="58"/>
        <v>(201 - 250)</v>
      </c>
      <c r="V394" s="12">
        <f t="shared" si="59"/>
        <v>3.004059539918809</v>
      </c>
      <c r="W394" s="12">
        <f t="shared" si="60"/>
        <v>92.292792792792795</v>
      </c>
      <c r="X394" s="12">
        <f t="shared" si="61"/>
        <v>0.91711711711711708</v>
      </c>
    </row>
    <row r="395" spans="1:24">
      <c r="A395" s="11">
        <v>394</v>
      </c>
      <c r="B395" s="11" t="s">
        <v>1157</v>
      </c>
      <c r="C395" s="11" t="s">
        <v>16</v>
      </c>
      <c r="D395" s="11" t="s">
        <v>61</v>
      </c>
      <c r="E395" s="12">
        <v>10</v>
      </c>
      <c r="F395" s="11" t="s">
        <v>62</v>
      </c>
      <c r="G395" s="11" t="str">
        <f t="shared" si="62"/>
        <v>kWh</v>
      </c>
      <c r="H395" s="13">
        <v>551</v>
      </c>
      <c r="I395" s="11" t="s">
        <v>19</v>
      </c>
      <c r="J395" s="12">
        <v>19421</v>
      </c>
      <c r="K395" s="12" t="str">
        <f t="shared" si="54"/>
        <v>Low</v>
      </c>
      <c r="L395" s="11" t="s">
        <v>20</v>
      </c>
      <c r="M395" s="14">
        <v>45742</v>
      </c>
      <c r="N395" s="14" t="str">
        <f t="shared" si="55"/>
        <v>26/03/2025</v>
      </c>
      <c r="O395" s="14" t="str">
        <f t="shared" si="56"/>
        <v>2025</v>
      </c>
      <c r="P395" s="11" t="s">
        <v>1159</v>
      </c>
      <c r="Q395" s="11" t="s">
        <v>112</v>
      </c>
      <c r="R395" s="11">
        <v>1</v>
      </c>
      <c r="S395" s="11" t="str">
        <f t="shared" si="57"/>
        <v>0 - 4 yrs</v>
      </c>
      <c r="T395" s="12">
        <v>0</v>
      </c>
      <c r="U395" s="11" t="str">
        <f t="shared" si="58"/>
        <v>(0 - 50)</v>
      </c>
      <c r="V395" s="12">
        <f t="shared" si="59"/>
        <v>55.1</v>
      </c>
      <c r="W395" s="12">
        <f t="shared" si="60"/>
        <v>35.246823956442832</v>
      </c>
      <c r="X395" s="12">
        <f t="shared" si="61"/>
        <v>0</v>
      </c>
    </row>
    <row r="396" spans="1:24">
      <c r="A396" s="11">
        <v>395</v>
      </c>
      <c r="B396" s="11" t="s">
        <v>1160</v>
      </c>
      <c r="C396" s="11" t="s">
        <v>16</v>
      </c>
      <c r="D396" s="11" t="s">
        <v>61</v>
      </c>
      <c r="E396" s="12">
        <v>10</v>
      </c>
      <c r="F396" s="11" t="s">
        <v>41</v>
      </c>
      <c r="G396" s="11" t="str">
        <f t="shared" si="62"/>
        <v>Litres</v>
      </c>
      <c r="H396" s="13">
        <v>42</v>
      </c>
      <c r="I396" s="11" t="s">
        <v>19</v>
      </c>
      <c r="J396" s="12">
        <v>28064</v>
      </c>
      <c r="K396" s="12" t="str">
        <f t="shared" si="54"/>
        <v>Low</v>
      </c>
      <c r="L396" s="11" t="s">
        <v>20</v>
      </c>
      <c r="M396" s="14">
        <v>45248</v>
      </c>
      <c r="N396" s="14" t="str">
        <f t="shared" si="55"/>
        <v>18/11/2023</v>
      </c>
      <c r="O396" s="14" t="str">
        <f t="shared" si="56"/>
        <v>2023</v>
      </c>
      <c r="P396" s="11" t="s">
        <v>1161</v>
      </c>
      <c r="Q396" s="11" t="s">
        <v>117</v>
      </c>
      <c r="R396" s="11">
        <v>9</v>
      </c>
      <c r="S396" s="11" t="str">
        <f t="shared" si="57"/>
        <v>9 - 12 yrs</v>
      </c>
      <c r="T396" s="12">
        <v>0</v>
      </c>
      <c r="U396" s="11" t="str">
        <f t="shared" si="58"/>
        <v>(0 - 50)</v>
      </c>
      <c r="V396" s="12">
        <f t="shared" si="59"/>
        <v>4.2</v>
      </c>
      <c r="W396" s="12">
        <f t="shared" si="60"/>
        <v>668.19047619047615</v>
      </c>
      <c r="X396" s="12">
        <f t="shared" si="61"/>
        <v>0</v>
      </c>
    </row>
    <row r="397" spans="1:24">
      <c r="A397" s="11">
        <v>396</v>
      </c>
      <c r="B397" s="11" t="s">
        <v>1162</v>
      </c>
      <c r="C397" s="11" t="s">
        <v>39</v>
      </c>
      <c r="D397" s="11" t="s">
        <v>17</v>
      </c>
      <c r="E397" s="12">
        <v>70.2</v>
      </c>
      <c r="F397" s="11" t="s">
        <v>41</v>
      </c>
      <c r="G397" s="11" t="str">
        <f t="shared" si="62"/>
        <v>Litres</v>
      </c>
      <c r="H397" s="13">
        <v>474</v>
      </c>
      <c r="I397" s="11" t="s">
        <v>19</v>
      </c>
      <c r="J397" s="12">
        <v>90261</v>
      </c>
      <c r="K397" s="12" t="str">
        <f t="shared" si="54"/>
        <v>Very High</v>
      </c>
      <c r="L397" s="11" t="s">
        <v>20</v>
      </c>
      <c r="M397" s="14">
        <v>45604</v>
      </c>
      <c r="N397" s="14" t="str">
        <f t="shared" si="55"/>
        <v>08/11/2024</v>
      </c>
      <c r="O397" s="14" t="str">
        <f t="shared" si="56"/>
        <v>2024</v>
      </c>
      <c r="P397" s="11" t="s">
        <v>1164</v>
      </c>
      <c r="Q397" s="11" t="s">
        <v>86</v>
      </c>
      <c r="R397" s="11">
        <v>13</v>
      </c>
      <c r="S397" s="11" t="str">
        <f t="shared" si="57"/>
        <v>13 - 16 yrs</v>
      </c>
      <c r="T397" s="12">
        <v>216.3</v>
      </c>
      <c r="U397" s="11" t="str">
        <f t="shared" si="58"/>
        <v>(201 - 250)</v>
      </c>
      <c r="V397" s="12">
        <f t="shared" si="59"/>
        <v>6.7521367521367521</v>
      </c>
      <c r="W397" s="12">
        <f t="shared" si="60"/>
        <v>190.42405063291139</v>
      </c>
      <c r="X397" s="12">
        <f t="shared" si="61"/>
        <v>0.45632911392405068</v>
      </c>
    </row>
    <row r="398" spans="1:24">
      <c r="A398" s="11">
        <v>397</v>
      </c>
      <c r="B398" s="11" t="s">
        <v>1165</v>
      </c>
      <c r="C398" s="11" t="s">
        <v>50</v>
      </c>
      <c r="D398" s="11" t="s">
        <v>17</v>
      </c>
      <c r="E398" s="12">
        <v>88.5</v>
      </c>
      <c r="F398" s="11" t="s">
        <v>2643</v>
      </c>
      <c r="G398" s="11" t="str">
        <f t="shared" si="62"/>
        <v>Litres</v>
      </c>
      <c r="H398" s="13">
        <v>130</v>
      </c>
      <c r="I398" s="11" t="s">
        <v>19</v>
      </c>
      <c r="J398" s="12">
        <v>71883</v>
      </c>
      <c r="K398" s="12" t="str">
        <f t="shared" si="54"/>
        <v>Moderate</v>
      </c>
      <c r="L398" s="11" t="s">
        <v>20</v>
      </c>
      <c r="M398" s="14">
        <v>44967</v>
      </c>
      <c r="N398" s="14" t="str">
        <f t="shared" si="55"/>
        <v>10/02/2023</v>
      </c>
      <c r="O398" s="14" t="str">
        <f t="shared" si="56"/>
        <v>2023</v>
      </c>
      <c r="P398" s="11" t="s">
        <v>1167</v>
      </c>
      <c r="Q398" s="11" t="s">
        <v>48</v>
      </c>
      <c r="R398" s="11">
        <v>9</v>
      </c>
      <c r="S398" s="11" t="str">
        <f t="shared" si="57"/>
        <v>9 - 12 yrs</v>
      </c>
      <c r="T398" s="12">
        <v>198.3</v>
      </c>
      <c r="U398" s="11" t="str">
        <f t="shared" si="58"/>
        <v>(151 - 200)</v>
      </c>
      <c r="V398" s="12">
        <f t="shared" si="59"/>
        <v>1.4689265536723164</v>
      </c>
      <c r="W398" s="12">
        <f t="shared" si="60"/>
        <v>552.94615384615383</v>
      </c>
      <c r="X398" s="12">
        <f t="shared" si="61"/>
        <v>1.5253846153846156</v>
      </c>
    </row>
    <row r="399" spans="1:24">
      <c r="A399" s="11">
        <v>398</v>
      </c>
      <c r="B399" s="11" t="s">
        <v>1168</v>
      </c>
      <c r="C399" s="11" t="s">
        <v>50</v>
      </c>
      <c r="D399" s="11" t="s">
        <v>114</v>
      </c>
      <c r="E399" s="12">
        <v>85.4</v>
      </c>
      <c r="F399" s="11" t="s">
        <v>62</v>
      </c>
      <c r="G399" s="11" t="str">
        <f t="shared" si="62"/>
        <v>kWh</v>
      </c>
      <c r="H399" s="13">
        <v>181</v>
      </c>
      <c r="I399" s="11" t="s">
        <v>19</v>
      </c>
      <c r="J399" s="12">
        <v>75668</v>
      </c>
      <c r="K399" s="12" t="str">
        <f t="shared" si="54"/>
        <v>High</v>
      </c>
      <c r="L399" s="11" t="s">
        <v>20</v>
      </c>
      <c r="M399" s="14">
        <v>45415</v>
      </c>
      <c r="N399" s="14" t="str">
        <f t="shared" si="55"/>
        <v>03/05/2024</v>
      </c>
      <c r="O399" s="14" t="str">
        <f t="shared" si="56"/>
        <v>2024</v>
      </c>
      <c r="P399" s="11" t="s">
        <v>1170</v>
      </c>
      <c r="Q399" s="11" t="s">
        <v>69</v>
      </c>
      <c r="R399" s="11">
        <v>12</v>
      </c>
      <c r="S399" s="11" t="str">
        <f t="shared" si="57"/>
        <v>9 - 12 yrs</v>
      </c>
      <c r="T399" s="12">
        <v>201.3</v>
      </c>
      <c r="U399" s="11" t="str">
        <f t="shared" si="58"/>
        <v>(201 - 250)</v>
      </c>
      <c r="V399" s="12">
        <f t="shared" si="59"/>
        <v>2.1194379391100702</v>
      </c>
      <c r="W399" s="12">
        <f t="shared" si="60"/>
        <v>418.0552486187845</v>
      </c>
      <c r="X399" s="12">
        <f t="shared" si="61"/>
        <v>1.1121546961325968</v>
      </c>
    </row>
    <row r="400" spans="1:24">
      <c r="A400" s="11">
        <v>399</v>
      </c>
      <c r="B400" s="11" t="s">
        <v>1171</v>
      </c>
      <c r="C400" s="11" t="s">
        <v>39</v>
      </c>
      <c r="D400" s="11" t="s">
        <v>114</v>
      </c>
      <c r="E400" s="12">
        <v>44</v>
      </c>
      <c r="F400" s="11" t="s">
        <v>41</v>
      </c>
      <c r="G400" s="11" t="str">
        <f t="shared" si="62"/>
        <v>Litres</v>
      </c>
      <c r="H400" s="13">
        <v>119</v>
      </c>
      <c r="I400" s="11" t="s">
        <v>19</v>
      </c>
      <c r="J400" s="12">
        <v>38481</v>
      </c>
      <c r="K400" s="12" t="str">
        <f t="shared" si="54"/>
        <v>Medium</v>
      </c>
      <c r="L400" s="11" t="s">
        <v>20</v>
      </c>
      <c r="M400" s="14">
        <v>45016</v>
      </c>
      <c r="N400" s="14" t="str">
        <f t="shared" si="55"/>
        <v>31/03/2023</v>
      </c>
      <c r="O400" s="14" t="str">
        <f t="shared" si="56"/>
        <v>2023</v>
      </c>
      <c r="P400" s="11" t="s">
        <v>1173</v>
      </c>
      <c r="Q400" s="11" t="s">
        <v>441</v>
      </c>
      <c r="R400" s="11">
        <v>14</v>
      </c>
      <c r="S400" s="11" t="str">
        <f t="shared" si="57"/>
        <v>13 - 16 yrs</v>
      </c>
      <c r="T400" s="12">
        <v>136.19999999999999</v>
      </c>
      <c r="U400" s="11" t="str">
        <f t="shared" si="58"/>
        <v>(101 - 150)</v>
      </c>
      <c r="V400" s="12">
        <f t="shared" si="59"/>
        <v>2.7045454545454546</v>
      </c>
      <c r="W400" s="12">
        <f t="shared" si="60"/>
        <v>323.36974789915968</v>
      </c>
      <c r="X400" s="12">
        <f t="shared" si="61"/>
        <v>1.1445378151260504</v>
      </c>
    </row>
    <row r="401" spans="1:24">
      <c r="A401" s="11">
        <v>400</v>
      </c>
      <c r="B401" s="11" t="s">
        <v>1174</v>
      </c>
      <c r="C401" s="11" t="s">
        <v>50</v>
      </c>
      <c r="D401" s="11" t="s">
        <v>61</v>
      </c>
      <c r="E401" s="12">
        <v>10</v>
      </c>
      <c r="F401" s="11" t="s">
        <v>62</v>
      </c>
      <c r="G401" s="11" t="str">
        <f t="shared" si="62"/>
        <v>kWh</v>
      </c>
      <c r="H401" s="13">
        <v>635</v>
      </c>
      <c r="I401" s="11" t="s">
        <v>19</v>
      </c>
      <c r="J401" s="12">
        <v>53817</v>
      </c>
      <c r="K401" s="12" t="str">
        <f t="shared" si="54"/>
        <v>Medium</v>
      </c>
      <c r="L401" s="11" t="s">
        <v>20</v>
      </c>
      <c r="M401" s="14">
        <v>45060</v>
      </c>
      <c r="N401" s="14" t="str">
        <f t="shared" si="55"/>
        <v>14/05/2023</v>
      </c>
      <c r="O401" s="14" t="str">
        <f t="shared" si="56"/>
        <v>2023</v>
      </c>
      <c r="P401" s="11" t="s">
        <v>1175</v>
      </c>
      <c r="Q401" s="11" t="s">
        <v>121</v>
      </c>
      <c r="R401" s="11">
        <v>2</v>
      </c>
      <c r="S401" s="11" t="str">
        <f t="shared" si="57"/>
        <v>0 - 4 yrs</v>
      </c>
      <c r="T401" s="12">
        <v>0</v>
      </c>
      <c r="U401" s="11" t="str">
        <f t="shared" si="58"/>
        <v>(0 - 50)</v>
      </c>
      <c r="V401" s="12">
        <f t="shared" si="59"/>
        <v>63.5</v>
      </c>
      <c r="W401" s="12">
        <f t="shared" si="60"/>
        <v>84.75118110236221</v>
      </c>
      <c r="X401" s="12">
        <f t="shared" si="61"/>
        <v>0</v>
      </c>
    </row>
    <row r="402" spans="1:24">
      <c r="A402" s="11">
        <v>401</v>
      </c>
      <c r="B402" s="11" t="s">
        <v>1176</v>
      </c>
      <c r="C402" s="11" t="s">
        <v>32</v>
      </c>
      <c r="D402" s="11" t="s">
        <v>61</v>
      </c>
      <c r="E402" s="12">
        <v>10</v>
      </c>
      <c r="F402" s="11" t="s">
        <v>2643</v>
      </c>
      <c r="G402" s="11" t="str">
        <f t="shared" si="62"/>
        <v>Litres</v>
      </c>
      <c r="H402" s="13">
        <v>470</v>
      </c>
      <c r="I402" s="11" t="s">
        <v>19</v>
      </c>
      <c r="J402" s="12">
        <v>35458</v>
      </c>
      <c r="K402" s="12" t="str">
        <f t="shared" si="54"/>
        <v>Low</v>
      </c>
      <c r="L402" s="11" t="s">
        <v>20</v>
      </c>
      <c r="M402" s="14">
        <v>45109</v>
      </c>
      <c r="N402" s="14" t="str">
        <f t="shared" si="55"/>
        <v>02/07/2023</v>
      </c>
      <c r="O402" s="14" t="str">
        <f t="shared" si="56"/>
        <v>2023</v>
      </c>
      <c r="P402" s="11" t="s">
        <v>1178</v>
      </c>
      <c r="Q402" s="11" t="s">
        <v>69</v>
      </c>
      <c r="R402" s="11">
        <v>6</v>
      </c>
      <c r="S402" s="11" t="str">
        <f t="shared" si="57"/>
        <v>5 - 8 yrs</v>
      </c>
      <c r="T402" s="12">
        <v>0</v>
      </c>
      <c r="U402" s="11" t="str">
        <f t="shared" si="58"/>
        <v>(0 - 50)</v>
      </c>
      <c r="V402" s="12">
        <f t="shared" si="59"/>
        <v>47</v>
      </c>
      <c r="W402" s="12">
        <f t="shared" si="60"/>
        <v>75.442553191489367</v>
      </c>
      <c r="X402" s="12">
        <f t="shared" si="61"/>
        <v>0</v>
      </c>
    </row>
    <row r="403" spans="1:24">
      <c r="A403" s="11">
        <v>402</v>
      </c>
      <c r="B403" s="11" t="s">
        <v>2503</v>
      </c>
      <c r="C403" s="11" t="s">
        <v>16</v>
      </c>
      <c r="D403" s="11" t="s">
        <v>33</v>
      </c>
      <c r="E403" s="12">
        <v>69.400000000000006</v>
      </c>
      <c r="F403" s="11" t="s">
        <v>62</v>
      </c>
      <c r="G403" s="11" t="str">
        <f t="shared" si="62"/>
        <v>kWh</v>
      </c>
      <c r="H403" s="13">
        <v>320</v>
      </c>
      <c r="I403" s="11" t="s">
        <v>19</v>
      </c>
      <c r="J403" s="12">
        <v>4078</v>
      </c>
      <c r="K403" s="12" t="str">
        <f t="shared" si="54"/>
        <v>Very Low</v>
      </c>
      <c r="L403" s="11" t="s">
        <v>20</v>
      </c>
      <c r="M403" s="14">
        <v>45724</v>
      </c>
      <c r="N403" s="14" t="str">
        <f t="shared" si="55"/>
        <v>08/03/2025</v>
      </c>
      <c r="O403" s="14" t="str">
        <f t="shared" si="56"/>
        <v>2025</v>
      </c>
      <c r="P403" s="11" t="s">
        <v>1181</v>
      </c>
      <c r="Q403" s="11" t="s">
        <v>112</v>
      </c>
      <c r="R403" s="11">
        <v>3</v>
      </c>
      <c r="S403" s="11" t="str">
        <f t="shared" si="57"/>
        <v>0 - 4 yrs</v>
      </c>
      <c r="T403" s="12">
        <v>211.7</v>
      </c>
      <c r="U403" s="11" t="str">
        <f t="shared" si="58"/>
        <v>(201 - 250)</v>
      </c>
      <c r="V403" s="12">
        <f t="shared" si="59"/>
        <v>4.6109510086455332</v>
      </c>
      <c r="W403" s="12">
        <f t="shared" si="60"/>
        <v>12.74375</v>
      </c>
      <c r="X403" s="12">
        <f t="shared" si="61"/>
        <v>0.66156249999999994</v>
      </c>
    </row>
    <row r="404" spans="1:24">
      <c r="A404" s="11">
        <v>403</v>
      </c>
      <c r="B404" s="11" t="s">
        <v>1182</v>
      </c>
      <c r="C404" s="11" t="s">
        <v>32</v>
      </c>
      <c r="D404" s="11" t="s">
        <v>17</v>
      </c>
      <c r="E404" s="12">
        <v>30.6</v>
      </c>
      <c r="F404" s="11" t="s">
        <v>2643</v>
      </c>
      <c r="G404" s="11" t="str">
        <f t="shared" si="62"/>
        <v>Litres</v>
      </c>
      <c r="H404" s="13">
        <v>92</v>
      </c>
      <c r="I404" s="11" t="s">
        <v>19</v>
      </c>
      <c r="J404" s="12">
        <v>88302</v>
      </c>
      <c r="K404" s="12" t="str">
        <f t="shared" si="54"/>
        <v>High</v>
      </c>
      <c r="L404" s="11" t="s">
        <v>20</v>
      </c>
      <c r="M404" s="14">
        <v>45307</v>
      </c>
      <c r="N404" s="14" t="str">
        <f t="shared" si="55"/>
        <v>16/01/2024</v>
      </c>
      <c r="O404" s="14" t="str">
        <f t="shared" si="56"/>
        <v>2024</v>
      </c>
      <c r="P404" s="11" t="s">
        <v>1184</v>
      </c>
      <c r="Q404" s="11" t="s">
        <v>86</v>
      </c>
      <c r="R404" s="11">
        <v>15</v>
      </c>
      <c r="S404" s="11" t="str">
        <f t="shared" si="57"/>
        <v>13 - 16 yrs</v>
      </c>
      <c r="T404" s="12">
        <v>65.400000000000006</v>
      </c>
      <c r="U404" s="11" t="str">
        <f t="shared" si="58"/>
        <v>(51 - 100)</v>
      </c>
      <c r="V404" s="12">
        <f t="shared" si="59"/>
        <v>3.0065359477124183</v>
      </c>
      <c r="W404" s="12">
        <f t="shared" si="60"/>
        <v>959.804347826087</v>
      </c>
      <c r="X404" s="12">
        <f t="shared" si="61"/>
        <v>0.71086956521739142</v>
      </c>
    </row>
    <row r="405" spans="1:24">
      <c r="A405" s="11">
        <v>404</v>
      </c>
      <c r="B405" s="11" t="s">
        <v>1185</v>
      </c>
      <c r="C405" s="11" t="s">
        <v>50</v>
      </c>
      <c r="D405" s="11" t="s">
        <v>61</v>
      </c>
      <c r="E405" s="12">
        <v>10</v>
      </c>
      <c r="F405" s="11" t="s">
        <v>56</v>
      </c>
      <c r="G405" s="11" t="str">
        <f t="shared" si="62"/>
        <v>Litres</v>
      </c>
      <c r="H405" s="13">
        <v>525</v>
      </c>
      <c r="I405" s="11" t="s">
        <v>19</v>
      </c>
      <c r="J405" s="12">
        <v>37387</v>
      </c>
      <c r="K405" s="12" t="str">
        <f t="shared" si="54"/>
        <v>Medium</v>
      </c>
      <c r="L405" s="11" t="s">
        <v>20</v>
      </c>
      <c r="M405" s="14">
        <v>45557</v>
      </c>
      <c r="N405" s="14" t="str">
        <f t="shared" si="55"/>
        <v>22/09/2024</v>
      </c>
      <c r="O405" s="14" t="str">
        <f t="shared" si="56"/>
        <v>2024</v>
      </c>
      <c r="P405" s="11" t="s">
        <v>1068</v>
      </c>
      <c r="Q405" s="11" t="s">
        <v>121</v>
      </c>
      <c r="R405" s="11">
        <v>16</v>
      </c>
      <c r="S405" s="11" t="str">
        <f t="shared" si="57"/>
        <v>13 - 16 yrs</v>
      </c>
      <c r="T405" s="12">
        <v>0</v>
      </c>
      <c r="U405" s="11" t="str">
        <f t="shared" si="58"/>
        <v>(0 - 50)</v>
      </c>
      <c r="V405" s="12">
        <f t="shared" si="59"/>
        <v>52.5</v>
      </c>
      <c r="W405" s="12">
        <f t="shared" si="60"/>
        <v>71.213333333333338</v>
      </c>
      <c r="X405" s="12">
        <f t="shared" si="61"/>
        <v>0</v>
      </c>
    </row>
    <row r="406" spans="1:24">
      <c r="A406" s="11">
        <v>405</v>
      </c>
      <c r="B406" s="11" t="s">
        <v>2504</v>
      </c>
      <c r="C406" s="11" t="s">
        <v>39</v>
      </c>
      <c r="D406" s="11" t="s">
        <v>17</v>
      </c>
      <c r="E406" s="12">
        <v>93.2</v>
      </c>
      <c r="F406" s="11" t="s">
        <v>56</v>
      </c>
      <c r="G406" s="11" t="str">
        <f t="shared" si="62"/>
        <v>Litres</v>
      </c>
      <c r="H406" s="13">
        <v>422</v>
      </c>
      <c r="I406" s="11" t="s">
        <v>19</v>
      </c>
      <c r="J406" s="12">
        <v>92346</v>
      </c>
      <c r="K406" s="12" t="str">
        <f t="shared" si="54"/>
        <v>Very High</v>
      </c>
      <c r="L406" s="11" t="s">
        <v>20</v>
      </c>
      <c r="M406" s="14">
        <v>45635</v>
      </c>
      <c r="N406" s="14" t="str">
        <f t="shared" si="55"/>
        <v>09/12/2024</v>
      </c>
      <c r="O406" s="14" t="str">
        <f t="shared" si="56"/>
        <v>2024</v>
      </c>
      <c r="P406" s="11" t="s">
        <v>572</v>
      </c>
      <c r="Q406" s="11" t="s">
        <v>441</v>
      </c>
      <c r="R406" s="11">
        <v>10</v>
      </c>
      <c r="S406" s="11" t="str">
        <f t="shared" si="57"/>
        <v>9 - 12 yrs</v>
      </c>
      <c r="T406" s="12">
        <v>201.7</v>
      </c>
      <c r="U406" s="11" t="str">
        <f t="shared" si="58"/>
        <v>(201 - 250)</v>
      </c>
      <c r="V406" s="12">
        <f t="shared" si="59"/>
        <v>4.5278969957081543</v>
      </c>
      <c r="W406" s="12">
        <f t="shared" si="60"/>
        <v>218.82938388625593</v>
      </c>
      <c r="X406" s="12">
        <f t="shared" si="61"/>
        <v>0.47796208530805684</v>
      </c>
    </row>
    <row r="407" spans="1:24">
      <c r="A407" s="11">
        <v>406</v>
      </c>
      <c r="B407" s="11" t="s">
        <v>1168</v>
      </c>
      <c r="C407" s="11" t="s">
        <v>50</v>
      </c>
      <c r="D407" s="11" t="s">
        <v>17</v>
      </c>
      <c r="E407" s="12">
        <v>84.3</v>
      </c>
      <c r="F407" s="11" t="s">
        <v>2643</v>
      </c>
      <c r="G407" s="11" t="str">
        <f t="shared" si="62"/>
        <v>Litres</v>
      </c>
      <c r="H407" s="13">
        <v>93</v>
      </c>
      <c r="I407" s="11" t="s">
        <v>19</v>
      </c>
      <c r="J407" s="12">
        <v>26621</v>
      </c>
      <c r="K407" s="12" t="str">
        <f t="shared" si="54"/>
        <v>Low</v>
      </c>
      <c r="L407" s="11" t="s">
        <v>20</v>
      </c>
      <c r="M407" s="14">
        <v>45532</v>
      </c>
      <c r="N407" s="14" t="str">
        <f t="shared" si="55"/>
        <v>28/08/2024</v>
      </c>
      <c r="O407" s="14" t="str">
        <f t="shared" si="56"/>
        <v>2024</v>
      </c>
      <c r="P407" s="11" t="s">
        <v>1190</v>
      </c>
      <c r="Q407" s="11" t="s">
        <v>112</v>
      </c>
      <c r="R407" s="11">
        <v>7</v>
      </c>
      <c r="S407" s="11" t="str">
        <f t="shared" si="57"/>
        <v>5 - 8 yrs</v>
      </c>
      <c r="T407" s="12">
        <v>174.7</v>
      </c>
      <c r="U407" s="11" t="str">
        <f t="shared" si="58"/>
        <v>(151 - 200)</v>
      </c>
      <c r="V407" s="12">
        <f t="shared" si="59"/>
        <v>1.103202846975089</v>
      </c>
      <c r="W407" s="12">
        <f t="shared" si="60"/>
        <v>286.24731182795699</v>
      </c>
      <c r="X407" s="12">
        <f t="shared" si="61"/>
        <v>1.8784946236559139</v>
      </c>
    </row>
    <row r="408" spans="1:24">
      <c r="A408" s="11">
        <v>407</v>
      </c>
      <c r="B408" s="11" t="s">
        <v>1191</v>
      </c>
      <c r="C408" s="11" t="s">
        <v>16</v>
      </c>
      <c r="D408" s="11" t="s">
        <v>17</v>
      </c>
      <c r="E408" s="12">
        <v>63.2</v>
      </c>
      <c r="F408" s="11" t="s">
        <v>62</v>
      </c>
      <c r="G408" s="11" t="str">
        <f t="shared" si="62"/>
        <v>kWh</v>
      </c>
      <c r="H408" s="13">
        <v>529</v>
      </c>
      <c r="I408" s="11" t="s">
        <v>19</v>
      </c>
      <c r="J408" s="12">
        <v>23609</v>
      </c>
      <c r="K408" s="12" t="str">
        <f t="shared" si="54"/>
        <v>Low</v>
      </c>
      <c r="L408" s="11" t="s">
        <v>20</v>
      </c>
      <c r="M408" s="14">
        <v>45308</v>
      </c>
      <c r="N408" s="14" t="str">
        <f t="shared" si="55"/>
        <v>17/01/2024</v>
      </c>
      <c r="O408" s="14" t="str">
        <f t="shared" si="56"/>
        <v>2024</v>
      </c>
      <c r="P408" s="11" t="s">
        <v>1019</v>
      </c>
      <c r="Q408" s="11" t="s">
        <v>117</v>
      </c>
      <c r="R408" s="11">
        <v>2</v>
      </c>
      <c r="S408" s="11" t="str">
        <f t="shared" si="57"/>
        <v>0 - 4 yrs</v>
      </c>
      <c r="T408" s="12">
        <v>216.2</v>
      </c>
      <c r="U408" s="11" t="str">
        <f t="shared" si="58"/>
        <v>(201 - 250)</v>
      </c>
      <c r="V408" s="12">
        <f t="shared" si="59"/>
        <v>8.3702531645569618</v>
      </c>
      <c r="W408" s="12">
        <f t="shared" si="60"/>
        <v>44.629489603024574</v>
      </c>
      <c r="X408" s="12">
        <f t="shared" si="61"/>
        <v>0.40869565217391302</v>
      </c>
    </row>
    <row r="409" spans="1:24">
      <c r="A409" s="11">
        <v>408</v>
      </c>
      <c r="B409" s="11" t="s">
        <v>2505</v>
      </c>
      <c r="C409" s="11" t="s">
        <v>50</v>
      </c>
      <c r="D409" s="11" t="s">
        <v>17</v>
      </c>
      <c r="E409" s="12">
        <v>89.6</v>
      </c>
      <c r="F409" s="11" t="s">
        <v>41</v>
      </c>
      <c r="G409" s="11" t="str">
        <f t="shared" si="62"/>
        <v>Litres</v>
      </c>
      <c r="H409" s="13">
        <v>160</v>
      </c>
      <c r="I409" s="11" t="s">
        <v>19</v>
      </c>
      <c r="J409" s="12">
        <v>102251</v>
      </c>
      <c r="K409" s="12" t="str">
        <f t="shared" si="54"/>
        <v>Very High</v>
      </c>
      <c r="L409" s="11" t="s">
        <v>20</v>
      </c>
      <c r="M409" s="14">
        <v>45244</v>
      </c>
      <c r="N409" s="14" t="str">
        <f t="shared" si="55"/>
        <v>14/11/2023</v>
      </c>
      <c r="O409" s="14" t="str">
        <f t="shared" si="56"/>
        <v>2023</v>
      </c>
      <c r="P409" s="11" t="s">
        <v>1194</v>
      </c>
      <c r="Q409" s="11" t="s">
        <v>69</v>
      </c>
      <c r="R409" s="11">
        <v>13</v>
      </c>
      <c r="S409" s="11" t="str">
        <f t="shared" si="57"/>
        <v>13 - 16 yrs</v>
      </c>
      <c r="T409" s="12">
        <v>233.3</v>
      </c>
      <c r="U409" s="11" t="str">
        <f t="shared" si="58"/>
        <v>(201 - 250)</v>
      </c>
      <c r="V409" s="12">
        <f t="shared" si="59"/>
        <v>1.7857142857142858</v>
      </c>
      <c r="W409" s="12">
        <f t="shared" si="60"/>
        <v>639.06875000000002</v>
      </c>
      <c r="X409" s="12">
        <f t="shared" si="61"/>
        <v>1.4581250000000001</v>
      </c>
    </row>
    <row r="410" spans="1:24">
      <c r="A410" s="11">
        <v>409</v>
      </c>
      <c r="B410" s="11" t="s">
        <v>1195</v>
      </c>
      <c r="C410" s="11" t="s">
        <v>50</v>
      </c>
      <c r="D410" s="11" t="s">
        <v>33</v>
      </c>
      <c r="E410" s="12">
        <v>27.2</v>
      </c>
      <c r="F410" s="11" t="s">
        <v>56</v>
      </c>
      <c r="G410" s="11" t="str">
        <f t="shared" si="62"/>
        <v>Litres</v>
      </c>
      <c r="H410" s="13">
        <v>227</v>
      </c>
      <c r="I410" s="11" t="s">
        <v>19</v>
      </c>
      <c r="J410" s="12">
        <v>46076</v>
      </c>
      <c r="K410" s="12" t="str">
        <f t="shared" si="54"/>
        <v>Medium</v>
      </c>
      <c r="L410" s="11" t="s">
        <v>20</v>
      </c>
      <c r="M410" s="14">
        <v>45747</v>
      </c>
      <c r="N410" s="14" t="str">
        <f t="shared" si="55"/>
        <v>31/03/2025</v>
      </c>
      <c r="O410" s="14" t="str">
        <f t="shared" si="56"/>
        <v>2025</v>
      </c>
      <c r="P410" s="11" t="s">
        <v>822</v>
      </c>
      <c r="Q410" s="11" t="s">
        <v>48</v>
      </c>
      <c r="R410" s="11">
        <v>7</v>
      </c>
      <c r="S410" s="11" t="str">
        <f t="shared" si="57"/>
        <v>5 - 8 yrs</v>
      </c>
      <c r="T410" s="12">
        <v>92.4</v>
      </c>
      <c r="U410" s="11" t="str">
        <f t="shared" si="58"/>
        <v>(51 - 100)</v>
      </c>
      <c r="V410" s="12">
        <f t="shared" si="59"/>
        <v>8.3455882352941178</v>
      </c>
      <c r="W410" s="12">
        <f t="shared" si="60"/>
        <v>202.97797356828193</v>
      </c>
      <c r="X410" s="12">
        <f t="shared" si="61"/>
        <v>0.40704845814977975</v>
      </c>
    </row>
    <row r="411" spans="1:24">
      <c r="A411" s="11">
        <v>410</v>
      </c>
      <c r="B411" s="11" t="s">
        <v>1197</v>
      </c>
      <c r="C411" s="11" t="s">
        <v>16</v>
      </c>
      <c r="D411" s="11" t="s">
        <v>17</v>
      </c>
      <c r="E411" s="12">
        <v>98.2</v>
      </c>
      <c r="F411" s="11" t="s">
        <v>2643</v>
      </c>
      <c r="G411" s="11" t="str">
        <f t="shared" si="62"/>
        <v>Litres</v>
      </c>
      <c r="H411" s="13">
        <v>571</v>
      </c>
      <c r="I411" s="11" t="s">
        <v>19</v>
      </c>
      <c r="J411" s="12">
        <v>3662</v>
      </c>
      <c r="K411" s="12" t="str">
        <f t="shared" si="54"/>
        <v>Very Low</v>
      </c>
      <c r="L411" s="11" t="s">
        <v>20</v>
      </c>
      <c r="M411" s="14">
        <v>45520</v>
      </c>
      <c r="N411" s="14" t="str">
        <f t="shared" si="55"/>
        <v>16/08/2024</v>
      </c>
      <c r="O411" s="14" t="str">
        <f t="shared" si="56"/>
        <v>2024</v>
      </c>
      <c r="P411" s="11" t="s">
        <v>853</v>
      </c>
      <c r="Q411" s="11" t="s">
        <v>59</v>
      </c>
      <c r="R411" s="11">
        <v>1</v>
      </c>
      <c r="S411" s="11" t="str">
        <f t="shared" si="57"/>
        <v>0 - 4 yrs</v>
      </c>
      <c r="T411" s="12">
        <v>272.5</v>
      </c>
      <c r="U411" s="11" t="str">
        <f t="shared" si="58"/>
        <v>(251 - 300)</v>
      </c>
      <c r="V411" s="12">
        <f t="shared" si="59"/>
        <v>5.8146639511201625</v>
      </c>
      <c r="W411" s="12">
        <f t="shared" si="60"/>
        <v>6.4133099824868651</v>
      </c>
      <c r="X411" s="12">
        <f t="shared" si="61"/>
        <v>0.47723292469352013</v>
      </c>
    </row>
    <row r="412" spans="1:24">
      <c r="A412" s="11">
        <v>411</v>
      </c>
      <c r="B412" s="11" t="s">
        <v>2497</v>
      </c>
      <c r="C412" s="11" t="s">
        <v>50</v>
      </c>
      <c r="D412" s="11" t="s">
        <v>114</v>
      </c>
      <c r="E412" s="12">
        <v>62.3</v>
      </c>
      <c r="F412" s="11" t="s">
        <v>62</v>
      </c>
      <c r="G412" s="11" t="str">
        <f t="shared" si="62"/>
        <v>kWh</v>
      </c>
      <c r="H412" s="13">
        <v>153</v>
      </c>
      <c r="I412" s="11" t="s">
        <v>19</v>
      </c>
      <c r="J412" s="12">
        <v>22404</v>
      </c>
      <c r="K412" s="12" t="str">
        <f t="shared" si="54"/>
        <v>Low</v>
      </c>
      <c r="L412" s="11" t="s">
        <v>20</v>
      </c>
      <c r="M412" s="14">
        <v>45373</v>
      </c>
      <c r="N412" s="14" t="str">
        <f t="shared" si="55"/>
        <v>22/03/2024</v>
      </c>
      <c r="O412" s="14" t="str">
        <f t="shared" si="56"/>
        <v>2024</v>
      </c>
      <c r="P412" s="11" t="s">
        <v>928</v>
      </c>
      <c r="Q412" s="11" t="s">
        <v>121</v>
      </c>
      <c r="R412" s="11">
        <v>13</v>
      </c>
      <c r="S412" s="11" t="str">
        <f t="shared" si="57"/>
        <v>13 - 16 yrs</v>
      </c>
      <c r="T412" s="12">
        <v>126.5</v>
      </c>
      <c r="U412" s="11" t="str">
        <f t="shared" si="58"/>
        <v>(101 - 150)</v>
      </c>
      <c r="V412" s="12">
        <f t="shared" si="59"/>
        <v>2.4558587479935796</v>
      </c>
      <c r="W412" s="12">
        <f t="shared" si="60"/>
        <v>146.43137254901961</v>
      </c>
      <c r="X412" s="12">
        <f t="shared" si="61"/>
        <v>0.82679738562091498</v>
      </c>
    </row>
    <row r="413" spans="1:24">
      <c r="A413" s="11">
        <v>412</v>
      </c>
      <c r="B413" s="11" t="s">
        <v>1200</v>
      </c>
      <c r="C413" s="11" t="s">
        <v>39</v>
      </c>
      <c r="D413" s="11" t="s">
        <v>33</v>
      </c>
      <c r="E413" s="12">
        <v>66.099999999999994</v>
      </c>
      <c r="F413" s="11" t="s">
        <v>62</v>
      </c>
      <c r="G413" s="11" t="str">
        <f t="shared" si="62"/>
        <v>kWh</v>
      </c>
      <c r="H413" s="13">
        <v>339</v>
      </c>
      <c r="I413" s="11" t="s">
        <v>19</v>
      </c>
      <c r="J413" s="12">
        <v>58729</v>
      </c>
      <c r="K413" s="12" t="str">
        <f t="shared" si="54"/>
        <v>Moderate</v>
      </c>
      <c r="L413" s="11" t="s">
        <v>20</v>
      </c>
      <c r="M413" s="14">
        <v>45343</v>
      </c>
      <c r="N413" s="14" t="str">
        <f t="shared" si="55"/>
        <v>21/02/2024</v>
      </c>
      <c r="O413" s="14" t="str">
        <f t="shared" si="56"/>
        <v>2024</v>
      </c>
      <c r="P413" s="11" t="s">
        <v>1202</v>
      </c>
      <c r="Q413" s="11" t="s">
        <v>117</v>
      </c>
      <c r="R413" s="11">
        <v>18</v>
      </c>
      <c r="S413" s="11" t="str">
        <f t="shared" si="57"/>
        <v>17 + yrs</v>
      </c>
      <c r="T413" s="12">
        <v>177.7</v>
      </c>
      <c r="U413" s="11" t="str">
        <f t="shared" si="58"/>
        <v>(151 - 200)</v>
      </c>
      <c r="V413" s="12">
        <f t="shared" si="59"/>
        <v>5.1285930408472016</v>
      </c>
      <c r="W413" s="12">
        <f t="shared" si="60"/>
        <v>173.24188790560473</v>
      </c>
      <c r="X413" s="12">
        <f t="shared" si="61"/>
        <v>0.52418879056047196</v>
      </c>
    </row>
    <row r="414" spans="1:24">
      <c r="A414" s="11">
        <v>413</v>
      </c>
      <c r="B414" s="11" t="s">
        <v>1203</v>
      </c>
      <c r="C414" s="11" t="s">
        <v>32</v>
      </c>
      <c r="D414" s="11" t="s">
        <v>17</v>
      </c>
      <c r="E414" s="12">
        <v>71.8</v>
      </c>
      <c r="F414" s="11" t="s">
        <v>56</v>
      </c>
      <c r="G414" s="11" t="str">
        <f t="shared" si="62"/>
        <v>Litres</v>
      </c>
      <c r="H414" s="13">
        <v>151</v>
      </c>
      <c r="I414" s="11" t="s">
        <v>19</v>
      </c>
      <c r="J414" s="12">
        <v>51738</v>
      </c>
      <c r="K414" s="12" t="str">
        <f t="shared" si="54"/>
        <v>Medium</v>
      </c>
      <c r="L414" s="11" t="s">
        <v>20</v>
      </c>
      <c r="M414" s="14">
        <v>45137</v>
      </c>
      <c r="N414" s="14" t="str">
        <f t="shared" si="55"/>
        <v>30/07/2023</v>
      </c>
      <c r="O414" s="14" t="str">
        <f t="shared" si="56"/>
        <v>2023</v>
      </c>
      <c r="P414" s="11" t="s">
        <v>36</v>
      </c>
      <c r="Q414" s="11" t="s">
        <v>2648</v>
      </c>
      <c r="R414" s="11">
        <v>12</v>
      </c>
      <c r="S414" s="11" t="str">
        <f t="shared" si="57"/>
        <v>9 - 12 yrs</v>
      </c>
      <c r="T414" s="12">
        <v>246</v>
      </c>
      <c r="U414" s="11" t="str">
        <f t="shared" si="58"/>
        <v>(201 - 250)</v>
      </c>
      <c r="V414" s="12">
        <f t="shared" si="59"/>
        <v>2.1030640668523679</v>
      </c>
      <c r="W414" s="12">
        <f t="shared" si="60"/>
        <v>342.63576158940396</v>
      </c>
      <c r="X414" s="12">
        <f t="shared" si="61"/>
        <v>1.6291390728476822</v>
      </c>
    </row>
    <row r="415" spans="1:24">
      <c r="A415" s="11">
        <v>414</v>
      </c>
      <c r="B415" s="11" t="s">
        <v>1205</v>
      </c>
      <c r="C415" s="11" t="s">
        <v>39</v>
      </c>
      <c r="D415" s="11" t="s">
        <v>33</v>
      </c>
      <c r="E415" s="12">
        <v>51.8</v>
      </c>
      <c r="F415" s="11" t="s">
        <v>26</v>
      </c>
      <c r="G415" s="11" t="str">
        <f t="shared" si="62"/>
        <v>Litres</v>
      </c>
      <c r="H415" s="13">
        <v>589</v>
      </c>
      <c r="I415" s="11" t="s">
        <v>19</v>
      </c>
      <c r="J415" s="12">
        <v>93173</v>
      </c>
      <c r="K415" s="12" t="str">
        <f t="shared" si="54"/>
        <v>Very High</v>
      </c>
      <c r="L415" s="11" t="s">
        <v>20</v>
      </c>
      <c r="M415" s="14">
        <v>45730</v>
      </c>
      <c r="N415" s="14" t="str">
        <f t="shared" si="55"/>
        <v>14/03/2025</v>
      </c>
      <c r="O415" s="14" t="str">
        <f t="shared" si="56"/>
        <v>2025</v>
      </c>
      <c r="P415" s="11" t="s">
        <v>1207</v>
      </c>
      <c r="Q415" s="11" t="s">
        <v>121</v>
      </c>
      <c r="R415" s="11">
        <v>16</v>
      </c>
      <c r="S415" s="11" t="str">
        <f t="shared" si="57"/>
        <v>13 - 16 yrs</v>
      </c>
      <c r="T415" s="12">
        <v>172.7</v>
      </c>
      <c r="U415" s="11" t="str">
        <f t="shared" si="58"/>
        <v>(151 - 200)</v>
      </c>
      <c r="V415" s="12">
        <f t="shared" si="59"/>
        <v>11.370656370656372</v>
      </c>
      <c r="W415" s="12">
        <f t="shared" si="60"/>
        <v>158.18845500848897</v>
      </c>
      <c r="X415" s="12">
        <f t="shared" si="61"/>
        <v>0.29320882852292018</v>
      </c>
    </row>
    <row r="416" spans="1:24" hidden="1">
      <c r="A416" s="11">
        <v>415</v>
      </c>
      <c r="B416" s="11" t="s">
        <v>1208</v>
      </c>
      <c r="C416" s="11" t="s">
        <v>32</v>
      </c>
      <c r="D416" s="11" t="s">
        <v>61</v>
      </c>
      <c r="E416" s="12">
        <v>0</v>
      </c>
      <c r="F416" s="11" t="s">
        <v>2643</v>
      </c>
      <c r="G416" s="11" t="str">
        <f t="shared" si="62"/>
        <v>Litres</v>
      </c>
      <c r="H416" s="13">
        <v>507</v>
      </c>
      <c r="I416" s="11" t="s">
        <v>19</v>
      </c>
      <c r="J416" s="12">
        <v>101674</v>
      </c>
      <c r="K416" s="12" t="str">
        <f t="shared" si="54"/>
        <v>Very High</v>
      </c>
      <c r="L416" s="11" t="s">
        <v>20</v>
      </c>
      <c r="M416" s="14">
        <v>45719</v>
      </c>
      <c r="N416" s="14" t="str">
        <f t="shared" si="55"/>
        <v>03/03/2025</v>
      </c>
      <c r="O416" s="14" t="str">
        <f t="shared" si="56"/>
        <v>2025</v>
      </c>
      <c r="P416" s="11" t="s">
        <v>983</v>
      </c>
      <c r="Q416" s="11" t="s">
        <v>2648</v>
      </c>
      <c r="R416" s="11">
        <v>19</v>
      </c>
      <c r="S416" s="11" t="str">
        <f t="shared" si="57"/>
        <v>17 + yrs</v>
      </c>
      <c r="T416" s="11">
        <v>0</v>
      </c>
      <c r="U416" s="11"/>
      <c r="V416" s="3"/>
      <c r="W416" s="3"/>
      <c r="X416" s="3"/>
    </row>
    <row r="417" spans="1:24">
      <c r="A417" s="11">
        <v>416</v>
      </c>
      <c r="B417" s="11" t="s">
        <v>1210</v>
      </c>
      <c r="C417" s="11" t="s">
        <v>50</v>
      </c>
      <c r="D417" s="11" t="s">
        <v>17</v>
      </c>
      <c r="E417" s="12">
        <v>54.7</v>
      </c>
      <c r="F417" s="11" t="s">
        <v>2643</v>
      </c>
      <c r="G417" s="11" t="str">
        <f t="shared" si="62"/>
        <v>Litres</v>
      </c>
      <c r="H417" s="13">
        <v>289</v>
      </c>
      <c r="I417" s="11" t="s">
        <v>19</v>
      </c>
      <c r="J417" s="12">
        <v>86838</v>
      </c>
      <c r="K417" s="12" t="str">
        <f t="shared" si="54"/>
        <v>High</v>
      </c>
      <c r="L417" s="11" t="s">
        <v>20</v>
      </c>
      <c r="M417" s="14">
        <v>44979</v>
      </c>
      <c r="N417" s="14" t="str">
        <f t="shared" si="55"/>
        <v>22/02/2023</v>
      </c>
      <c r="O417" s="14" t="str">
        <f t="shared" si="56"/>
        <v>2023</v>
      </c>
      <c r="P417" s="11" t="s">
        <v>487</v>
      </c>
      <c r="Q417" s="11" t="s">
        <v>69</v>
      </c>
      <c r="R417" s="11">
        <v>7</v>
      </c>
      <c r="S417" s="11" t="str">
        <f t="shared" si="57"/>
        <v>5 - 8 yrs</v>
      </c>
      <c r="T417" s="12">
        <v>183.4</v>
      </c>
      <c r="U417" s="11" t="str">
        <f t="shared" ref="U417:U480" si="63">IF(T417&lt;=50,"(0 - 50)",IF(T417&lt;=100,"(51 - 100)",IF(T417&lt;=150,"(101 - 150)",IF(T417&lt;=200,"(151 - 200)",IF(T417&lt;=250,"(201 - 250)",IF(T417&lt;=300,"(251 - 300)","(301 - 350)"))))))</f>
        <v>(151 - 200)</v>
      </c>
      <c r="V417" s="12">
        <f t="shared" ref="V417:V480" si="64">H417/E417</f>
        <v>5.283363802559415</v>
      </c>
      <c r="W417" s="12">
        <f t="shared" ref="W417:W480" si="65">J417/H417</f>
        <v>300.47750865051904</v>
      </c>
      <c r="X417" s="12">
        <f t="shared" ref="X417:X480" si="66">T417/H417</f>
        <v>0.63460207612456754</v>
      </c>
    </row>
    <row r="418" spans="1:24">
      <c r="A418" s="11">
        <v>417</v>
      </c>
      <c r="B418" s="11" t="s">
        <v>1212</v>
      </c>
      <c r="C418" s="11" t="s">
        <v>32</v>
      </c>
      <c r="D418" s="11" t="s">
        <v>114</v>
      </c>
      <c r="E418" s="12">
        <v>58.7</v>
      </c>
      <c r="F418" s="11" t="s">
        <v>26</v>
      </c>
      <c r="G418" s="11" t="str">
        <f t="shared" si="62"/>
        <v>Litres</v>
      </c>
      <c r="H418" s="13">
        <v>662</v>
      </c>
      <c r="I418" s="11" t="s">
        <v>19</v>
      </c>
      <c r="J418" s="12">
        <v>16721</v>
      </c>
      <c r="K418" s="12" t="str">
        <f t="shared" si="54"/>
        <v>Very Low</v>
      </c>
      <c r="L418" s="11" t="s">
        <v>20</v>
      </c>
      <c r="M418" s="14">
        <v>45107</v>
      </c>
      <c r="N418" s="14" t="str">
        <f t="shared" si="55"/>
        <v>30/06/2023</v>
      </c>
      <c r="O418" s="14" t="str">
        <f t="shared" si="56"/>
        <v>2023</v>
      </c>
      <c r="P418" s="11" t="s">
        <v>1213</v>
      </c>
      <c r="Q418" s="11" t="s">
        <v>2648</v>
      </c>
      <c r="R418" s="11">
        <v>5</v>
      </c>
      <c r="S418" s="11" t="str">
        <f t="shared" si="57"/>
        <v>5 - 8 yrs</v>
      </c>
      <c r="T418" s="12">
        <v>152.5</v>
      </c>
      <c r="U418" s="11" t="str">
        <f t="shared" si="63"/>
        <v>(151 - 200)</v>
      </c>
      <c r="V418" s="12">
        <f t="shared" si="64"/>
        <v>11.277683134582624</v>
      </c>
      <c r="W418" s="12">
        <f t="shared" si="65"/>
        <v>25.258308157099698</v>
      </c>
      <c r="X418" s="12">
        <f t="shared" si="66"/>
        <v>0.23036253776435045</v>
      </c>
    </row>
    <row r="419" spans="1:24">
      <c r="A419" s="11">
        <v>418</v>
      </c>
      <c r="B419" s="11" t="s">
        <v>1214</v>
      </c>
      <c r="C419" s="11" t="s">
        <v>50</v>
      </c>
      <c r="D419" s="11" t="s">
        <v>114</v>
      </c>
      <c r="E419" s="12">
        <v>35.799999999999997</v>
      </c>
      <c r="F419" s="11" t="s">
        <v>56</v>
      </c>
      <c r="G419" s="11" t="str">
        <f t="shared" si="62"/>
        <v>Litres</v>
      </c>
      <c r="H419" s="13">
        <v>178</v>
      </c>
      <c r="I419" s="11" t="s">
        <v>19</v>
      </c>
      <c r="J419" s="12">
        <v>4887</v>
      </c>
      <c r="K419" s="12" t="str">
        <f t="shared" si="54"/>
        <v>Very Low</v>
      </c>
      <c r="L419" s="11" t="s">
        <v>20</v>
      </c>
      <c r="M419" s="14">
        <v>45387</v>
      </c>
      <c r="N419" s="14" t="str">
        <f t="shared" si="55"/>
        <v>05/04/2024</v>
      </c>
      <c r="O419" s="14" t="str">
        <f t="shared" si="56"/>
        <v>2024</v>
      </c>
      <c r="P419" s="11" t="s">
        <v>890</v>
      </c>
      <c r="Q419" s="11" t="s">
        <v>54</v>
      </c>
      <c r="R419" s="11">
        <v>2</v>
      </c>
      <c r="S419" s="11" t="str">
        <f t="shared" si="57"/>
        <v>0 - 4 yrs</v>
      </c>
      <c r="T419" s="12">
        <v>77.099999999999994</v>
      </c>
      <c r="U419" s="11" t="str">
        <f t="shared" si="63"/>
        <v>(51 - 100)</v>
      </c>
      <c r="V419" s="12">
        <f t="shared" si="64"/>
        <v>4.9720670391061459</v>
      </c>
      <c r="W419" s="12">
        <f t="shared" si="65"/>
        <v>27.45505617977528</v>
      </c>
      <c r="X419" s="12">
        <f t="shared" si="66"/>
        <v>0.43314606741573031</v>
      </c>
    </row>
    <row r="420" spans="1:24">
      <c r="A420" s="11">
        <v>419</v>
      </c>
      <c r="B420" s="11" t="s">
        <v>1216</v>
      </c>
      <c r="C420" s="11" t="s">
        <v>16</v>
      </c>
      <c r="D420" s="11" t="s">
        <v>114</v>
      </c>
      <c r="E420" s="12">
        <v>84.4</v>
      </c>
      <c r="F420" s="11" t="s">
        <v>2643</v>
      </c>
      <c r="G420" s="11" t="str">
        <f t="shared" si="62"/>
        <v>Litres</v>
      </c>
      <c r="H420" s="13">
        <v>359</v>
      </c>
      <c r="I420" s="11" t="s">
        <v>19</v>
      </c>
      <c r="J420" s="12">
        <v>104943</v>
      </c>
      <c r="K420" s="12" t="str">
        <f t="shared" si="54"/>
        <v>Very High</v>
      </c>
      <c r="L420" s="11" t="s">
        <v>20</v>
      </c>
      <c r="M420" s="14">
        <v>45609</v>
      </c>
      <c r="N420" s="14" t="str">
        <f t="shared" si="55"/>
        <v>13/11/2024</v>
      </c>
      <c r="O420" s="14" t="str">
        <f t="shared" si="56"/>
        <v>2024</v>
      </c>
      <c r="P420" s="11" t="s">
        <v>1218</v>
      </c>
      <c r="Q420" s="11" t="s">
        <v>441</v>
      </c>
      <c r="R420" s="11">
        <v>9</v>
      </c>
      <c r="S420" s="11" t="str">
        <f t="shared" si="57"/>
        <v>9 - 12 yrs</v>
      </c>
      <c r="T420" s="12">
        <v>231.8</v>
      </c>
      <c r="U420" s="11" t="str">
        <f t="shared" si="63"/>
        <v>(201 - 250)</v>
      </c>
      <c r="V420" s="12">
        <f t="shared" si="64"/>
        <v>4.2535545023696679</v>
      </c>
      <c r="W420" s="12">
        <f t="shared" si="65"/>
        <v>292.32033426183847</v>
      </c>
      <c r="X420" s="12">
        <f t="shared" si="66"/>
        <v>0.64568245125348189</v>
      </c>
    </row>
    <row r="421" spans="1:24">
      <c r="A421" s="11">
        <v>420</v>
      </c>
      <c r="B421" s="11" t="s">
        <v>1219</v>
      </c>
      <c r="C421" s="11" t="s">
        <v>39</v>
      </c>
      <c r="D421" s="11" t="s">
        <v>33</v>
      </c>
      <c r="E421" s="12">
        <v>23.5</v>
      </c>
      <c r="F421" s="11" t="s">
        <v>56</v>
      </c>
      <c r="G421" s="11" t="str">
        <f t="shared" si="62"/>
        <v>Litres</v>
      </c>
      <c r="H421" s="13">
        <v>405</v>
      </c>
      <c r="I421" s="11" t="s">
        <v>19</v>
      </c>
      <c r="J421" s="12">
        <v>15736</v>
      </c>
      <c r="K421" s="12" t="str">
        <f t="shared" si="54"/>
        <v>Very Low</v>
      </c>
      <c r="L421" s="11" t="s">
        <v>20</v>
      </c>
      <c r="M421" s="14">
        <v>45730</v>
      </c>
      <c r="N421" s="14" t="str">
        <f t="shared" si="55"/>
        <v>14/03/2025</v>
      </c>
      <c r="O421" s="14" t="str">
        <f t="shared" si="56"/>
        <v>2025</v>
      </c>
      <c r="P421" s="11" t="s">
        <v>1221</v>
      </c>
      <c r="Q421" s="11" t="s">
        <v>112</v>
      </c>
      <c r="R421" s="11">
        <v>14</v>
      </c>
      <c r="S421" s="11" t="str">
        <f t="shared" si="57"/>
        <v>13 - 16 yrs</v>
      </c>
      <c r="T421" s="12">
        <v>72</v>
      </c>
      <c r="U421" s="11" t="str">
        <f t="shared" si="63"/>
        <v>(51 - 100)</v>
      </c>
      <c r="V421" s="12">
        <f t="shared" si="64"/>
        <v>17.23404255319149</v>
      </c>
      <c r="W421" s="12">
        <f t="shared" si="65"/>
        <v>38.854320987654319</v>
      </c>
      <c r="X421" s="12">
        <f t="shared" si="66"/>
        <v>0.17777777777777778</v>
      </c>
    </row>
    <row r="422" spans="1:24">
      <c r="A422" s="11">
        <v>421</v>
      </c>
      <c r="B422" s="11" t="s">
        <v>1222</v>
      </c>
      <c r="C422" s="11" t="s">
        <v>50</v>
      </c>
      <c r="D422" s="11" t="s">
        <v>33</v>
      </c>
      <c r="E422" s="12">
        <v>44.4</v>
      </c>
      <c r="F422" s="11" t="s">
        <v>26</v>
      </c>
      <c r="G422" s="11" t="str">
        <f t="shared" si="62"/>
        <v>Litres</v>
      </c>
      <c r="H422" s="13">
        <v>37</v>
      </c>
      <c r="I422" s="11" t="s">
        <v>19</v>
      </c>
      <c r="J422" s="12">
        <v>87509</v>
      </c>
      <c r="K422" s="12" t="str">
        <f t="shared" ref="K422:K485" si="67">IF(J422&lt;18000,"Very Low",IF(J422&lt;36000,"Low",IF(J422&lt;54000,"Medium",IF(J422&lt;72000,"Moderate",IF(J422&lt;90000,"High",IF(J422&lt;108000,"Very High","Extreme"))))))</f>
        <v>High</v>
      </c>
      <c r="L422" s="11" t="s">
        <v>20</v>
      </c>
      <c r="M422" s="14">
        <v>45492</v>
      </c>
      <c r="N422" s="14" t="str">
        <f t="shared" ref="N422:N485" si="68">TEXT(M422,"dd/mm/yyyy")</f>
        <v>19/07/2024</v>
      </c>
      <c r="O422" s="14" t="str">
        <f t="shared" ref="O422:O485" si="69">TEXT(M422,"yyyy")</f>
        <v>2024</v>
      </c>
      <c r="P422" s="11" t="s">
        <v>1224</v>
      </c>
      <c r="Q422" s="11" t="s">
        <v>112</v>
      </c>
      <c r="R422" s="11">
        <v>7</v>
      </c>
      <c r="S422" s="11" t="str">
        <f t="shared" ref="S422:S485" si="70">IF(R422&lt;=4,"0 - 4 yrs",IF(R422&lt;=8,"5 - 8 yrs",IF(R422&lt;=12,"9 - 12 yrs",IF(R422&lt;=16,"13 - 16 yrs","17 + yrs"))))</f>
        <v>5 - 8 yrs</v>
      </c>
      <c r="T422" s="12">
        <v>119.4</v>
      </c>
      <c r="U422" s="11" t="str">
        <f t="shared" si="63"/>
        <v>(101 - 150)</v>
      </c>
      <c r="V422" s="12">
        <f t="shared" si="64"/>
        <v>0.83333333333333337</v>
      </c>
      <c r="W422" s="12">
        <f t="shared" si="65"/>
        <v>2365.1081081081079</v>
      </c>
      <c r="X422" s="12">
        <f t="shared" si="66"/>
        <v>3.2270270270270274</v>
      </c>
    </row>
    <row r="423" spans="1:24">
      <c r="A423" s="11">
        <v>422</v>
      </c>
      <c r="B423" s="11" t="s">
        <v>1225</v>
      </c>
      <c r="C423" s="11" t="s">
        <v>16</v>
      </c>
      <c r="D423" s="11" t="s">
        <v>17</v>
      </c>
      <c r="E423" s="12">
        <v>24.8</v>
      </c>
      <c r="F423" s="11" t="s">
        <v>62</v>
      </c>
      <c r="G423" s="11" t="str">
        <f t="shared" si="62"/>
        <v>kWh</v>
      </c>
      <c r="H423" s="13">
        <v>533</v>
      </c>
      <c r="I423" s="11" t="s">
        <v>19</v>
      </c>
      <c r="J423" s="12">
        <v>118541</v>
      </c>
      <c r="K423" s="12" t="str">
        <f t="shared" si="67"/>
        <v>Extreme</v>
      </c>
      <c r="L423" s="11" t="s">
        <v>20</v>
      </c>
      <c r="M423" s="14">
        <v>45319</v>
      </c>
      <c r="N423" s="14" t="str">
        <f t="shared" si="68"/>
        <v>28/01/2024</v>
      </c>
      <c r="O423" s="14" t="str">
        <f t="shared" si="69"/>
        <v>2024</v>
      </c>
      <c r="P423" s="11" t="s">
        <v>1227</v>
      </c>
      <c r="Q423" s="11" t="s">
        <v>48</v>
      </c>
      <c r="R423" s="11">
        <v>8</v>
      </c>
      <c r="S423" s="11" t="str">
        <f t="shared" si="70"/>
        <v>5 - 8 yrs</v>
      </c>
      <c r="T423" s="12">
        <v>76.2</v>
      </c>
      <c r="U423" s="11" t="str">
        <f t="shared" si="63"/>
        <v>(51 - 100)</v>
      </c>
      <c r="V423" s="12">
        <f t="shared" si="64"/>
        <v>21.491935483870968</v>
      </c>
      <c r="W423" s="12">
        <f t="shared" si="65"/>
        <v>222.40337711069418</v>
      </c>
      <c r="X423" s="12">
        <f t="shared" si="66"/>
        <v>0.1429643527204503</v>
      </c>
    </row>
    <row r="424" spans="1:24">
      <c r="A424" s="11">
        <v>423</v>
      </c>
      <c r="B424" s="11" t="s">
        <v>1228</v>
      </c>
      <c r="C424" s="11" t="s">
        <v>50</v>
      </c>
      <c r="D424" s="11" t="s">
        <v>61</v>
      </c>
      <c r="E424" s="12">
        <v>10</v>
      </c>
      <c r="F424" s="11" t="s">
        <v>26</v>
      </c>
      <c r="G424" s="11" t="str">
        <f t="shared" si="62"/>
        <v>Litres</v>
      </c>
      <c r="H424" s="13">
        <v>663</v>
      </c>
      <c r="I424" s="11" t="s">
        <v>19</v>
      </c>
      <c r="J424" s="12">
        <v>45390</v>
      </c>
      <c r="K424" s="12" t="str">
        <f t="shared" si="67"/>
        <v>Medium</v>
      </c>
      <c r="L424" s="11" t="s">
        <v>20</v>
      </c>
      <c r="M424" s="14">
        <v>45151</v>
      </c>
      <c r="N424" s="14" t="str">
        <f t="shared" si="68"/>
        <v>13/08/2023</v>
      </c>
      <c r="O424" s="14" t="str">
        <f t="shared" si="69"/>
        <v>2023</v>
      </c>
      <c r="P424" s="11" t="s">
        <v>893</v>
      </c>
      <c r="Q424" s="11" t="s">
        <v>54</v>
      </c>
      <c r="R424" s="11">
        <v>19</v>
      </c>
      <c r="S424" s="11" t="str">
        <f t="shared" si="70"/>
        <v>17 + yrs</v>
      </c>
      <c r="T424" s="12">
        <v>0</v>
      </c>
      <c r="U424" s="11" t="str">
        <f t="shared" si="63"/>
        <v>(0 - 50)</v>
      </c>
      <c r="V424" s="12">
        <f t="shared" si="64"/>
        <v>66.3</v>
      </c>
      <c r="W424" s="12">
        <f t="shared" si="65"/>
        <v>68.461538461538467</v>
      </c>
      <c r="X424" s="12">
        <f t="shared" si="66"/>
        <v>0</v>
      </c>
    </row>
    <row r="425" spans="1:24">
      <c r="A425" s="11">
        <v>424</v>
      </c>
      <c r="B425" s="11" t="s">
        <v>2506</v>
      </c>
      <c r="C425" s="11" t="s">
        <v>50</v>
      </c>
      <c r="D425" s="11" t="s">
        <v>114</v>
      </c>
      <c r="E425" s="12">
        <v>27.3</v>
      </c>
      <c r="F425" s="11" t="s">
        <v>41</v>
      </c>
      <c r="G425" s="11" t="str">
        <f t="shared" si="62"/>
        <v>Litres</v>
      </c>
      <c r="H425" s="13">
        <v>282</v>
      </c>
      <c r="I425" s="11" t="s">
        <v>19</v>
      </c>
      <c r="J425" s="12">
        <v>37816</v>
      </c>
      <c r="K425" s="12" t="str">
        <f t="shared" si="67"/>
        <v>Medium</v>
      </c>
      <c r="L425" s="11" t="s">
        <v>20</v>
      </c>
      <c r="M425" s="14">
        <v>45589</v>
      </c>
      <c r="N425" s="14" t="str">
        <f t="shared" si="68"/>
        <v>24/10/2024</v>
      </c>
      <c r="O425" s="14" t="str">
        <f t="shared" si="69"/>
        <v>2024</v>
      </c>
      <c r="P425" s="11" t="s">
        <v>1232</v>
      </c>
      <c r="Q425" s="11" t="s">
        <v>2648</v>
      </c>
      <c r="R425" s="11">
        <v>9</v>
      </c>
      <c r="S425" s="11" t="str">
        <f t="shared" si="70"/>
        <v>9 - 12 yrs</v>
      </c>
      <c r="T425" s="12">
        <v>94.1</v>
      </c>
      <c r="U425" s="11" t="str">
        <f t="shared" si="63"/>
        <v>(51 - 100)</v>
      </c>
      <c r="V425" s="12">
        <f t="shared" si="64"/>
        <v>10.32967032967033</v>
      </c>
      <c r="W425" s="12">
        <f t="shared" si="65"/>
        <v>134.09929078014184</v>
      </c>
      <c r="X425" s="12">
        <f t="shared" si="66"/>
        <v>0.3336879432624113</v>
      </c>
    </row>
    <row r="426" spans="1:24">
      <c r="A426" s="11">
        <v>425</v>
      </c>
      <c r="B426" s="11" t="s">
        <v>2507</v>
      </c>
      <c r="C426" s="11" t="s">
        <v>50</v>
      </c>
      <c r="D426" s="11" t="s">
        <v>114</v>
      </c>
      <c r="E426" s="12">
        <v>86.9</v>
      </c>
      <c r="F426" s="11" t="s">
        <v>2643</v>
      </c>
      <c r="G426" s="11" t="str">
        <f t="shared" si="62"/>
        <v>Litres</v>
      </c>
      <c r="H426" s="13">
        <v>227</v>
      </c>
      <c r="I426" s="11" t="s">
        <v>19</v>
      </c>
      <c r="J426" s="12">
        <v>119262</v>
      </c>
      <c r="K426" s="12" t="str">
        <f t="shared" si="67"/>
        <v>Extreme</v>
      </c>
      <c r="L426" s="11" t="s">
        <v>20</v>
      </c>
      <c r="M426" s="14">
        <v>45782</v>
      </c>
      <c r="N426" s="14" t="str">
        <f t="shared" si="68"/>
        <v>05/05/2025</v>
      </c>
      <c r="O426" s="14" t="str">
        <f t="shared" si="69"/>
        <v>2025</v>
      </c>
      <c r="P426" s="11" t="s">
        <v>1235</v>
      </c>
      <c r="Q426" s="11" t="s">
        <v>86</v>
      </c>
      <c r="R426" s="11">
        <v>3</v>
      </c>
      <c r="S426" s="11" t="str">
        <f t="shared" si="70"/>
        <v>0 - 4 yrs</v>
      </c>
      <c r="T426" s="12">
        <v>235.5</v>
      </c>
      <c r="U426" s="11" t="str">
        <f t="shared" si="63"/>
        <v>(201 - 250)</v>
      </c>
      <c r="V426" s="12">
        <f t="shared" si="64"/>
        <v>2.6121979286536248</v>
      </c>
      <c r="W426" s="12">
        <f t="shared" si="65"/>
        <v>525.38325991189424</v>
      </c>
      <c r="X426" s="12">
        <f t="shared" si="66"/>
        <v>1.0374449339207048</v>
      </c>
    </row>
    <row r="427" spans="1:24">
      <c r="A427" s="11">
        <v>426</v>
      </c>
      <c r="B427" s="11" t="s">
        <v>373</v>
      </c>
      <c r="C427" s="11" t="s">
        <v>39</v>
      </c>
      <c r="D427" s="11" t="s">
        <v>17</v>
      </c>
      <c r="E427" s="12">
        <v>41.9</v>
      </c>
      <c r="F427" s="11" t="s">
        <v>26</v>
      </c>
      <c r="G427" s="11" t="str">
        <f t="shared" si="62"/>
        <v>Litres</v>
      </c>
      <c r="H427" s="13">
        <v>175</v>
      </c>
      <c r="I427" s="11" t="s">
        <v>19</v>
      </c>
      <c r="J427" s="12">
        <v>11939</v>
      </c>
      <c r="K427" s="12" t="str">
        <f t="shared" si="67"/>
        <v>Very Low</v>
      </c>
      <c r="L427" s="11" t="s">
        <v>20</v>
      </c>
      <c r="M427" s="14">
        <v>45660</v>
      </c>
      <c r="N427" s="14" t="str">
        <f t="shared" si="68"/>
        <v>03/01/2025</v>
      </c>
      <c r="O427" s="14" t="str">
        <f t="shared" si="69"/>
        <v>2025</v>
      </c>
      <c r="P427" s="11" t="s">
        <v>428</v>
      </c>
      <c r="Q427" s="11" t="s">
        <v>54</v>
      </c>
      <c r="R427" s="11">
        <v>15</v>
      </c>
      <c r="S427" s="11" t="str">
        <f t="shared" si="70"/>
        <v>13 - 16 yrs</v>
      </c>
      <c r="T427" s="12">
        <v>133</v>
      </c>
      <c r="U427" s="11" t="str">
        <f t="shared" si="63"/>
        <v>(101 - 150)</v>
      </c>
      <c r="V427" s="12">
        <f t="shared" si="64"/>
        <v>4.1766109785202863</v>
      </c>
      <c r="W427" s="12">
        <f t="shared" si="65"/>
        <v>68.222857142857137</v>
      </c>
      <c r="X427" s="12">
        <f t="shared" si="66"/>
        <v>0.76</v>
      </c>
    </row>
    <row r="428" spans="1:24">
      <c r="A428" s="11">
        <v>427</v>
      </c>
      <c r="B428" s="11" t="s">
        <v>2508</v>
      </c>
      <c r="C428" s="11" t="s">
        <v>32</v>
      </c>
      <c r="D428" s="11" t="s">
        <v>33</v>
      </c>
      <c r="E428" s="12">
        <v>95.2</v>
      </c>
      <c r="F428" s="11" t="s">
        <v>62</v>
      </c>
      <c r="G428" s="11" t="str">
        <f t="shared" si="62"/>
        <v>kWh</v>
      </c>
      <c r="H428" s="13">
        <v>609</v>
      </c>
      <c r="I428" s="11" t="s">
        <v>19</v>
      </c>
      <c r="J428" s="12">
        <v>24092</v>
      </c>
      <c r="K428" s="12" t="str">
        <f t="shared" si="67"/>
        <v>Low</v>
      </c>
      <c r="L428" s="11" t="s">
        <v>20</v>
      </c>
      <c r="M428" s="14">
        <v>45220</v>
      </c>
      <c r="N428" s="14" t="str">
        <f t="shared" si="68"/>
        <v>21/10/2023</v>
      </c>
      <c r="O428" s="14" t="str">
        <f t="shared" si="69"/>
        <v>2023</v>
      </c>
      <c r="P428" s="11" t="s">
        <v>692</v>
      </c>
      <c r="Q428" s="11" t="s">
        <v>112</v>
      </c>
      <c r="R428" s="11">
        <v>18</v>
      </c>
      <c r="S428" s="11" t="str">
        <f t="shared" si="70"/>
        <v>17 + yrs</v>
      </c>
      <c r="T428" s="12">
        <v>322.5</v>
      </c>
      <c r="U428" s="11" t="str">
        <f t="shared" si="63"/>
        <v>(301 - 350)</v>
      </c>
      <c r="V428" s="12">
        <f t="shared" si="64"/>
        <v>6.3970588235294112</v>
      </c>
      <c r="W428" s="12">
        <f t="shared" si="65"/>
        <v>39.559934318555008</v>
      </c>
      <c r="X428" s="12">
        <f t="shared" si="66"/>
        <v>0.52955665024630538</v>
      </c>
    </row>
    <row r="429" spans="1:24">
      <c r="A429" s="11">
        <v>428</v>
      </c>
      <c r="B429" s="11" t="s">
        <v>1239</v>
      </c>
      <c r="C429" s="11" t="s">
        <v>39</v>
      </c>
      <c r="D429" s="11" t="s">
        <v>61</v>
      </c>
      <c r="E429" s="12">
        <v>10</v>
      </c>
      <c r="F429" s="11" t="s">
        <v>26</v>
      </c>
      <c r="G429" s="11" t="str">
        <f t="shared" si="62"/>
        <v>Litres</v>
      </c>
      <c r="H429" s="13">
        <v>152</v>
      </c>
      <c r="I429" s="11" t="s">
        <v>19</v>
      </c>
      <c r="J429" s="12">
        <v>25198</v>
      </c>
      <c r="K429" s="12" t="str">
        <f t="shared" si="67"/>
        <v>Low</v>
      </c>
      <c r="L429" s="11" t="s">
        <v>20</v>
      </c>
      <c r="M429" s="14">
        <v>45035</v>
      </c>
      <c r="N429" s="14" t="str">
        <f t="shared" si="68"/>
        <v>19/04/2023</v>
      </c>
      <c r="O429" s="14" t="str">
        <f t="shared" si="69"/>
        <v>2023</v>
      </c>
      <c r="P429" s="11" t="s">
        <v>869</v>
      </c>
      <c r="Q429" s="11" t="s">
        <v>59</v>
      </c>
      <c r="R429" s="11">
        <v>4</v>
      </c>
      <c r="S429" s="11" t="str">
        <f t="shared" si="70"/>
        <v>0 - 4 yrs</v>
      </c>
      <c r="T429" s="12">
        <v>0</v>
      </c>
      <c r="U429" s="11" t="str">
        <f t="shared" si="63"/>
        <v>(0 - 50)</v>
      </c>
      <c r="V429" s="12">
        <f t="shared" si="64"/>
        <v>15.2</v>
      </c>
      <c r="W429" s="12">
        <f t="shared" si="65"/>
        <v>165.77631578947367</v>
      </c>
      <c r="X429" s="12">
        <f t="shared" si="66"/>
        <v>0</v>
      </c>
    </row>
    <row r="430" spans="1:24">
      <c r="A430" s="11">
        <v>429</v>
      </c>
      <c r="B430" s="11" t="s">
        <v>1241</v>
      </c>
      <c r="C430" s="11" t="s">
        <v>16</v>
      </c>
      <c r="D430" s="11" t="s">
        <v>33</v>
      </c>
      <c r="E430" s="12">
        <v>63</v>
      </c>
      <c r="F430" s="11" t="s">
        <v>41</v>
      </c>
      <c r="G430" s="11" t="str">
        <f t="shared" si="62"/>
        <v>Litres</v>
      </c>
      <c r="H430" s="13">
        <v>207</v>
      </c>
      <c r="I430" s="11" t="s">
        <v>19</v>
      </c>
      <c r="J430" s="12">
        <v>68225</v>
      </c>
      <c r="K430" s="12" t="str">
        <f t="shared" si="67"/>
        <v>Moderate</v>
      </c>
      <c r="L430" s="11" t="s">
        <v>20</v>
      </c>
      <c r="M430" s="14">
        <v>44945</v>
      </c>
      <c r="N430" s="14" t="str">
        <f t="shared" si="68"/>
        <v>19/01/2023</v>
      </c>
      <c r="O430" s="14" t="str">
        <f t="shared" si="69"/>
        <v>2023</v>
      </c>
      <c r="P430" s="11" t="s">
        <v>1242</v>
      </c>
      <c r="Q430" s="11" t="s">
        <v>54</v>
      </c>
      <c r="R430" s="11">
        <v>14</v>
      </c>
      <c r="S430" s="11" t="str">
        <f t="shared" si="70"/>
        <v>13 - 16 yrs</v>
      </c>
      <c r="T430" s="12">
        <v>156.5</v>
      </c>
      <c r="U430" s="11" t="str">
        <f t="shared" si="63"/>
        <v>(151 - 200)</v>
      </c>
      <c r="V430" s="12">
        <f t="shared" si="64"/>
        <v>3.2857142857142856</v>
      </c>
      <c r="W430" s="12">
        <f t="shared" si="65"/>
        <v>329.58937198067633</v>
      </c>
      <c r="X430" s="12">
        <f t="shared" si="66"/>
        <v>0.7560386473429952</v>
      </c>
    </row>
    <row r="431" spans="1:24">
      <c r="A431" s="11">
        <v>430</v>
      </c>
      <c r="B431" s="11" t="s">
        <v>2509</v>
      </c>
      <c r="C431" s="11" t="s">
        <v>50</v>
      </c>
      <c r="D431" s="11" t="s">
        <v>33</v>
      </c>
      <c r="E431" s="12">
        <v>93</v>
      </c>
      <c r="F431" s="11" t="s">
        <v>26</v>
      </c>
      <c r="G431" s="11" t="str">
        <f t="shared" si="62"/>
        <v>Litres</v>
      </c>
      <c r="H431" s="13">
        <v>87</v>
      </c>
      <c r="I431" s="11" t="s">
        <v>19</v>
      </c>
      <c r="J431" s="12">
        <v>118025</v>
      </c>
      <c r="K431" s="12" t="str">
        <f t="shared" si="67"/>
        <v>Extreme</v>
      </c>
      <c r="L431" s="11" t="s">
        <v>20</v>
      </c>
      <c r="M431" s="14">
        <v>45064</v>
      </c>
      <c r="N431" s="14" t="str">
        <f t="shared" si="68"/>
        <v>18/05/2023</v>
      </c>
      <c r="O431" s="14" t="str">
        <f t="shared" si="69"/>
        <v>2023</v>
      </c>
      <c r="P431" s="11" t="s">
        <v>493</v>
      </c>
      <c r="Q431" s="11" t="s">
        <v>121</v>
      </c>
      <c r="R431" s="11">
        <v>2</v>
      </c>
      <c r="S431" s="11" t="str">
        <f t="shared" si="70"/>
        <v>0 - 4 yrs</v>
      </c>
      <c r="T431" s="12">
        <v>292</v>
      </c>
      <c r="U431" s="11" t="str">
        <f t="shared" si="63"/>
        <v>(251 - 300)</v>
      </c>
      <c r="V431" s="12">
        <f t="shared" si="64"/>
        <v>0.93548387096774188</v>
      </c>
      <c r="W431" s="12">
        <f t="shared" si="65"/>
        <v>1356.6091954022988</v>
      </c>
      <c r="X431" s="12">
        <f t="shared" si="66"/>
        <v>3.3563218390804597</v>
      </c>
    </row>
    <row r="432" spans="1:24">
      <c r="A432" s="11">
        <v>431</v>
      </c>
      <c r="B432" s="11" t="s">
        <v>2510</v>
      </c>
      <c r="C432" s="11" t="s">
        <v>16</v>
      </c>
      <c r="D432" s="11" t="s">
        <v>114</v>
      </c>
      <c r="E432" s="12">
        <v>36.6</v>
      </c>
      <c r="F432" s="11" t="s">
        <v>56</v>
      </c>
      <c r="G432" s="11" t="str">
        <f t="shared" si="62"/>
        <v>Litres</v>
      </c>
      <c r="H432" s="13">
        <v>457</v>
      </c>
      <c r="I432" s="11" t="s">
        <v>19</v>
      </c>
      <c r="J432" s="12">
        <v>42779</v>
      </c>
      <c r="K432" s="12" t="str">
        <f t="shared" si="67"/>
        <v>Medium</v>
      </c>
      <c r="L432" s="11" t="s">
        <v>20</v>
      </c>
      <c r="M432" s="14">
        <v>45546</v>
      </c>
      <c r="N432" s="14" t="str">
        <f t="shared" si="68"/>
        <v>11/09/2024</v>
      </c>
      <c r="O432" s="14" t="str">
        <f t="shared" si="69"/>
        <v>2024</v>
      </c>
      <c r="P432" s="11" t="s">
        <v>1247</v>
      </c>
      <c r="Q432" s="11" t="s">
        <v>86</v>
      </c>
      <c r="R432" s="11">
        <v>11</v>
      </c>
      <c r="S432" s="11" t="str">
        <f t="shared" si="70"/>
        <v>9 - 12 yrs</v>
      </c>
      <c r="T432" s="12">
        <v>82.3</v>
      </c>
      <c r="U432" s="11" t="str">
        <f t="shared" si="63"/>
        <v>(51 - 100)</v>
      </c>
      <c r="V432" s="12">
        <f t="shared" si="64"/>
        <v>12.486338797814208</v>
      </c>
      <c r="W432" s="12">
        <f t="shared" si="65"/>
        <v>93.608315098468267</v>
      </c>
      <c r="X432" s="12">
        <f t="shared" si="66"/>
        <v>0.18008752735229758</v>
      </c>
    </row>
    <row r="433" spans="1:24">
      <c r="A433" s="11">
        <v>432</v>
      </c>
      <c r="B433" s="11" t="s">
        <v>438</v>
      </c>
      <c r="C433" s="11" t="s">
        <v>50</v>
      </c>
      <c r="D433" s="11" t="s">
        <v>17</v>
      </c>
      <c r="E433" s="12">
        <v>74.599999999999994</v>
      </c>
      <c r="F433" s="11" t="s">
        <v>2643</v>
      </c>
      <c r="G433" s="11" t="str">
        <f t="shared" si="62"/>
        <v>Litres</v>
      </c>
      <c r="H433" s="13">
        <v>149</v>
      </c>
      <c r="I433" s="11" t="s">
        <v>19</v>
      </c>
      <c r="J433" s="12">
        <v>102109</v>
      </c>
      <c r="K433" s="12" t="str">
        <f t="shared" si="67"/>
        <v>Very High</v>
      </c>
      <c r="L433" s="11" t="s">
        <v>20</v>
      </c>
      <c r="M433" s="14">
        <v>45005</v>
      </c>
      <c r="N433" s="14" t="str">
        <f t="shared" si="68"/>
        <v>20/03/2023</v>
      </c>
      <c r="O433" s="14" t="str">
        <f t="shared" si="69"/>
        <v>2023</v>
      </c>
      <c r="P433" s="11" t="s">
        <v>1249</v>
      </c>
      <c r="Q433" s="11" t="s">
        <v>2648</v>
      </c>
      <c r="R433" s="11">
        <v>17</v>
      </c>
      <c r="S433" s="11" t="str">
        <f t="shared" si="70"/>
        <v>17 + yrs</v>
      </c>
      <c r="T433" s="12">
        <v>160.4</v>
      </c>
      <c r="U433" s="11" t="str">
        <f t="shared" si="63"/>
        <v>(151 - 200)</v>
      </c>
      <c r="V433" s="12">
        <f t="shared" si="64"/>
        <v>1.9973190348525471</v>
      </c>
      <c r="W433" s="12">
        <f t="shared" si="65"/>
        <v>685.29530201342277</v>
      </c>
      <c r="X433" s="12">
        <f t="shared" si="66"/>
        <v>1.0765100671140939</v>
      </c>
    </row>
    <row r="434" spans="1:24">
      <c r="A434" s="11">
        <v>433</v>
      </c>
      <c r="B434" s="11" t="s">
        <v>1250</v>
      </c>
      <c r="C434" s="11" t="s">
        <v>39</v>
      </c>
      <c r="D434" s="11" t="s">
        <v>114</v>
      </c>
      <c r="E434" s="12">
        <v>26.8</v>
      </c>
      <c r="F434" s="11" t="s">
        <v>56</v>
      </c>
      <c r="G434" s="11" t="str">
        <f t="shared" si="62"/>
        <v>Litres</v>
      </c>
      <c r="H434" s="13">
        <v>180</v>
      </c>
      <c r="I434" s="11" t="s">
        <v>19</v>
      </c>
      <c r="J434" s="12">
        <v>42615</v>
      </c>
      <c r="K434" s="12" t="str">
        <f t="shared" si="67"/>
        <v>Medium</v>
      </c>
      <c r="L434" s="11" t="s">
        <v>20</v>
      </c>
      <c r="M434" s="14">
        <v>45783</v>
      </c>
      <c r="N434" s="14" t="str">
        <f t="shared" si="68"/>
        <v>06/05/2025</v>
      </c>
      <c r="O434" s="14" t="str">
        <f t="shared" si="69"/>
        <v>2025</v>
      </c>
      <c r="P434" s="11" t="s">
        <v>1251</v>
      </c>
      <c r="Q434" s="11" t="s">
        <v>86</v>
      </c>
      <c r="R434" s="11">
        <v>18</v>
      </c>
      <c r="S434" s="11" t="str">
        <f t="shared" si="70"/>
        <v>17 + yrs</v>
      </c>
      <c r="T434" s="12">
        <v>82.8</v>
      </c>
      <c r="U434" s="11" t="str">
        <f t="shared" si="63"/>
        <v>(51 - 100)</v>
      </c>
      <c r="V434" s="12">
        <f t="shared" si="64"/>
        <v>6.7164179104477606</v>
      </c>
      <c r="W434" s="12">
        <f t="shared" si="65"/>
        <v>236.75</v>
      </c>
      <c r="X434" s="12">
        <f t="shared" si="66"/>
        <v>0.45999999999999996</v>
      </c>
    </row>
    <row r="435" spans="1:24">
      <c r="A435" s="11">
        <v>434</v>
      </c>
      <c r="B435" s="11" t="s">
        <v>1252</v>
      </c>
      <c r="C435" s="11" t="s">
        <v>16</v>
      </c>
      <c r="D435" s="11" t="s">
        <v>17</v>
      </c>
      <c r="E435" s="12">
        <v>64.2</v>
      </c>
      <c r="F435" s="11" t="s">
        <v>2643</v>
      </c>
      <c r="G435" s="11" t="str">
        <f t="shared" si="62"/>
        <v>Litres</v>
      </c>
      <c r="H435" s="13">
        <v>20</v>
      </c>
      <c r="I435" s="11" t="s">
        <v>19</v>
      </c>
      <c r="J435" s="12">
        <v>113816</v>
      </c>
      <c r="K435" s="12" t="str">
        <f t="shared" si="67"/>
        <v>Extreme</v>
      </c>
      <c r="L435" s="11" t="s">
        <v>20</v>
      </c>
      <c r="M435" s="14">
        <v>45605</v>
      </c>
      <c r="N435" s="14" t="str">
        <f t="shared" si="68"/>
        <v>09/11/2024</v>
      </c>
      <c r="O435" s="14" t="str">
        <f t="shared" si="69"/>
        <v>2024</v>
      </c>
      <c r="P435" s="11" t="s">
        <v>1254</v>
      </c>
      <c r="Q435" s="11" t="s">
        <v>2648</v>
      </c>
      <c r="R435" s="11">
        <v>16</v>
      </c>
      <c r="S435" s="11" t="str">
        <f t="shared" si="70"/>
        <v>13 - 16 yrs</v>
      </c>
      <c r="T435" s="12">
        <v>144</v>
      </c>
      <c r="U435" s="11" t="str">
        <f t="shared" si="63"/>
        <v>(101 - 150)</v>
      </c>
      <c r="V435" s="12">
        <f t="shared" si="64"/>
        <v>0.3115264797507788</v>
      </c>
      <c r="W435" s="12">
        <f t="shared" si="65"/>
        <v>5690.8</v>
      </c>
      <c r="X435" s="12">
        <f t="shared" si="66"/>
        <v>7.2</v>
      </c>
    </row>
    <row r="436" spans="1:24">
      <c r="A436" s="11">
        <v>435</v>
      </c>
      <c r="B436" s="11" t="s">
        <v>2511</v>
      </c>
      <c r="C436" s="11" t="s">
        <v>50</v>
      </c>
      <c r="D436" s="11" t="s">
        <v>17</v>
      </c>
      <c r="E436" s="12">
        <v>74.5</v>
      </c>
      <c r="F436" s="11" t="s">
        <v>2643</v>
      </c>
      <c r="G436" s="11" t="str">
        <f t="shared" si="62"/>
        <v>Litres</v>
      </c>
      <c r="H436" s="13">
        <v>628</v>
      </c>
      <c r="I436" s="11" t="s">
        <v>19</v>
      </c>
      <c r="J436" s="12">
        <v>113991</v>
      </c>
      <c r="K436" s="12" t="str">
        <f t="shared" si="67"/>
        <v>Extreme</v>
      </c>
      <c r="L436" s="11" t="s">
        <v>20</v>
      </c>
      <c r="M436" s="14">
        <v>45367</v>
      </c>
      <c r="N436" s="14" t="str">
        <f t="shared" si="68"/>
        <v>16/03/2024</v>
      </c>
      <c r="O436" s="14" t="str">
        <f t="shared" si="69"/>
        <v>2024</v>
      </c>
      <c r="P436" s="11" t="s">
        <v>496</v>
      </c>
      <c r="Q436" s="11" t="s">
        <v>54</v>
      </c>
      <c r="R436" s="11">
        <v>5</v>
      </c>
      <c r="S436" s="11" t="str">
        <f t="shared" si="70"/>
        <v>5 - 8 yrs</v>
      </c>
      <c r="T436" s="12">
        <v>221.1</v>
      </c>
      <c r="U436" s="11" t="str">
        <f t="shared" si="63"/>
        <v>(201 - 250)</v>
      </c>
      <c r="V436" s="12">
        <f t="shared" si="64"/>
        <v>8.4295302013422813</v>
      </c>
      <c r="W436" s="12">
        <f t="shared" si="65"/>
        <v>181.51433121019107</v>
      </c>
      <c r="X436" s="12">
        <f t="shared" si="66"/>
        <v>0.35207006369426752</v>
      </c>
    </row>
    <row r="437" spans="1:24">
      <c r="A437" s="11">
        <v>436</v>
      </c>
      <c r="B437" s="11" t="s">
        <v>2489</v>
      </c>
      <c r="C437" s="11" t="s">
        <v>50</v>
      </c>
      <c r="D437" s="11" t="s">
        <v>17</v>
      </c>
      <c r="E437" s="12">
        <v>23.4</v>
      </c>
      <c r="F437" s="11" t="s">
        <v>26</v>
      </c>
      <c r="G437" s="11" t="str">
        <f t="shared" si="62"/>
        <v>Litres</v>
      </c>
      <c r="H437" s="13">
        <v>626</v>
      </c>
      <c r="I437" s="11" t="s">
        <v>19</v>
      </c>
      <c r="J437" s="12">
        <v>67247</v>
      </c>
      <c r="K437" s="12" t="str">
        <f t="shared" si="67"/>
        <v>Moderate</v>
      </c>
      <c r="L437" s="11" t="s">
        <v>20</v>
      </c>
      <c r="M437" s="14">
        <v>45270</v>
      </c>
      <c r="N437" s="14" t="str">
        <f t="shared" si="68"/>
        <v>10/12/2023</v>
      </c>
      <c r="O437" s="14" t="str">
        <f t="shared" si="69"/>
        <v>2023</v>
      </c>
      <c r="P437" s="11" t="s">
        <v>738</v>
      </c>
      <c r="Q437" s="11" t="s">
        <v>48</v>
      </c>
      <c r="R437" s="11">
        <v>17</v>
      </c>
      <c r="S437" s="11" t="str">
        <f t="shared" si="70"/>
        <v>17 + yrs</v>
      </c>
      <c r="T437" s="12">
        <v>61.2</v>
      </c>
      <c r="U437" s="11" t="str">
        <f t="shared" si="63"/>
        <v>(51 - 100)</v>
      </c>
      <c r="V437" s="12">
        <f t="shared" si="64"/>
        <v>26.752136752136753</v>
      </c>
      <c r="W437" s="12">
        <f t="shared" si="65"/>
        <v>107.42332268370608</v>
      </c>
      <c r="X437" s="12">
        <f t="shared" si="66"/>
        <v>9.7763578274760385E-2</v>
      </c>
    </row>
    <row r="438" spans="1:24">
      <c r="A438" s="11">
        <v>437</v>
      </c>
      <c r="B438" s="11" t="s">
        <v>1258</v>
      </c>
      <c r="C438" s="11" t="s">
        <v>50</v>
      </c>
      <c r="D438" s="11" t="s">
        <v>114</v>
      </c>
      <c r="E438" s="12">
        <v>37.6</v>
      </c>
      <c r="F438" s="11" t="s">
        <v>2643</v>
      </c>
      <c r="G438" s="11" t="str">
        <f t="shared" si="62"/>
        <v>Litres</v>
      </c>
      <c r="H438" s="13">
        <v>385</v>
      </c>
      <c r="I438" s="11" t="s">
        <v>19</v>
      </c>
      <c r="J438" s="12">
        <v>85687</v>
      </c>
      <c r="K438" s="12" t="str">
        <f t="shared" si="67"/>
        <v>High</v>
      </c>
      <c r="L438" s="11" t="s">
        <v>20</v>
      </c>
      <c r="M438" s="14">
        <v>45111</v>
      </c>
      <c r="N438" s="14" t="str">
        <f t="shared" si="68"/>
        <v>04/07/2023</v>
      </c>
      <c r="O438" s="14" t="str">
        <f t="shared" si="69"/>
        <v>2023</v>
      </c>
      <c r="P438" s="11" t="s">
        <v>1260</v>
      </c>
      <c r="Q438" s="11" t="s">
        <v>112</v>
      </c>
      <c r="R438" s="11">
        <v>20</v>
      </c>
      <c r="S438" s="11" t="str">
        <f t="shared" si="70"/>
        <v>17 + yrs</v>
      </c>
      <c r="T438" s="12">
        <v>110.6</v>
      </c>
      <c r="U438" s="11" t="str">
        <f t="shared" si="63"/>
        <v>(101 - 150)</v>
      </c>
      <c r="V438" s="12">
        <f t="shared" si="64"/>
        <v>10.23936170212766</v>
      </c>
      <c r="W438" s="12">
        <f t="shared" si="65"/>
        <v>222.56363636363636</v>
      </c>
      <c r="X438" s="12">
        <f t="shared" si="66"/>
        <v>0.28727272727272724</v>
      </c>
    </row>
    <row r="439" spans="1:24">
      <c r="A439" s="11">
        <v>438</v>
      </c>
      <c r="B439" s="11" t="s">
        <v>1261</v>
      </c>
      <c r="C439" s="11" t="s">
        <v>16</v>
      </c>
      <c r="D439" s="11" t="s">
        <v>33</v>
      </c>
      <c r="E439" s="12">
        <v>64.7</v>
      </c>
      <c r="F439" s="11" t="s">
        <v>26</v>
      </c>
      <c r="G439" s="11" t="str">
        <f t="shared" si="62"/>
        <v>Litres</v>
      </c>
      <c r="H439" s="13">
        <v>490</v>
      </c>
      <c r="I439" s="11" t="s">
        <v>19</v>
      </c>
      <c r="J439" s="12">
        <v>72954</v>
      </c>
      <c r="K439" s="12" t="str">
        <f t="shared" si="67"/>
        <v>High</v>
      </c>
      <c r="L439" s="11" t="s">
        <v>20</v>
      </c>
      <c r="M439" s="14">
        <v>45257</v>
      </c>
      <c r="N439" s="14" t="str">
        <f t="shared" si="68"/>
        <v>27/11/2023</v>
      </c>
      <c r="O439" s="14" t="str">
        <f t="shared" si="69"/>
        <v>2023</v>
      </c>
      <c r="P439" s="11" t="s">
        <v>822</v>
      </c>
      <c r="Q439" s="11" t="s">
        <v>112</v>
      </c>
      <c r="R439" s="11">
        <v>8</v>
      </c>
      <c r="S439" s="11" t="str">
        <f t="shared" si="70"/>
        <v>5 - 8 yrs</v>
      </c>
      <c r="T439" s="12">
        <v>194.9</v>
      </c>
      <c r="U439" s="11" t="str">
        <f t="shared" si="63"/>
        <v>(151 - 200)</v>
      </c>
      <c r="V439" s="12">
        <f t="shared" si="64"/>
        <v>7.5734157650695515</v>
      </c>
      <c r="W439" s="12">
        <f t="shared" si="65"/>
        <v>148.88571428571427</v>
      </c>
      <c r="X439" s="12">
        <f t="shared" si="66"/>
        <v>0.39775510204081632</v>
      </c>
    </row>
    <row r="440" spans="1:24">
      <c r="A440" s="11">
        <v>439</v>
      </c>
      <c r="B440" s="11" t="s">
        <v>1263</v>
      </c>
      <c r="C440" s="11" t="s">
        <v>39</v>
      </c>
      <c r="D440" s="11" t="s">
        <v>33</v>
      </c>
      <c r="E440" s="12">
        <v>8.6</v>
      </c>
      <c r="F440" s="11" t="s">
        <v>56</v>
      </c>
      <c r="G440" s="11" t="str">
        <f t="shared" si="62"/>
        <v>Litres</v>
      </c>
      <c r="H440" s="13">
        <v>453</v>
      </c>
      <c r="I440" s="11" t="s">
        <v>19</v>
      </c>
      <c r="J440" s="12">
        <v>46600</v>
      </c>
      <c r="K440" s="12" t="str">
        <f t="shared" si="67"/>
        <v>Medium</v>
      </c>
      <c r="L440" s="11" t="s">
        <v>20</v>
      </c>
      <c r="M440" s="14">
        <v>45113</v>
      </c>
      <c r="N440" s="14" t="str">
        <f t="shared" si="68"/>
        <v>06/07/2023</v>
      </c>
      <c r="O440" s="14" t="str">
        <f t="shared" si="69"/>
        <v>2023</v>
      </c>
      <c r="P440" s="11" t="s">
        <v>1265</v>
      </c>
      <c r="Q440" s="11" t="s">
        <v>48</v>
      </c>
      <c r="R440" s="11">
        <v>8</v>
      </c>
      <c r="S440" s="11" t="str">
        <f t="shared" si="70"/>
        <v>5 - 8 yrs</v>
      </c>
      <c r="T440" s="12">
        <v>20.6</v>
      </c>
      <c r="U440" s="11" t="str">
        <f t="shared" si="63"/>
        <v>(0 - 50)</v>
      </c>
      <c r="V440" s="12">
        <f t="shared" si="64"/>
        <v>52.674418604651166</v>
      </c>
      <c r="W440" s="12">
        <f t="shared" si="65"/>
        <v>102.86975717439293</v>
      </c>
      <c r="X440" s="12">
        <f t="shared" si="66"/>
        <v>4.5474613686534222E-2</v>
      </c>
    </row>
    <row r="441" spans="1:24">
      <c r="A441" s="11">
        <v>440</v>
      </c>
      <c r="B441" s="11" t="s">
        <v>1266</v>
      </c>
      <c r="C441" s="11" t="s">
        <v>39</v>
      </c>
      <c r="D441" s="11" t="s">
        <v>17</v>
      </c>
      <c r="E441" s="12">
        <v>25.5</v>
      </c>
      <c r="F441" s="11" t="s">
        <v>26</v>
      </c>
      <c r="G441" s="11" t="str">
        <f t="shared" si="62"/>
        <v>Litres</v>
      </c>
      <c r="H441" s="13">
        <v>223</v>
      </c>
      <c r="I441" s="11" t="s">
        <v>19</v>
      </c>
      <c r="J441" s="12">
        <v>6840</v>
      </c>
      <c r="K441" s="12" t="str">
        <f t="shared" si="67"/>
        <v>Very Low</v>
      </c>
      <c r="L441" s="11" t="s">
        <v>20</v>
      </c>
      <c r="M441" s="14">
        <v>45740</v>
      </c>
      <c r="N441" s="14" t="str">
        <f t="shared" si="68"/>
        <v>24/03/2025</v>
      </c>
      <c r="O441" s="14" t="str">
        <f t="shared" si="69"/>
        <v>2025</v>
      </c>
      <c r="P441" s="11" t="s">
        <v>1268</v>
      </c>
      <c r="Q441" s="11" t="s">
        <v>86</v>
      </c>
      <c r="R441" s="11">
        <v>4</v>
      </c>
      <c r="S441" s="11" t="str">
        <f t="shared" si="70"/>
        <v>0 - 4 yrs</v>
      </c>
      <c r="T441" s="12">
        <v>77.8</v>
      </c>
      <c r="U441" s="11" t="str">
        <f t="shared" si="63"/>
        <v>(51 - 100)</v>
      </c>
      <c r="V441" s="12">
        <f t="shared" si="64"/>
        <v>8.7450980392156854</v>
      </c>
      <c r="W441" s="12">
        <f t="shared" si="65"/>
        <v>30.672645739910315</v>
      </c>
      <c r="X441" s="12">
        <f t="shared" si="66"/>
        <v>0.34887892376681612</v>
      </c>
    </row>
    <row r="442" spans="1:24">
      <c r="A442" s="11">
        <v>441</v>
      </c>
      <c r="B442" s="11" t="s">
        <v>2512</v>
      </c>
      <c r="C442" s="11" t="s">
        <v>16</v>
      </c>
      <c r="D442" s="11" t="s">
        <v>33</v>
      </c>
      <c r="E442" s="12">
        <v>21.4</v>
      </c>
      <c r="F442" s="11" t="s">
        <v>56</v>
      </c>
      <c r="G442" s="11" t="str">
        <f t="shared" si="62"/>
        <v>Litres</v>
      </c>
      <c r="H442" s="13">
        <v>531</v>
      </c>
      <c r="I442" s="11" t="s">
        <v>19</v>
      </c>
      <c r="J442" s="12">
        <v>67660</v>
      </c>
      <c r="K442" s="12" t="str">
        <f t="shared" si="67"/>
        <v>Moderate</v>
      </c>
      <c r="L442" s="11" t="s">
        <v>20</v>
      </c>
      <c r="M442" s="14">
        <v>44989</v>
      </c>
      <c r="N442" s="14" t="str">
        <f t="shared" si="68"/>
        <v>04/03/2023</v>
      </c>
      <c r="O442" s="14" t="str">
        <f t="shared" si="69"/>
        <v>2023</v>
      </c>
      <c r="P442" s="11" t="s">
        <v>74</v>
      </c>
      <c r="Q442" s="11" t="s">
        <v>2648</v>
      </c>
      <c r="R442" s="11">
        <v>18</v>
      </c>
      <c r="S442" s="11" t="str">
        <f t="shared" si="70"/>
        <v>17 + yrs</v>
      </c>
      <c r="T442" s="12">
        <v>56.1</v>
      </c>
      <c r="U442" s="11" t="str">
        <f t="shared" si="63"/>
        <v>(51 - 100)</v>
      </c>
      <c r="V442" s="12">
        <f t="shared" si="64"/>
        <v>24.813084112149536</v>
      </c>
      <c r="W442" s="12">
        <f t="shared" si="65"/>
        <v>127.41996233521657</v>
      </c>
      <c r="X442" s="12">
        <f t="shared" si="66"/>
        <v>0.1056497175141243</v>
      </c>
    </row>
    <row r="443" spans="1:24">
      <c r="A443" s="11">
        <v>442</v>
      </c>
      <c r="B443" s="11" t="s">
        <v>1271</v>
      </c>
      <c r="C443" s="11" t="s">
        <v>32</v>
      </c>
      <c r="D443" s="11" t="s">
        <v>17</v>
      </c>
      <c r="E443" s="12">
        <v>23.4</v>
      </c>
      <c r="F443" s="11" t="s">
        <v>2643</v>
      </c>
      <c r="G443" s="11" t="str">
        <f t="shared" si="62"/>
        <v>Litres</v>
      </c>
      <c r="H443" s="13">
        <v>193</v>
      </c>
      <c r="I443" s="11" t="s">
        <v>19</v>
      </c>
      <c r="J443" s="12">
        <v>84388</v>
      </c>
      <c r="K443" s="12" t="str">
        <f t="shared" si="67"/>
        <v>High</v>
      </c>
      <c r="L443" s="11" t="s">
        <v>20</v>
      </c>
      <c r="M443" s="14">
        <v>45525</v>
      </c>
      <c r="N443" s="14" t="str">
        <f t="shared" si="68"/>
        <v>21/08/2024</v>
      </c>
      <c r="O443" s="14" t="str">
        <f t="shared" si="69"/>
        <v>2024</v>
      </c>
      <c r="P443" s="11" t="s">
        <v>1273</v>
      </c>
      <c r="Q443" s="11" t="s">
        <v>48</v>
      </c>
      <c r="R443" s="11">
        <v>3</v>
      </c>
      <c r="S443" s="11" t="str">
        <f t="shared" si="70"/>
        <v>0 - 4 yrs</v>
      </c>
      <c r="T443" s="12">
        <v>75.400000000000006</v>
      </c>
      <c r="U443" s="11" t="str">
        <f t="shared" si="63"/>
        <v>(51 - 100)</v>
      </c>
      <c r="V443" s="12">
        <f t="shared" si="64"/>
        <v>8.2478632478632488</v>
      </c>
      <c r="W443" s="12">
        <f t="shared" si="65"/>
        <v>437.24352331606218</v>
      </c>
      <c r="X443" s="12">
        <f t="shared" si="66"/>
        <v>0.39067357512953371</v>
      </c>
    </row>
    <row r="444" spans="1:24">
      <c r="A444" s="11">
        <v>443</v>
      </c>
      <c r="B444" s="11" t="s">
        <v>643</v>
      </c>
      <c r="C444" s="11" t="s">
        <v>32</v>
      </c>
      <c r="D444" s="11" t="s">
        <v>17</v>
      </c>
      <c r="E444" s="12">
        <v>66.2</v>
      </c>
      <c r="F444" s="11" t="s">
        <v>62</v>
      </c>
      <c r="G444" s="11" t="str">
        <f t="shared" si="62"/>
        <v>kWh</v>
      </c>
      <c r="H444" s="13">
        <v>272</v>
      </c>
      <c r="I444" s="11" t="s">
        <v>19</v>
      </c>
      <c r="J444" s="12">
        <v>45042</v>
      </c>
      <c r="K444" s="12" t="str">
        <f t="shared" si="67"/>
        <v>Medium</v>
      </c>
      <c r="L444" s="11" t="s">
        <v>20</v>
      </c>
      <c r="M444" s="14">
        <v>45653</v>
      </c>
      <c r="N444" s="14" t="str">
        <f t="shared" si="68"/>
        <v>27/12/2024</v>
      </c>
      <c r="O444" s="14" t="str">
        <f t="shared" si="69"/>
        <v>2024</v>
      </c>
      <c r="P444" s="11" t="s">
        <v>752</v>
      </c>
      <c r="Q444" s="11" t="s">
        <v>48</v>
      </c>
      <c r="R444" s="11">
        <v>5</v>
      </c>
      <c r="S444" s="11" t="str">
        <f t="shared" si="70"/>
        <v>5 - 8 yrs</v>
      </c>
      <c r="T444" s="12">
        <v>172.6</v>
      </c>
      <c r="U444" s="11" t="str">
        <f t="shared" si="63"/>
        <v>(151 - 200)</v>
      </c>
      <c r="V444" s="12">
        <f t="shared" si="64"/>
        <v>4.1087613293051355</v>
      </c>
      <c r="W444" s="12">
        <f t="shared" si="65"/>
        <v>165.59558823529412</v>
      </c>
      <c r="X444" s="12">
        <f t="shared" si="66"/>
        <v>0.63455882352941173</v>
      </c>
    </row>
    <row r="445" spans="1:24">
      <c r="A445" s="11">
        <v>444</v>
      </c>
      <c r="B445" s="11" t="s">
        <v>1275</v>
      </c>
      <c r="C445" s="11" t="s">
        <v>32</v>
      </c>
      <c r="D445" s="11" t="s">
        <v>17</v>
      </c>
      <c r="E445" s="12">
        <v>62.8</v>
      </c>
      <c r="F445" s="11" t="s">
        <v>2643</v>
      </c>
      <c r="G445" s="11" t="str">
        <f t="shared" si="62"/>
        <v>Litres</v>
      </c>
      <c r="H445" s="13">
        <v>655</v>
      </c>
      <c r="I445" s="11" t="s">
        <v>19</v>
      </c>
      <c r="J445" s="12">
        <v>73830</v>
      </c>
      <c r="K445" s="12" t="str">
        <f t="shared" si="67"/>
        <v>High</v>
      </c>
      <c r="L445" s="11" t="s">
        <v>20</v>
      </c>
      <c r="M445" s="14">
        <v>45020</v>
      </c>
      <c r="N445" s="14" t="str">
        <f t="shared" si="68"/>
        <v>04/04/2023</v>
      </c>
      <c r="O445" s="14" t="str">
        <f t="shared" si="69"/>
        <v>2023</v>
      </c>
      <c r="P445" s="11" t="s">
        <v>1277</v>
      </c>
      <c r="Q445" s="11" t="s">
        <v>48</v>
      </c>
      <c r="R445" s="11">
        <v>18</v>
      </c>
      <c r="S445" s="11" t="str">
        <f t="shared" si="70"/>
        <v>17 + yrs</v>
      </c>
      <c r="T445" s="12">
        <v>167.4</v>
      </c>
      <c r="U445" s="11" t="str">
        <f t="shared" si="63"/>
        <v>(151 - 200)</v>
      </c>
      <c r="V445" s="12">
        <f t="shared" si="64"/>
        <v>10.429936305732484</v>
      </c>
      <c r="W445" s="12">
        <f t="shared" si="65"/>
        <v>112.7175572519084</v>
      </c>
      <c r="X445" s="12">
        <f t="shared" si="66"/>
        <v>0.2555725190839695</v>
      </c>
    </row>
    <row r="446" spans="1:24">
      <c r="A446" s="11">
        <v>445</v>
      </c>
      <c r="B446" s="11" t="s">
        <v>1278</v>
      </c>
      <c r="C446" s="11" t="s">
        <v>32</v>
      </c>
      <c r="D446" s="11" t="s">
        <v>114</v>
      </c>
      <c r="E446" s="12">
        <v>5.0999999999999996</v>
      </c>
      <c r="F446" s="11" t="s">
        <v>41</v>
      </c>
      <c r="G446" s="11" t="str">
        <f t="shared" si="62"/>
        <v>Litres</v>
      </c>
      <c r="H446" s="13">
        <v>167</v>
      </c>
      <c r="I446" s="11" t="s">
        <v>19</v>
      </c>
      <c r="J446" s="12">
        <v>50004</v>
      </c>
      <c r="K446" s="12" t="str">
        <f t="shared" si="67"/>
        <v>Medium</v>
      </c>
      <c r="L446" s="11" t="s">
        <v>20</v>
      </c>
      <c r="M446" s="14">
        <v>45398</v>
      </c>
      <c r="N446" s="14" t="str">
        <f t="shared" si="68"/>
        <v>16/04/2024</v>
      </c>
      <c r="O446" s="14" t="str">
        <f t="shared" si="69"/>
        <v>2024</v>
      </c>
      <c r="P446" s="11" t="s">
        <v>1280</v>
      </c>
      <c r="Q446" s="11" t="s">
        <v>59</v>
      </c>
      <c r="R446" s="11">
        <v>1</v>
      </c>
      <c r="S446" s="11" t="str">
        <f t="shared" si="70"/>
        <v>0 - 4 yrs</v>
      </c>
      <c r="T446" s="12">
        <v>12.1</v>
      </c>
      <c r="U446" s="11" t="str">
        <f t="shared" si="63"/>
        <v>(0 - 50)</v>
      </c>
      <c r="V446" s="12">
        <f t="shared" si="64"/>
        <v>32.745098039215691</v>
      </c>
      <c r="W446" s="12">
        <f t="shared" si="65"/>
        <v>299.42514970059881</v>
      </c>
      <c r="X446" s="12">
        <f t="shared" si="66"/>
        <v>7.2455089820359281E-2</v>
      </c>
    </row>
    <row r="447" spans="1:24">
      <c r="A447" s="11">
        <v>446</v>
      </c>
      <c r="B447" s="11" t="s">
        <v>2513</v>
      </c>
      <c r="C447" s="11" t="s">
        <v>16</v>
      </c>
      <c r="D447" s="11" t="s">
        <v>114</v>
      </c>
      <c r="E447" s="12">
        <v>32.700000000000003</v>
      </c>
      <c r="F447" s="11" t="s">
        <v>26</v>
      </c>
      <c r="G447" s="11" t="str">
        <f t="shared" si="62"/>
        <v>Litres</v>
      </c>
      <c r="H447" s="13">
        <v>287</v>
      </c>
      <c r="I447" s="11" t="s">
        <v>19</v>
      </c>
      <c r="J447" s="12">
        <v>72737</v>
      </c>
      <c r="K447" s="12" t="str">
        <f t="shared" si="67"/>
        <v>High</v>
      </c>
      <c r="L447" s="11" t="s">
        <v>20</v>
      </c>
      <c r="M447" s="14">
        <v>45215</v>
      </c>
      <c r="N447" s="14" t="str">
        <f t="shared" si="68"/>
        <v>16/10/2023</v>
      </c>
      <c r="O447" s="14" t="str">
        <f t="shared" si="69"/>
        <v>2023</v>
      </c>
      <c r="P447" s="11" t="s">
        <v>1283</v>
      </c>
      <c r="Q447" s="11" t="s">
        <v>117</v>
      </c>
      <c r="R447" s="11">
        <v>13</v>
      </c>
      <c r="S447" s="11" t="str">
        <f t="shared" si="70"/>
        <v>13 - 16 yrs</v>
      </c>
      <c r="T447" s="12">
        <v>112.9</v>
      </c>
      <c r="U447" s="11" t="str">
        <f t="shared" si="63"/>
        <v>(101 - 150)</v>
      </c>
      <c r="V447" s="12">
        <f t="shared" si="64"/>
        <v>8.7767584097859324</v>
      </c>
      <c r="W447" s="12">
        <f t="shared" si="65"/>
        <v>253.4390243902439</v>
      </c>
      <c r="X447" s="12">
        <f t="shared" si="66"/>
        <v>0.39337979094076658</v>
      </c>
    </row>
    <row r="448" spans="1:24">
      <c r="A448" s="11">
        <v>447</v>
      </c>
      <c r="B448" s="11" t="s">
        <v>2514</v>
      </c>
      <c r="C448" s="11" t="s">
        <v>50</v>
      </c>
      <c r="D448" s="11" t="s">
        <v>17</v>
      </c>
      <c r="E448" s="12">
        <v>16.8</v>
      </c>
      <c r="F448" s="11" t="s">
        <v>26</v>
      </c>
      <c r="G448" s="11" t="str">
        <f t="shared" si="62"/>
        <v>Litres</v>
      </c>
      <c r="H448" s="13">
        <v>630</v>
      </c>
      <c r="I448" s="11" t="s">
        <v>19</v>
      </c>
      <c r="J448" s="12">
        <v>111813</v>
      </c>
      <c r="K448" s="12" t="str">
        <f t="shared" si="67"/>
        <v>Extreme</v>
      </c>
      <c r="L448" s="11" t="s">
        <v>20</v>
      </c>
      <c r="M448" s="14">
        <v>45468</v>
      </c>
      <c r="N448" s="14" t="str">
        <f t="shared" si="68"/>
        <v>25/06/2024</v>
      </c>
      <c r="O448" s="14" t="str">
        <f t="shared" si="69"/>
        <v>2024</v>
      </c>
      <c r="P448" s="11" t="s">
        <v>1285</v>
      </c>
      <c r="Q448" s="11" t="s">
        <v>441</v>
      </c>
      <c r="R448" s="11">
        <v>17</v>
      </c>
      <c r="S448" s="11" t="str">
        <f t="shared" si="70"/>
        <v>17 + yrs</v>
      </c>
      <c r="T448" s="12">
        <v>58.4</v>
      </c>
      <c r="U448" s="11" t="str">
        <f t="shared" si="63"/>
        <v>(51 - 100)</v>
      </c>
      <c r="V448" s="12">
        <f t="shared" si="64"/>
        <v>37.5</v>
      </c>
      <c r="W448" s="12">
        <f t="shared" si="65"/>
        <v>177.48095238095237</v>
      </c>
      <c r="X448" s="12">
        <f t="shared" si="66"/>
        <v>9.2698412698412697E-2</v>
      </c>
    </row>
    <row r="449" spans="1:24">
      <c r="A449" s="11">
        <v>448</v>
      </c>
      <c r="B449" s="11" t="s">
        <v>1286</v>
      </c>
      <c r="C449" s="11" t="s">
        <v>32</v>
      </c>
      <c r="D449" s="11" t="s">
        <v>114</v>
      </c>
      <c r="E449" s="12">
        <v>49.2</v>
      </c>
      <c r="F449" s="11" t="s">
        <v>2643</v>
      </c>
      <c r="G449" s="11" t="str">
        <f t="shared" si="62"/>
        <v>Litres</v>
      </c>
      <c r="H449" s="13">
        <v>459</v>
      </c>
      <c r="I449" s="11" t="s">
        <v>19</v>
      </c>
      <c r="J449" s="12">
        <v>111234</v>
      </c>
      <c r="K449" s="12" t="str">
        <f t="shared" si="67"/>
        <v>Extreme</v>
      </c>
      <c r="L449" s="11" t="s">
        <v>20</v>
      </c>
      <c r="M449" s="14">
        <v>45573</v>
      </c>
      <c r="N449" s="14" t="str">
        <f t="shared" si="68"/>
        <v>08/10/2024</v>
      </c>
      <c r="O449" s="14" t="str">
        <f t="shared" si="69"/>
        <v>2024</v>
      </c>
      <c r="P449" s="11" t="s">
        <v>1213</v>
      </c>
      <c r="Q449" s="11" t="s">
        <v>112</v>
      </c>
      <c r="R449" s="11">
        <v>6</v>
      </c>
      <c r="S449" s="11" t="str">
        <f t="shared" si="70"/>
        <v>5 - 8 yrs</v>
      </c>
      <c r="T449" s="12">
        <v>140.5</v>
      </c>
      <c r="U449" s="11" t="str">
        <f t="shared" si="63"/>
        <v>(101 - 150)</v>
      </c>
      <c r="V449" s="12">
        <f t="shared" si="64"/>
        <v>9.3292682926829258</v>
      </c>
      <c r="W449" s="12">
        <f t="shared" si="65"/>
        <v>242.33986928104576</v>
      </c>
      <c r="X449" s="12">
        <f t="shared" si="66"/>
        <v>0.30610021786492375</v>
      </c>
    </row>
    <row r="450" spans="1:24">
      <c r="A450" s="11">
        <v>449</v>
      </c>
      <c r="B450" s="11" t="s">
        <v>1288</v>
      </c>
      <c r="C450" s="11" t="s">
        <v>32</v>
      </c>
      <c r="D450" s="11" t="s">
        <v>17</v>
      </c>
      <c r="E450" s="12">
        <v>20.5</v>
      </c>
      <c r="F450" s="11" t="s">
        <v>56</v>
      </c>
      <c r="G450" s="11" t="str">
        <f t="shared" ref="G450:G513" si="71">IF(OR(F450="L",F450="ltrs",F450="liters"),"Litres",F450)</f>
        <v>Litres</v>
      </c>
      <c r="H450" s="13">
        <v>357</v>
      </c>
      <c r="I450" s="11" t="s">
        <v>19</v>
      </c>
      <c r="J450" s="12">
        <v>118487</v>
      </c>
      <c r="K450" s="12" t="str">
        <f t="shared" si="67"/>
        <v>Extreme</v>
      </c>
      <c r="L450" s="11" t="s">
        <v>20</v>
      </c>
      <c r="M450" s="14">
        <v>45614</v>
      </c>
      <c r="N450" s="14" t="str">
        <f t="shared" si="68"/>
        <v>18/11/2024</v>
      </c>
      <c r="O450" s="14" t="str">
        <f t="shared" si="69"/>
        <v>2024</v>
      </c>
      <c r="P450" s="11" t="s">
        <v>508</v>
      </c>
      <c r="Q450" s="11" t="s">
        <v>112</v>
      </c>
      <c r="R450" s="11">
        <v>12</v>
      </c>
      <c r="S450" s="11" t="str">
        <f t="shared" si="70"/>
        <v>9 - 12 yrs</v>
      </c>
      <c r="T450" s="12">
        <v>57</v>
      </c>
      <c r="U450" s="11" t="str">
        <f t="shared" si="63"/>
        <v>(51 - 100)</v>
      </c>
      <c r="V450" s="12">
        <f t="shared" si="64"/>
        <v>17.414634146341463</v>
      </c>
      <c r="W450" s="12">
        <f t="shared" si="65"/>
        <v>331.89635854341736</v>
      </c>
      <c r="X450" s="12">
        <f t="shared" si="66"/>
        <v>0.15966386554621848</v>
      </c>
    </row>
    <row r="451" spans="1:24">
      <c r="A451" s="11">
        <v>450</v>
      </c>
      <c r="B451" s="11" t="s">
        <v>1289</v>
      </c>
      <c r="C451" s="11" t="s">
        <v>50</v>
      </c>
      <c r="D451" s="11" t="s">
        <v>33</v>
      </c>
      <c r="E451" s="12">
        <v>80.8</v>
      </c>
      <c r="F451" s="11" t="s">
        <v>41</v>
      </c>
      <c r="G451" s="11" t="str">
        <f t="shared" si="71"/>
        <v>Litres</v>
      </c>
      <c r="H451" s="13">
        <v>613</v>
      </c>
      <c r="I451" s="11" t="s">
        <v>19</v>
      </c>
      <c r="J451" s="12">
        <v>49951</v>
      </c>
      <c r="K451" s="12" t="str">
        <f t="shared" si="67"/>
        <v>Medium</v>
      </c>
      <c r="L451" s="11" t="s">
        <v>20</v>
      </c>
      <c r="M451" s="14">
        <v>45325</v>
      </c>
      <c r="N451" s="14" t="str">
        <f t="shared" si="68"/>
        <v>03/02/2024</v>
      </c>
      <c r="O451" s="14" t="str">
        <f t="shared" si="69"/>
        <v>2024</v>
      </c>
      <c r="P451" s="11" t="s">
        <v>1291</v>
      </c>
      <c r="Q451" s="11" t="s">
        <v>54</v>
      </c>
      <c r="R451" s="11">
        <v>11</v>
      </c>
      <c r="S451" s="11" t="str">
        <f t="shared" si="70"/>
        <v>9 - 12 yrs</v>
      </c>
      <c r="T451" s="12">
        <v>233.6</v>
      </c>
      <c r="U451" s="11" t="str">
        <f t="shared" si="63"/>
        <v>(201 - 250)</v>
      </c>
      <c r="V451" s="12">
        <f t="shared" si="64"/>
        <v>7.5866336633663369</v>
      </c>
      <c r="W451" s="12">
        <f t="shared" si="65"/>
        <v>81.48613376835236</v>
      </c>
      <c r="X451" s="12">
        <f t="shared" si="66"/>
        <v>0.38107667210440455</v>
      </c>
    </row>
    <row r="452" spans="1:24">
      <c r="A452" s="11">
        <v>451</v>
      </c>
      <c r="B452" s="11" t="s">
        <v>1292</v>
      </c>
      <c r="C452" s="11" t="s">
        <v>32</v>
      </c>
      <c r="D452" s="11" t="s">
        <v>17</v>
      </c>
      <c r="E452" s="12">
        <v>26.3</v>
      </c>
      <c r="F452" s="11" t="s">
        <v>26</v>
      </c>
      <c r="G452" s="11" t="str">
        <f t="shared" si="71"/>
        <v>Litres</v>
      </c>
      <c r="H452" s="13">
        <v>527</v>
      </c>
      <c r="I452" s="11" t="s">
        <v>19</v>
      </c>
      <c r="J452" s="12">
        <v>109325</v>
      </c>
      <c r="K452" s="12" t="str">
        <f t="shared" si="67"/>
        <v>Extreme</v>
      </c>
      <c r="L452" s="11" t="s">
        <v>20</v>
      </c>
      <c r="M452" s="14">
        <v>45514</v>
      </c>
      <c r="N452" s="14" t="str">
        <f t="shared" si="68"/>
        <v>10/08/2024</v>
      </c>
      <c r="O452" s="14" t="str">
        <f t="shared" si="69"/>
        <v>2024</v>
      </c>
      <c r="P452" s="11" t="s">
        <v>1074</v>
      </c>
      <c r="Q452" s="11" t="s">
        <v>117</v>
      </c>
      <c r="R452" s="11">
        <v>2</v>
      </c>
      <c r="S452" s="11" t="str">
        <f t="shared" si="70"/>
        <v>0 - 4 yrs</v>
      </c>
      <c r="T452" s="12">
        <v>90.7</v>
      </c>
      <c r="U452" s="11" t="str">
        <f t="shared" si="63"/>
        <v>(51 - 100)</v>
      </c>
      <c r="V452" s="12">
        <f t="shared" si="64"/>
        <v>20.038022813688212</v>
      </c>
      <c r="W452" s="12">
        <f t="shared" si="65"/>
        <v>207.44781783681213</v>
      </c>
      <c r="X452" s="12">
        <f t="shared" si="66"/>
        <v>0.17210626185958255</v>
      </c>
    </row>
    <row r="453" spans="1:24">
      <c r="A453" s="11">
        <v>452</v>
      </c>
      <c r="B453" s="11" t="s">
        <v>1294</v>
      </c>
      <c r="C453" s="11" t="s">
        <v>32</v>
      </c>
      <c r="D453" s="11" t="s">
        <v>17</v>
      </c>
      <c r="E453" s="12">
        <v>75.7</v>
      </c>
      <c r="F453" s="11" t="s">
        <v>2643</v>
      </c>
      <c r="G453" s="11" t="str">
        <f t="shared" si="71"/>
        <v>Litres</v>
      </c>
      <c r="H453" s="13">
        <v>321</v>
      </c>
      <c r="I453" s="11" t="s">
        <v>19</v>
      </c>
      <c r="J453" s="12">
        <v>118418</v>
      </c>
      <c r="K453" s="12" t="str">
        <f t="shared" si="67"/>
        <v>Extreme</v>
      </c>
      <c r="L453" s="11" t="s">
        <v>20</v>
      </c>
      <c r="M453" s="14">
        <v>45509</v>
      </c>
      <c r="N453" s="14" t="str">
        <f t="shared" si="68"/>
        <v>05/08/2024</v>
      </c>
      <c r="O453" s="14" t="str">
        <f t="shared" si="69"/>
        <v>2024</v>
      </c>
      <c r="P453" s="11" t="s">
        <v>1296</v>
      </c>
      <c r="Q453" s="11" t="s">
        <v>441</v>
      </c>
      <c r="R453" s="11">
        <v>3</v>
      </c>
      <c r="S453" s="11" t="str">
        <f t="shared" si="70"/>
        <v>0 - 4 yrs</v>
      </c>
      <c r="T453" s="12">
        <v>216.9</v>
      </c>
      <c r="U453" s="11" t="str">
        <f t="shared" si="63"/>
        <v>(201 - 250)</v>
      </c>
      <c r="V453" s="12">
        <f t="shared" si="64"/>
        <v>4.240422721268164</v>
      </c>
      <c r="W453" s="12">
        <f t="shared" si="65"/>
        <v>368.90342679127724</v>
      </c>
      <c r="X453" s="12">
        <f t="shared" si="66"/>
        <v>0.67570093457943925</v>
      </c>
    </row>
    <row r="454" spans="1:24">
      <c r="A454" s="11">
        <v>453</v>
      </c>
      <c r="B454" s="11" t="s">
        <v>1297</v>
      </c>
      <c r="C454" s="11" t="s">
        <v>16</v>
      </c>
      <c r="D454" s="11" t="s">
        <v>17</v>
      </c>
      <c r="E454" s="12">
        <v>5.9</v>
      </c>
      <c r="F454" s="11" t="s">
        <v>41</v>
      </c>
      <c r="G454" s="11" t="str">
        <f t="shared" si="71"/>
        <v>Litres</v>
      </c>
      <c r="H454" s="13">
        <v>480</v>
      </c>
      <c r="I454" s="11" t="s">
        <v>19</v>
      </c>
      <c r="J454" s="12">
        <v>48376</v>
      </c>
      <c r="K454" s="12" t="str">
        <f t="shared" si="67"/>
        <v>Medium</v>
      </c>
      <c r="L454" s="11" t="s">
        <v>20</v>
      </c>
      <c r="M454" s="14">
        <v>45303</v>
      </c>
      <c r="N454" s="14" t="str">
        <f t="shared" si="68"/>
        <v>12/01/2024</v>
      </c>
      <c r="O454" s="14" t="str">
        <f t="shared" si="69"/>
        <v>2024</v>
      </c>
      <c r="P454" s="11" t="s">
        <v>1299</v>
      </c>
      <c r="Q454" s="11" t="s">
        <v>441</v>
      </c>
      <c r="R454" s="11">
        <v>14</v>
      </c>
      <c r="S454" s="11" t="str">
        <f t="shared" si="70"/>
        <v>13 - 16 yrs</v>
      </c>
      <c r="T454" s="12">
        <v>15.7</v>
      </c>
      <c r="U454" s="11" t="str">
        <f t="shared" si="63"/>
        <v>(0 - 50)</v>
      </c>
      <c r="V454" s="12">
        <f t="shared" si="64"/>
        <v>81.355932203389827</v>
      </c>
      <c r="W454" s="12">
        <f t="shared" si="65"/>
        <v>100.78333333333333</v>
      </c>
      <c r="X454" s="12">
        <f t="shared" si="66"/>
        <v>3.2708333333333332E-2</v>
      </c>
    </row>
    <row r="455" spans="1:24">
      <c r="A455" s="11">
        <v>454</v>
      </c>
      <c r="B455" s="11" t="s">
        <v>2515</v>
      </c>
      <c r="C455" s="11" t="s">
        <v>39</v>
      </c>
      <c r="D455" s="11" t="s">
        <v>17</v>
      </c>
      <c r="E455" s="12">
        <v>27.7</v>
      </c>
      <c r="F455" s="11" t="s">
        <v>41</v>
      </c>
      <c r="G455" s="11" t="str">
        <f t="shared" si="71"/>
        <v>Litres</v>
      </c>
      <c r="H455" s="13">
        <v>532</v>
      </c>
      <c r="I455" s="11" t="s">
        <v>19</v>
      </c>
      <c r="J455" s="12">
        <v>17849</v>
      </c>
      <c r="K455" s="12" t="str">
        <f t="shared" si="67"/>
        <v>Very Low</v>
      </c>
      <c r="L455" s="11" t="s">
        <v>20</v>
      </c>
      <c r="M455" s="14">
        <v>45577</v>
      </c>
      <c r="N455" s="14" t="str">
        <f t="shared" si="68"/>
        <v>12/10/2024</v>
      </c>
      <c r="O455" s="14" t="str">
        <f t="shared" si="69"/>
        <v>2024</v>
      </c>
      <c r="P455" s="11" t="s">
        <v>1302</v>
      </c>
      <c r="Q455" s="11" t="s">
        <v>48</v>
      </c>
      <c r="R455" s="11">
        <v>10</v>
      </c>
      <c r="S455" s="11" t="str">
        <f t="shared" si="70"/>
        <v>9 - 12 yrs</v>
      </c>
      <c r="T455" s="12">
        <v>55.9</v>
      </c>
      <c r="U455" s="11" t="str">
        <f t="shared" si="63"/>
        <v>(51 - 100)</v>
      </c>
      <c r="V455" s="12">
        <f t="shared" si="64"/>
        <v>19.205776173285198</v>
      </c>
      <c r="W455" s="12">
        <f t="shared" si="65"/>
        <v>33.550751879699249</v>
      </c>
      <c r="X455" s="12">
        <f t="shared" si="66"/>
        <v>0.10507518796992481</v>
      </c>
    </row>
    <row r="456" spans="1:24">
      <c r="A456" s="11">
        <v>455</v>
      </c>
      <c r="B456" s="11" t="s">
        <v>2516</v>
      </c>
      <c r="C456" s="11" t="s">
        <v>32</v>
      </c>
      <c r="D456" s="11" t="s">
        <v>33</v>
      </c>
      <c r="E456" s="12">
        <v>68.900000000000006</v>
      </c>
      <c r="F456" s="11" t="s">
        <v>2643</v>
      </c>
      <c r="G456" s="11" t="str">
        <f t="shared" si="71"/>
        <v>Litres</v>
      </c>
      <c r="H456" s="13">
        <v>392</v>
      </c>
      <c r="I456" s="11" t="s">
        <v>19</v>
      </c>
      <c r="J456" s="12">
        <v>10093</v>
      </c>
      <c r="K456" s="12" t="str">
        <f t="shared" si="67"/>
        <v>Very Low</v>
      </c>
      <c r="L456" s="11" t="s">
        <v>20</v>
      </c>
      <c r="M456" s="14">
        <v>45567</v>
      </c>
      <c r="N456" s="14" t="str">
        <f t="shared" si="68"/>
        <v>02/10/2024</v>
      </c>
      <c r="O456" s="14" t="str">
        <f t="shared" si="69"/>
        <v>2024</v>
      </c>
      <c r="P456" s="11" t="s">
        <v>719</v>
      </c>
      <c r="Q456" s="11" t="s">
        <v>112</v>
      </c>
      <c r="R456" s="11">
        <v>14</v>
      </c>
      <c r="S456" s="11" t="str">
        <f t="shared" si="70"/>
        <v>13 - 16 yrs</v>
      </c>
      <c r="T456" s="12">
        <v>218.9</v>
      </c>
      <c r="U456" s="11" t="str">
        <f t="shared" si="63"/>
        <v>(201 - 250)</v>
      </c>
      <c r="V456" s="12">
        <f t="shared" si="64"/>
        <v>5.6894049346879534</v>
      </c>
      <c r="W456" s="12">
        <f t="shared" si="65"/>
        <v>25.747448979591837</v>
      </c>
      <c r="X456" s="12">
        <f t="shared" si="66"/>
        <v>0.55841836734693884</v>
      </c>
    </row>
    <row r="457" spans="1:24">
      <c r="A457" s="11">
        <v>456</v>
      </c>
      <c r="B457" s="11" t="s">
        <v>1305</v>
      </c>
      <c r="C457" s="11" t="s">
        <v>39</v>
      </c>
      <c r="D457" s="11" t="s">
        <v>114</v>
      </c>
      <c r="E457" s="12">
        <v>16.600000000000001</v>
      </c>
      <c r="F457" s="11" t="s">
        <v>56</v>
      </c>
      <c r="G457" s="11" t="str">
        <f t="shared" si="71"/>
        <v>Litres</v>
      </c>
      <c r="H457" s="13">
        <v>276</v>
      </c>
      <c r="I457" s="11" t="s">
        <v>19</v>
      </c>
      <c r="J457" s="12">
        <v>61185</v>
      </c>
      <c r="K457" s="12" t="str">
        <f t="shared" si="67"/>
        <v>Moderate</v>
      </c>
      <c r="L457" s="11" t="s">
        <v>20</v>
      </c>
      <c r="M457" s="14">
        <v>45091</v>
      </c>
      <c r="N457" s="14" t="str">
        <f t="shared" si="68"/>
        <v>14/06/2023</v>
      </c>
      <c r="O457" s="14" t="str">
        <f t="shared" si="69"/>
        <v>2023</v>
      </c>
      <c r="P457" s="11" t="s">
        <v>1307</v>
      </c>
      <c r="Q457" s="11" t="s">
        <v>86</v>
      </c>
      <c r="R457" s="11">
        <v>20</v>
      </c>
      <c r="S457" s="11" t="str">
        <f t="shared" si="70"/>
        <v>17 + yrs</v>
      </c>
      <c r="T457" s="12">
        <v>35.700000000000003</v>
      </c>
      <c r="U457" s="11" t="str">
        <f t="shared" si="63"/>
        <v>(0 - 50)</v>
      </c>
      <c r="V457" s="12">
        <f t="shared" si="64"/>
        <v>16.626506024096383</v>
      </c>
      <c r="W457" s="12">
        <f t="shared" si="65"/>
        <v>221.68478260869566</v>
      </c>
      <c r="X457" s="12">
        <f t="shared" si="66"/>
        <v>0.12934782608695652</v>
      </c>
    </row>
    <row r="458" spans="1:24">
      <c r="A458" s="11">
        <v>457</v>
      </c>
      <c r="B458" s="11" t="s">
        <v>613</v>
      </c>
      <c r="C458" s="11" t="s">
        <v>16</v>
      </c>
      <c r="D458" s="11" t="s">
        <v>17</v>
      </c>
      <c r="E458" s="12">
        <v>14.4</v>
      </c>
      <c r="F458" s="11" t="s">
        <v>26</v>
      </c>
      <c r="G458" s="11" t="str">
        <f t="shared" si="71"/>
        <v>Litres</v>
      </c>
      <c r="H458" s="13">
        <v>522</v>
      </c>
      <c r="I458" s="11" t="s">
        <v>19</v>
      </c>
      <c r="J458" s="12">
        <v>85027</v>
      </c>
      <c r="K458" s="12" t="str">
        <f t="shared" si="67"/>
        <v>High</v>
      </c>
      <c r="L458" s="11" t="s">
        <v>20</v>
      </c>
      <c r="M458" s="14">
        <v>45374</v>
      </c>
      <c r="N458" s="14" t="str">
        <f t="shared" si="68"/>
        <v>23/03/2024</v>
      </c>
      <c r="O458" s="14" t="str">
        <f t="shared" si="69"/>
        <v>2024</v>
      </c>
      <c r="P458" s="11" t="s">
        <v>1309</v>
      </c>
      <c r="Q458" s="11" t="s">
        <v>69</v>
      </c>
      <c r="R458" s="11">
        <v>13</v>
      </c>
      <c r="S458" s="11" t="str">
        <f t="shared" si="70"/>
        <v>13 - 16 yrs</v>
      </c>
      <c r="T458" s="12">
        <v>32.5</v>
      </c>
      <c r="U458" s="11" t="str">
        <f t="shared" si="63"/>
        <v>(0 - 50)</v>
      </c>
      <c r="V458" s="12">
        <f t="shared" si="64"/>
        <v>36.25</v>
      </c>
      <c r="W458" s="12">
        <f t="shared" si="65"/>
        <v>162.88697318007664</v>
      </c>
      <c r="X458" s="12">
        <f t="shared" si="66"/>
        <v>6.2260536398467431E-2</v>
      </c>
    </row>
    <row r="459" spans="1:24">
      <c r="A459" s="11">
        <v>458</v>
      </c>
      <c r="B459" s="11" t="s">
        <v>1310</v>
      </c>
      <c r="C459" s="11" t="s">
        <v>32</v>
      </c>
      <c r="D459" s="11" t="s">
        <v>33</v>
      </c>
      <c r="E459" s="12">
        <v>70.900000000000006</v>
      </c>
      <c r="F459" s="11" t="s">
        <v>41</v>
      </c>
      <c r="G459" s="11" t="str">
        <f t="shared" si="71"/>
        <v>Litres</v>
      </c>
      <c r="H459" s="13">
        <v>567</v>
      </c>
      <c r="I459" s="11" t="s">
        <v>19</v>
      </c>
      <c r="J459" s="12">
        <v>40361</v>
      </c>
      <c r="K459" s="12" t="str">
        <f t="shared" si="67"/>
        <v>Medium</v>
      </c>
      <c r="L459" s="11" t="s">
        <v>20</v>
      </c>
      <c r="M459" s="14">
        <v>44970</v>
      </c>
      <c r="N459" s="14" t="str">
        <f t="shared" si="68"/>
        <v>13/02/2023</v>
      </c>
      <c r="O459" s="14" t="str">
        <f t="shared" si="69"/>
        <v>2023</v>
      </c>
      <c r="P459" s="11" t="s">
        <v>1312</v>
      </c>
      <c r="Q459" s="11" t="s">
        <v>54</v>
      </c>
      <c r="R459" s="11">
        <v>20</v>
      </c>
      <c r="S459" s="11" t="str">
        <f t="shared" si="70"/>
        <v>17 + yrs</v>
      </c>
      <c r="T459" s="12">
        <v>181.7</v>
      </c>
      <c r="U459" s="11" t="str">
        <f t="shared" si="63"/>
        <v>(151 - 200)</v>
      </c>
      <c r="V459" s="12">
        <f t="shared" si="64"/>
        <v>7.9971791255289135</v>
      </c>
      <c r="W459" s="12">
        <f t="shared" si="65"/>
        <v>71.183421516754848</v>
      </c>
      <c r="X459" s="12">
        <f t="shared" si="66"/>
        <v>0.32045855379188709</v>
      </c>
    </row>
    <row r="460" spans="1:24">
      <c r="A460" s="11">
        <v>459</v>
      </c>
      <c r="B460" s="11" t="s">
        <v>1313</v>
      </c>
      <c r="C460" s="11" t="s">
        <v>32</v>
      </c>
      <c r="D460" s="11" t="s">
        <v>17</v>
      </c>
      <c r="E460" s="12">
        <v>87.3</v>
      </c>
      <c r="F460" s="11" t="s">
        <v>62</v>
      </c>
      <c r="G460" s="11" t="str">
        <f t="shared" si="71"/>
        <v>kWh</v>
      </c>
      <c r="H460" s="13">
        <v>94</v>
      </c>
      <c r="I460" s="11" t="s">
        <v>19</v>
      </c>
      <c r="J460" s="12">
        <v>63420</v>
      </c>
      <c r="K460" s="12" t="str">
        <f t="shared" si="67"/>
        <v>Moderate</v>
      </c>
      <c r="L460" s="11" t="s">
        <v>20</v>
      </c>
      <c r="M460" s="14">
        <v>45010</v>
      </c>
      <c r="N460" s="14" t="str">
        <f t="shared" si="68"/>
        <v>25/03/2023</v>
      </c>
      <c r="O460" s="14" t="str">
        <f t="shared" si="69"/>
        <v>2023</v>
      </c>
      <c r="P460" s="11" t="s">
        <v>1315</v>
      </c>
      <c r="Q460" s="11" t="s">
        <v>112</v>
      </c>
      <c r="R460" s="11">
        <v>5</v>
      </c>
      <c r="S460" s="11" t="str">
        <f t="shared" si="70"/>
        <v>5 - 8 yrs</v>
      </c>
      <c r="T460" s="12">
        <v>269.60000000000002</v>
      </c>
      <c r="U460" s="11" t="str">
        <f t="shared" si="63"/>
        <v>(251 - 300)</v>
      </c>
      <c r="V460" s="12">
        <f t="shared" si="64"/>
        <v>1.0767468499427262</v>
      </c>
      <c r="W460" s="12">
        <f t="shared" si="65"/>
        <v>674.68085106382978</v>
      </c>
      <c r="X460" s="12">
        <f t="shared" si="66"/>
        <v>2.8680851063829791</v>
      </c>
    </row>
    <row r="461" spans="1:24">
      <c r="A461" s="11">
        <v>460</v>
      </c>
      <c r="B461" s="11" t="s">
        <v>1162</v>
      </c>
      <c r="C461" s="11" t="s">
        <v>50</v>
      </c>
      <c r="D461" s="11" t="s">
        <v>61</v>
      </c>
      <c r="E461" s="12">
        <v>10</v>
      </c>
      <c r="F461" s="11" t="s">
        <v>2643</v>
      </c>
      <c r="G461" s="11" t="str">
        <f t="shared" si="71"/>
        <v>Litres</v>
      </c>
      <c r="H461" s="13">
        <v>135</v>
      </c>
      <c r="I461" s="11" t="s">
        <v>19</v>
      </c>
      <c r="J461" s="12">
        <v>28299</v>
      </c>
      <c r="K461" s="12" t="str">
        <f t="shared" si="67"/>
        <v>Low</v>
      </c>
      <c r="L461" s="11" t="s">
        <v>20</v>
      </c>
      <c r="M461" s="14">
        <v>45557</v>
      </c>
      <c r="N461" s="14" t="str">
        <f t="shared" si="68"/>
        <v>22/09/2024</v>
      </c>
      <c r="O461" s="14" t="str">
        <f t="shared" si="69"/>
        <v>2024</v>
      </c>
      <c r="P461" s="11" t="s">
        <v>880</v>
      </c>
      <c r="Q461" s="11" t="s">
        <v>48</v>
      </c>
      <c r="R461" s="11">
        <v>8</v>
      </c>
      <c r="S461" s="11" t="str">
        <f t="shared" si="70"/>
        <v>5 - 8 yrs</v>
      </c>
      <c r="T461" s="12">
        <v>0</v>
      </c>
      <c r="U461" s="11" t="str">
        <f t="shared" si="63"/>
        <v>(0 - 50)</v>
      </c>
      <c r="V461" s="12">
        <f t="shared" si="64"/>
        <v>13.5</v>
      </c>
      <c r="W461" s="12">
        <f t="shared" si="65"/>
        <v>209.62222222222223</v>
      </c>
      <c r="X461" s="12">
        <f t="shared" si="66"/>
        <v>0</v>
      </c>
    </row>
    <row r="462" spans="1:24">
      <c r="A462" s="11">
        <v>461</v>
      </c>
      <c r="B462" s="11" t="s">
        <v>1316</v>
      </c>
      <c r="C462" s="11" t="s">
        <v>39</v>
      </c>
      <c r="D462" s="11" t="s">
        <v>33</v>
      </c>
      <c r="E462" s="12">
        <v>65.599999999999994</v>
      </c>
      <c r="F462" s="11" t="s">
        <v>62</v>
      </c>
      <c r="G462" s="11" t="str">
        <f t="shared" si="71"/>
        <v>kWh</v>
      </c>
      <c r="H462" s="13">
        <v>615</v>
      </c>
      <c r="I462" s="11" t="s">
        <v>19</v>
      </c>
      <c r="J462" s="12">
        <v>110943</v>
      </c>
      <c r="K462" s="12" t="str">
        <f t="shared" si="67"/>
        <v>Extreme</v>
      </c>
      <c r="L462" s="11" t="s">
        <v>20</v>
      </c>
      <c r="M462" s="14">
        <v>45631</v>
      </c>
      <c r="N462" s="14" t="str">
        <f t="shared" si="68"/>
        <v>05/12/2024</v>
      </c>
      <c r="O462" s="14" t="str">
        <f t="shared" si="69"/>
        <v>2024</v>
      </c>
      <c r="P462" s="11" t="s">
        <v>883</v>
      </c>
      <c r="Q462" s="11" t="s">
        <v>59</v>
      </c>
      <c r="R462" s="11">
        <v>2</v>
      </c>
      <c r="S462" s="11" t="str">
        <f t="shared" si="70"/>
        <v>0 - 4 yrs</v>
      </c>
      <c r="T462" s="12">
        <v>168.4</v>
      </c>
      <c r="U462" s="11" t="str">
        <f t="shared" si="63"/>
        <v>(151 - 200)</v>
      </c>
      <c r="V462" s="12">
        <f t="shared" si="64"/>
        <v>9.375</v>
      </c>
      <c r="W462" s="12">
        <f t="shared" si="65"/>
        <v>180.39512195121952</v>
      </c>
      <c r="X462" s="12">
        <f t="shared" si="66"/>
        <v>0.2738211382113821</v>
      </c>
    </row>
    <row r="463" spans="1:24">
      <c r="A463" s="11">
        <v>462</v>
      </c>
      <c r="B463" s="11" t="s">
        <v>1318</v>
      </c>
      <c r="C463" s="11" t="s">
        <v>50</v>
      </c>
      <c r="D463" s="11" t="s">
        <v>17</v>
      </c>
      <c r="E463" s="12">
        <v>26.5</v>
      </c>
      <c r="F463" s="11" t="s">
        <v>41</v>
      </c>
      <c r="G463" s="11" t="str">
        <f t="shared" si="71"/>
        <v>Litres</v>
      </c>
      <c r="H463" s="13">
        <v>83</v>
      </c>
      <c r="I463" s="11" t="s">
        <v>19</v>
      </c>
      <c r="J463" s="12">
        <v>52192</v>
      </c>
      <c r="K463" s="12" t="str">
        <f t="shared" si="67"/>
        <v>Medium</v>
      </c>
      <c r="L463" s="11" t="s">
        <v>20</v>
      </c>
      <c r="M463" s="14">
        <v>45964</v>
      </c>
      <c r="N463" s="14" t="str">
        <f t="shared" si="68"/>
        <v>03/11/2025</v>
      </c>
      <c r="O463" s="14" t="str">
        <f t="shared" si="69"/>
        <v>2025</v>
      </c>
      <c r="P463" s="11" t="s">
        <v>1320</v>
      </c>
      <c r="Q463" s="11" t="s">
        <v>54</v>
      </c>
      <c r="R463" s="11">
        <v>13</v>
      </c>
      <c r="S463" s="11" t="str">
        <f t="shared" si="70"/>
        <v>13 - 16 yrs</v>
      </c>
      <c r="T463" s="12">
        <v>61.9</v>
      </c>
      <c r="U463" s="11" t="str">
        <f t="shared" si="63"/>
        <v>(51 - 100)</v>
      </c>
      <c r="V463" s="12">
        <f t="shared" si="64"/>
        <v>3.1320754716981134</v>
      </c>
      <c r="W463" s="12">
        <f t="shared" si="65"/>
        <v>628.81927710843377</v>
      </c>
      <c r="X463" s="12">
        <f t="shared" si="66"/>
        <v>0.74578313253012052</v>
      </c>
    </row>
    <row r="464" spans="1:24">
      <c r="A464" s="11">
        <v>463</v>
      </c>
      <c r="B464" s="11" t="s">
        <v>2517</v>
      </c>
      <c r="C464" s="11" t="s">
        <v>39</v>
      </c>
      <c r="D464" s="11" t="s">
        <v>17</v>
      </c>
      <c r="E464" s="12">
        <v>32.5</v>
      </c>
      <c r="F464" s="11" t="s">
        <v>41</v>
      </c>
      <c r="G464" s="11" t="str">
        <f t="shared" si="71"/>
        <v>Litres</v>
      </c>
      <c r="H464" s="13">
        <v>616</v>
      </c>
      <c r="I464" s="11" t="s">
        <v>19</v>
      </c>
      <c r="J464" s="12">
        <v>59479</v>
      </c>
      <c r="K464" s="12" t="str">
        <f t="shared" si="67"/>
        <v>Moderate</v>
      </c>
      <c r="L464" s="11" t="s">
        <v>20</v>
      </c>
      <c r="M464" s="14">
        <v>45294</v>
      </c>
      <c r="N464" s="14" t="str">
        <f t="shared" si="68"/>
        <v>03/01/2024</v>
      </c>
      <c r="O464" s="14" t="str">
        <f t="shared" si="69"/>
        <v>2024</v>
      </c>
      <c r="P464" s="11" t="s">
        <v>1323</v>
      </c>
      <c r="Q464" s="11" t="s">
        <v>54</v>
      </c>
      <c r="R464" s="11">
        <v>9</v>
      </c>
      <c r="S464" s="11" t="str">
        <f t="shared" si="70"/>
        <v>9 - 12 yrs</v>
      </c>
      <c r="T464" s="12">
        <v>104.9</v>
      </c>
      <c r="U464" s="11" t="str">
        <f t="shared" si="63"/>
        <v>(101 - 150)</v>
      </c>
      <c r="V464" s="12">
        <f t="shared" si="64"/>
        <v>18.953846153846154</v>
      </c>
      <c r="W464" s="12">
        <f t="shared" si="65"/>
        <v>96.556818181818187</v>
      </c>
      <c r="X464" s="12">
        <f t="shared" si="66"/>
        <v>0.1702922077922078</v>
      </c>
    </row>
    <row r="465" spans="1:24">
      <c r="A465" s="11">
        <v>464</v>
      </c>
      <c r="B465" s="11" t="s">
        <v>1162</v>
      </c>
      <c r="C465" s="11" t="s">
        <v>50</v>
      </c>
      <c r="D465" s="11" t="s">
        <v>33</v>
      </c>
      <c r="E465" s="12">
        <v>13.1</v>
      </c>
      <c r="F465" s="11" t="s">
        <v>56</v>
      </c>
      <c r="G465" s="11" t="str">
        <f t="shared" si="71"/>
        <v>Litres</v>
      </c>
      <c r="H465" s="13">
        <v>139</v>
      </c>
      <c r="I465" s="11" t="s">
        <v>19</v>
      </c>
      <c r="J465" s="12">
        <v>25359</v>
      </c>
      <c r="K465" s="12" t="str">
        <f t="shared" si="67"/>
        <v>Low</v>
      </c>
      <c r="L465" s="11" t="s">
        <v>20</v>
      </c>
      <c r="M465" s="14">
        <v>45130</v>
      </c>
      <c r="N465" s="14" t="str">
        <f t="shared" si="68"/>
        <v>23/07/2023</v>
      </c>
      <c r="O465" s="14" t="str">
        <f t="shared" si="69"/>
        <v>2023</v>
      </c>
      <c r="P465" s="11" t="s">
        <v>1121</v>
      </c>
      <c r="Q465" s="11" t="s">
        <v>59</v>
      </c>
      <c r="R465" s="11">
        <v>8</v>
      </c>
      <c r="S465" s="11" t="str">
        <f t="shared" si="70"/>
        <v>5 - 8 yrs</v>
      </c>
      <c r="T465" s="12">
        <v>39</v>
      </c>
      <c r="U465" s="11" t="str">
        <f t="shared" si="63"/>
        <v>(0 - 50)</v>
      </c>
      <c r="V465" s="12">
        <f t="shared" si="64"/>
        <v>10.610687022900764</v>
      </c>
      <c r="W465" s="12">
        <f t="shared" si="65"/>
        <v>182.43884892086331</v>
      </c>
      <c r="X465" s="12">
        <f t="shared" si="66"/>
        <v>0.2805755395683453</v>
      </c>
    </row>
    <row r="466" spans="1:24">
      <c r="A466" s="11">
        <v>465</v>
      </c>
      <c r="B466" s="11" t="s">
        <v>2518</v>
      </c>
      <c r="C466" s="11" t="s">
        <v>50</v>
      </c>
      <c r="D466" s="11" t="s">
        <v>17</v>
      </c>
      <c r="E466" s="12">
        <v>73</v>
      </c>
      <c r="F466" s="11" t="s">
        <v>26</v>
      </c>
      <c r="G466" s="11" t="str">
        <f t="shared" si="71"/>
        <v>Litres</v>
      </c>
      <c r="H466" s="13">
        <v>608</v>
      </c>
      <c r="I466" s="11" t="s">
        <v>19</v>
      </c>
      <c r="J466" s="12">
        <v>102552</v>
      </c>
      <c r="K466" s="12" t="str">
        <f t="shared" si="67"/>
        <v>Very High</v>
      </c>
      <c r="L466" s="11" t="s">
        <v>20</v>
      </c>
      <c r="M466" s="14">
        <v>45468</v>
      </c>
      <c r="N466" s="14" t="str">
        <f t="shared" si="68"/>
        <v>25/06/2024</v>
      </c>
      <c r="O466" s="14" t="str">
        <f t="shared" si="69"/>
        <v>2024</v>
      </c>
      <c r="P466" s="11" t="s">
        <v>1327</v>
      </c>
      <c r="Q466" s="11" t="s">
        <v>441</v>
      </c>
      <c r="R466" s="11">
        <v>3</v>
      </c>
      <c r="S466" s="11" t="str">
        <f t="shared" si="70"/>
        <v>0 - 4 yrs</v>
      </c>
      <c r="T466" s="12">
        <v>230.1</v>
      </c>
      <c r="U466" s="11" t="str">
        <f t="shared" si="63"/>
        <v>(201 - 250)</v>
      </c>
      <c r="V466" s="12">
        <f t="shared" si="64"/>
        <v>8.3287671232876708</v>
      </c>
      <c r="W466" s="12">
        <f t="shared" si="65"/>
        <v>168.67105263157896</v>
      </c>
      <c r="X466" s="12">
        <f t="shared" si="66"/>
        <v>0.37845394736842103</v>
      </c>
    </row>
    <row r="467" spans="1:24">
      <c r="A467" s="11">
        <v>466</v>
      </c>
      <c r="B467" s="11" t="s">
        <v>1328</v>
      </c>
      <c r="C467" s="11" t="s">
        <v>50</v>
      </c>
      <c r="D467" s="11" t="s">
        <v>61</v>
      </c>
      <c r="E467" s="12">
        <v>10</v>
      </c>
      <c r="F467" s="11" t="s">
        <v>2643</v>
      </c>
      <c r="G467" s="11" t="str">
        <f t="shared" si="71"/>
        <v>Litres</v>
      </c>
      <c r="H467" s="13">
        <v>198</v>
      </c>
      <c r="I467" s="11" t="s">
        <v>19</v>
      </c>
      <c r="J467" s="12">
        <v>96016</v>
      </c>
      <c r="K467" s="12" t="str">
        <f t="shared" si="67"/>
        <v>Very High</v>
      </c>
      <c r="L467" s="11" t="s">
        <v>20</v>
      </c>
      <c r="M467" s="14">
        <v>45707</v>
      </c>
      <c r="N467" s="14" t="str">
        <f t="shared" si="68"/>
        <v>19/02/2025</v>
      </c>
      <c r="O467" s="14" t="str">
        <f t="shared" si="69"/>
        <v>2025</v>
      </c>
      <c r="P467" s="11" t="s">
        <v>89</v>
      </c>
      <c r="Q467" s="11" t="s">
        <v>117</v>
      </c>
      <c r="R467" s="11">
        <v>12</v>
      </c>
      <c r="S467" s="11" t="str">
        <f t="shared" si="70"/>
        <v>9 - 12 yrs</v>
      </c>
      <c r="T467" s="12">
        <v>0</v>
      </c>
      <c r="U467" s="11" t="str">
        <f t="shared" si="63"/>
        <v>(0 - 50)</v>
      </c>
      <c r="V467" s="12">
        <f t="shared" si="64"/>
        <v>19.8</v>
      </c>
      <c r="W467" s="12">
        <f t="shared" si="65"/>
        <v>484.92929292929296</v>
      </c>
      <c r="X467" s="12">
        <f t="shared" si="66"/>
        <v>0</v>
      </c>
    </row>
    <row r="468" spans="1:24">
      <c r="A468" s="11">
        <v>467</v>
      </c>
      <c r="B468" s="11" t="s">
        <v>1330</v>
      </c>
      <c r="C468" s="11" t="s">
        <v>32</v>
      </c>
      <c r="D468" s="11" t="s">
        <v>33</v>
      </c>
      <c r="E468" s="12">
        <v>45.3</v>
      </c>
      <c r="F468" s="11" t="s">
        <v>2643</v>
      </c>
      <c r="G468" s="11" t="str">
        <f t="shared" si="71"/>
        <v>Litres</v>
      </c>
      <c r="H468" s="13">
        <v>557</v>
      </c>
      <c r="I468" s="11" t="s">
        <v>19</v>
      </c>
      <c r="J468" s="12">
        <v>19695</v>
      </c>
      <c r="K468" s="12" t="str">
        <f t="shared" si="67"/>
        <v>Low</v>
      </c>
      <c r="L468" s="11" t="s">
        <v>20</v>
      </c>
      <c r="M468" s="14">
        <v>45523</v>
      </c>
      <c r="N468" s="14" t="str">
        <f t="shared" si="68"/>
        <v>19/08/2024</v>
      </c>
      <c r="O468" s="14" t="str">
        <f t="shared" si="69"/>
        <v>2024</v>
      </c>
      <c r="P468" s="11" t="s">
        <v>1332</v>
      </c>
      <c r="Q468" s="11" t="s">
        <v>117</v>
      </c>
      <c r="R468" s="11">
        <v>1</v>
      </c>
      <c r="S468" s="11" t="str">
        <f t="shared" si="70"/>
        <v>0 - 4 yrs</v>
      </c>
      <c r="T468" s="12">
        <v>145.69999999999999</v>
      </c>
      <c r="U468" s="11" t="str">
        <f t="shared" si="63"/>
        <v>(101 - 150)</v>
      </c>
      <c r="V468" s="12">
        <f t="shared" si="64"/>
        <v>12.29580573951435</v>
      </c>
      <c r="W468" s="12">
        <f t="shared" si="65"/>
        <v>35.359066427289051</v>
      </c>
      <c r="X468" s="12">
        <f t="shared" si="66"/>
        <v>0.26157989228007178</v>
      </c>
    </row>
    <row r="469" spans="1:24">
      <c r="A469" s="11">
        <v>468</v>
      </c>
      <c r="B469" s="11" t="s">
        <v>1333</v>
      </c>
      <c r="C469" s="11" t="s">
        <v>39</v>
      </c>
      <c r="D469" s="11" t="s">
        <v>33</v>
      </c>
      <c r="E469" s="12">
        <v>70.5</v>
      </c>
      <c r="F469" s="11" t="s">
        <v>2643</v>
      </c>
      <c r="G469" s="11" t="str">
        <f t="shared" si="71"/>
        <v>Litres</v>
      </c>
      <c r="H469" s="13">
        <v>60</v>
      </c>
      <c r="I469" s="11" t="s">
        <v>19</v>
      </c>
      <c r="J469" s="12">
        <v>63259</v>
      </c>
      <c r="K469" s="12" t="str">
        <f t="shared" si="67"/>
        <v>Moderate</v>
      </c>
      <c r="L469" s="11" t="s">
        <v>20</v>
      </c>
      <c r="M469" s="14">
        <v>45122</v>
      </c>
      <c r="N469" s="14" t="str">
        <f t="shared" si="68"/>
        <v>15/07/2023</v>
      </c>
      <c r="O469" s="14" t="str">
        <f t="shared" si="69"/>
        <v>2023</v>
      </c>
      <c r="P469" s="11" t="s">
        <v>1335</v>
      </c>
      <c r="Q469" s="11" t="s">
        <v>59</v>
      </c>
      <c r="R469" s="11">
        <v>9</v>
      </c>
      <c r="S469" s="11" t="str">
        <f t="shared" si="70"/>
        <v>9 - 12 yrs</v>
      </c>
      <c r="T469" s="12">
        <v>175.9</v>
      </c>
      <c r="U469" s="11" t="str">
        <f t="shared" si="63"/>
        <v>(151 - 200)</v>
      </c>
      <c r="V469" s="12">
        <f t="shared" si="64"/>
        <v>0.85106382978723405</v>
      </c>
      <c r="W469" s="12">
        <f t="shared" si="65"/>
        <v>1054.3166666666666</v>
      </c>
      <c r="X469" s="12">
        <f t="shared" si="66"/>
        <v>2.9316666666666666</v>
      </c>
    </row>
    <row r="470" spans="1:24">
      <c r="A470" s="11">
        <v>469</v>
      </c>
      <c r="B470" s="11" t="s">
        <v>2519</v>
      </c>
      <c r="C470" s="11" t="s">
        <v>39</v>
      </c>
      <c r="D470" s="11" t="s">
        <v>33</v>
      </c>
      <c r="E470" s="12">
        <v>49</v>
      </c>
      <c r="F470" s="11" t="s">
        <v>41</v>
      </c>
      <c r="G470" s="11" t="str">
        <f t="shared" si="71"/>
        <v>Litres</v>
      </c>
      <c r="H470" s="13">
        <v>699</v>
      </c>
      <c r="I470" s="11" t="s">
        <v>19</v>
      </c>
      <c r="J470" s="12">
        <v>117761</v>
      </c>
      <c r="K470" s="12" t="str">
        <f t="shared" si="67"/>
        <v>Extreme</v>
      </c>
      <c r="L470" s="11" t="s">
        <v>20</v>
      </c>
      <c r="M470" s="14">
        <v>44960</v>
      </c>
      <c r="N470" s="14" t="str">
        <f t="shared" si="68"/>
        <v>03/02/2023</v>
      </c>
      <c r="O470" s="14" t="str">
        <f t="shared" si="69"/>
        <v>2023</v>
      </c>
      <c r="P470" s="11" t="s">
        <v>1338</v>
      </c>
      <c r="Q470" s="11" t="s">
        <v>86</v>
      </c>
      <c r="R470" s="11">
        <v>18</v>
      </c>
      <c r="S470" s="11" t="str">
        <f t="shared" si="70"/>
        <v>17 + yrs</v>
      </c>
      <c r="T470" s="12">
        <v>98.9</v>
      </c>
      <c r="U470" s="11" t="str">
        <f t="shared" si="63"/>
        <v>(51 - 100)</v>
      </c>
      <c r="V470" s="12">
        <f t="shared" si="64"/>
        <v>14.26530612244898</v>
      </c>
      <c r="W470" s="12">
        <f t="shared" si="65"/>
        <v>168.47067238912732</v>
      </c>
      <c r="X470" s="12">
        <f t="shared" si="66"/>
        <v>0.14148783977110158</v>
      </c>
    </row>
    <row r="471" spans="1:24">
      <c r="A471" s="11">
        <v>470</v>
      </c>
      <c r="B471" s="11" t="s">
        <v>1294</v>
      </c>
      <c r="C471" s="11" t="s">
        <v>39</v>
      </c>
      <c r="D471" s="11" t="s">
        <v>17</v>
      </c>
      <c r="E471" s="12">
        <v>17.899999999999999</v>
      </c>
      <c r="F471" s="11" t="s">
        <v>56</v>
      </c>
      <c r="G471" s="11" t="str">
        <f t="shared" si="71"/>
        <v>Litres</v>
      </c>
      <c r="H471" s="13">
        <v>80</v>
      </c>
      <c r="I471" s="11" t="s">
        <v>19</v>
      </c>
      <c r="J471" s="12">
        <v>63044</v>
      </c>
      <c r="K471" s="12" t="str">
        <f t="shared" si="67"/>
        <v>Moderate</v>
      </c>
      <c r="L471" s="11" t="s">
        <v>20</v>
      </c>
      <c r="M471" s="14">
        <v>45810</v>
      </c>
      <c r="N471" s="14" t="str">
        <f t="shared" si="68"/>
        <v>02/06/2025</v>
      </c>
      <c r="O471" s="14" t="str">
        <f t="shared" si="69"/>
        <v>2025</v>
      </c>
      <c r="P471" s="11" t="s">
        <v>1340</v>
      </c>
      <c r="Q471" s="11" t="s">
        <v>86</v>
      </c>
      <c r="R471" s="11">
        <v>8</v>
      </c>
      <c r="S471" s="11" t="str">
        <f t="shared" si="70"/>
        <v>5 - 8 yrs</v>
      </c>
      <c r="T471" s="12">
        <v>57.7</v>
      </c>
      <c r="U471" s="11" t="str">
        <f t="shared" si="63"/>
        <v>(51 - 100)</v>
      </c>
      <c r="V471" s="12">
        <f t="shared" si="64"/>
        <v>4.4692737430167604</v>
      </c>
      <c r="W471" s="12">
        <f t="shared" si="65"/>
        <v>788.05</v>
      </c>
      <c r="X471" s="12">
        <f t="shared" si="66"/>
        <v>0.72125000000000006</v>
      </c>
    </row>
    <row r="472" spans="1:24">
      <c r="A472" s="11">
        <v>471</v>
      </c>
      <c r="B472" s="11" t="s">
        <v>1341</v>
      </c>
      <c r="C472" s="11" t="s">
        <v>50</v>
      </c>
      <c r="D472" s="11" t="s">
        <v>17</v>
      </c>
      <c r="E472" s="12">
        <v>3.6</v>
      </c>
      <c r="F472" s="11" t="s">
        <v>41</v>
      </c>
      <c r="G472" s="11" t="str">
        <f t="shared" si="71"/>
        <v>Litres</v>
      </c>
      <c r="H472" s="13">
        <v>483</v>
      </c>
      <c r="I472" s="11" t="s">
        <v>19</v>
      </c>
      <c r="J472" s="12">
        <v>83954</v>
      </c>
      <c r="K472" s="12" t="str">
        <f t="shared" si="67"/>
        <v>High</v>
      </c>
      <c r="L472" s="11" t="s">
        <v>20</v>
      </c>
      <c r="M472" s="14">
        <v>45549</v>
      </c>
      <c r="N472" s="14" t="str">
        <f t="shared" si="68"/>
        <v>14/09/2024</v>
      </c>
      <c r="O472" s="14" t="str">
        <f t="shared" si="69"/>
        <v>2024</v>
      </c>
      <c r="P472" s="11" t="s">
        <v>47</v>
      </c>
      <c r="Q472" s="11" t="s">
        <v>86</v>
      </c>
      <c r="R472" s="11">
        <v>7</v>
      </c>
      <c r="S472" s="11" t="str">
        <f t="shared" si="70"/>
        <v>5 - 8 yrs</v>
      </c>
      <c r="T472" s="12">
        <v>10.8</v>
      </c>
      <c r="U472" s="11" t="str">
        <f t="shared" si="63"/>
        <v>(0 - 50)</v>
      </c>
      <c r="V472" s="12">
        <f t="shared" si="64"/>
        <v>134.16666666666666</v>
      </c>
      <c r="W472" s="12">
        <f t="shared" si="65"/>
        <v>173.81780538302277</v>
      </c>
      <c r="X472" s="12">
        <f t="shared" si="66"/>
        <v>2.236024844720497E-2</v>
      </c>
    </row>
    <row r="473" spans="1:24">
      <c r="A473" s="11">
        <v>472</v>
      </c>
      <c r="B473" s="11" t="s">
        <v>1343</v>
      </c>
      <c r="C473" s="11" t="s">
        <v>32</v>
      </c>
      <c r="D473" s="11" t="s">
        <v>33</v>
      </c>
      <c r="E473" s="12">
        <v>61.3</v>
      </c>
      <c r="F473" s="11" t="s">
        <v>26</v>
      </c>
      <c r="G473" s="11" t="str">
        <f t="shared" si="71"/>
        <v>Litres</v>
      </c>
      <c r="H473" s="13">
        <v>239</v>
      </c>
      <c r="I473" s="11" t="s">
        <v>19</v>
      </c>
      <c r="J473" s="12">
        <v>69264</v>
      </c>
      <c r="K473" s="12" t="str">
        <f t="shared" si="67"/>
        <v>Moderate</v>
      </c>
      <c r="L473" s="11" t="s">
        <v>20</v>
      </c>
      <c r="M473" s="14">
        <v>45042</v>
      </c>
      <c r="N473" s="14" t="str">
        <f t="shared" si="68"/>
        <v>26/04/2023</v>
      </c>
      <c r="O473" s="14" t="str">
        <f t="shared" si="69"/>
        <v>2023</v>
      </c>
      <c r="P473" s="11" t="s">
        <v>1345</v>
      </c>
      <c r="Q473" s="11" t="s">
        <v>117</v>
      </c>
      <c r="R473" s="11">
        <v>11</v>
      </c>
      <c r="S473" s="11" t="str">
        <f t="shared" si="70"/>
        <v>9 - 12 yrs</v>
      </c>
      <c r="T473" s="12">
        <v>190.5</v>
      </c>
      <c r="U473" s="11" t="str">
        <f t="shared" si="63"/>
        <v>(151 - 200)</v>
      </c>
      <c r="V473" s="12">
        <f t="shared" si="64"/>
        <v>3.8988580750407831</v>
      </c>
      <c r="W473" s="12">
        <f t="shared" si="65"/>
        <v>289.80753138075312</v>
      </c>
      <c r="X473" s="12">
        <f t="shared" si="66"/>
        <v>0.79707112970711302</v>
      </c>
    </row>
    <row r="474" spans="1:24">
      <c r="A474" s="11">
        <v>473</v>
      </c>
      <c r="B474" s="11" t="s">
        <v>1346</v>
      </c>
      <c r="C474" s="11" t="s">
        <v>39</v>
      </c>
      <c r="D474" s="11" t="s">
        <v>17</v>
      </c>
      <c r="E474" s="12">
        <v>65.599999999999994</v>
      </c>
      <c r="F474" s="11" t="s">
        <v>56</v>
      </c>
      <c r="G474" s="11" t="str">
        <f t="shared" si="71"/>
        <v>Litres</v>
      </c>
      <c r="H474" s="13">
        <v>693</v>
      </c>
      <c r="I474" s="11" t="s">
        <v>19</v>
      </c>
      <c r="J474" s="12">
        <v>84202</v>
      </c>
      <c r="K474" s="12" t="str">
        <f t="shared" si="67"/>
        <v>High</v>
      </c>
      <c r="L474" s="11" t="s">
        <v>20</v>
      </c>
      <c r="M474" s="14">
        <v>45673</v>
      </c>
      <c r="N474" s="14" t="str">
        <f t="shared" si="68"/>
        <v>16/01/2025</v>
      </c>
      <c r="O474" s="14" t="str">
        <f t="shared" si="69"/>
        <v>2025</v>
      </c>
      <c r="P474" s="11" t="s">
        <v>1348</v>
      </c>
      <c r="Q474" s="11" t="s">
        <v>2648</v>
      </c>
      <c r="R474" s="11">
        <v>2</v>
      </c>
      <c r="S474" s="11" t="str">
        <f t="shared" si="70"/>
        <v>0 - 4 yrs</v>
      </c>
      <c r="T474" s="12">
        <v>157.30000000000001</v>
      </c>
      <c r="U474" s="11" t="str">
        <f t="shared" si="63"/>
        <v>(151 - 200)</v>
      </c>
      <c r="V474" s="12">
        <f t="shared" si="64"/>
        <v>10.564024390243903</v>
      </c>
      <c r="W474" s="12">
        <f t="shared" si="65"/>
        <v>121.5036075036075</v>
      </c>
      <c r="X474" s="12">
        <f t="shared" si="66"/>
        <v>0.22698412698412701</v>
      </c>
    </row>
    <row r="475" spans="1:24">
      <c r="A475" s="11">
        <v>474</v>
      </c>
      <c r="B475" s="11" t="s">
        <v>2520</v>
      </c>
      <c r="C475" s="11" t="s">
        <v>32</v>
      </c>
      <c r="D475" s="11" t="s">
        <v>33</v>
      </c>
      <c r="E475" s="12">
        <v>78.7</v>
      </c>
      <c r="F475" s="11" t="s">
        <v>56</v>
      </c>
      <c r="G475" s="11" t="str">
        <f t="shared" si="71"/>
        <v>Litres</v>
      </c>
      <c r="H475" s="13">
        <v>152</v>
      </c>
      <c r="I475" s="11" t="s">
        <v>19</v>
      </c>
      <c r="J475" s="12">
        <v>102090</v>
      </c>
      <c r="K475" s="12" t="str">
        <f t="shared" si="67"/>
        <v>Very High</v>
      </c>
      <c r="L475" s="11" t="s">
        <v>20</v>
      </c>
      <c r="M475" s="14">
        <v>45174</v>
      </c>
      <c r="N475" s="14" t="str">
        <f t="shared" si="68"/>
        <v>05/09/2023</v>
      </c>
      <c r="O475" s="14" t="str">
        <f t="shared" si="69"/>
        <v>2023</v>
      </c>
      <c r="P475" s="11" t="s">
        <v>664</v>
      </c>
      <c r="Q475" s="11" t="s">
        <v>86</v>
      </c>
      <c r="R475" s="11">
        <v>18</v>
      </c>
      <c r="S475" s="11" t="str">
        <f t="shared" si="70"/>
        <v>17 + yrs</v>
      </c>
      <c r="T475" s="12">
        <v>164</v>
      </c>
      <c r="U475" s="11" t="str">
        <f t="shared" si="63"/>
        <v>(151 - 200)</v>
      </c>
      <c r="V475" s="12">
        <f t="shared" si="64"/>
        <v>1.9313850063532401</v>
      </c>
      <c r="W475" s="12">
        <f t="shared" si="65"/>
        <v>671.64473684210532</v>
      </c>
      <c r="X475" s="12">
        <f t="shared" si="66"/>
        <v>1.0789473684210527</v>
      </c>
    </row>
    <row r="476" spans="1:24">
      <c r="A476" s="11">
        <v>475</v>
      </c>
      <c r="B476" s="11" t="s">
        <v>1351</v>
      </c>
      <c r="C476" s="11" t="s">
        <v>39</v>
      </c>
      <c r="D476" s="11" t="s">
        <v>33</v>
      </c>
      <c r="E476" s="12">
        <v>25.5</v>
      </c>
      <c r="F476" s="11" t="s">
        <v>41</v>
      </c>
      <c r="G476" s="11" t="str">
        <f t="shared" si="71"/>
        <v>Litres</v>
      </c>
      <c r="H476" s="13">
        <v>342</v>
      </c>
      <c r="I476" s="11" t="s">
        <v>19</v>
      </c>
      <c r="J476" s="12">
        <v>14045</v>
      </c>
      <c r="K476" s="12" t="str">
        <f t="shared" si="67"/>
        <v>Very Low</v>
      </c>
      <c r="L476" s="11" t="s">
        <v>20</v>
      </c>
      <c r="M476" s="14">
        <v>45652</v>
      </c>
      <c r="N476" s="14" t="str">
        <f t="shared" si="68"/>
        <v>26/12/2024</v>
      </c>
      <c r="O476" s="14" t="str">
        <f t="shared" si="69"/>
        <v>2024</v>
      </c>
      <c r="P476" s="11" t="s">
        <v>997</v>
      </c>
      <c r="Q476" s="11" t="s">
        <v>117</v>
      </c>
      <c r="R476" s="11">
        <v>8</v>
      </c>
      <c r="S476" s="11" t="str">
        <f t="shared" si="70"/>
        <v>5 - 8 yrs</v>
      </c>
      <c r="T476" s="12">
        <v>83.8</v>
      </c>
      <c r="U476" s="11" t="str">
        <f t="shared" si="63"/>
        <v>(51 - 100)</v>
      </c>
      <c r="V476" s="12">
        <f t="shared" si="64"/>
        <v>13.411764705882353</v>
      </c>
      <c r="W476" s="12">
        <f t="shared" si="65"/>
        <v>41.067251461988306</v>
      </c>
      <c r="X476" s="12">
        <f t="shared" si="66"/>
        <v>0.24502923976608187</v>
      </c>
    </row>
    <row r="477" spans="1:24">
      <c r="A477" s="11">
        <v>476</v>
      </c>
      <c r="B477" s="11" t="s">
        <v>1353</v>
      </c>
      <c r="C477" s="11" t="s">
        <v>16</v>
      </c>
      <c r="D477" s="11" t="s">
        <v>17</v>
      </c>
      <c r="E477" s="12">
        <v>77.599999999999994</v>
      </c>
      <c r="F477" s="11" t="s">
        <v>56</v>
      </c>
      <c r="G477" s="11" t="str">
        <f t="shared" si="71"/>
        <v>Litres</v>
      </c>
      <c r="H477" s="13">
        <v>346</v>
      </c>
      <c r="I477" s="11" t="s">
        <v>19</v>
      </c>
      <c r="J477" s="12">
        <v>62304</v>
      </c>
      <c r="K477" s="12" t="str">
        <f t="shared" si="67"/>
        <v>Moderate</v>
      </c>
      <c r="L477" s="11" t="s">
        <v>20</v>
      </c>
      <c r="M477" s="14">
        <v>45521</v>
      </c>
      <c r="N477" s="14" t="str">
        <f t="shared" si="68"/>
        <v>17/08/2024</v>
      </c>
      <c r="O477" s="14" t="str">
        <f t="shared" si="69"/>
        <v>2024</v>
      </c>
      <c r="P477" s="11" t="s">
        <v>1355</v>
      </c>
      <c r="Q477" s="11" t="s">
        <v>441</v>
      </c>
      <c r="R477" s="11">
        <v>12</v>
      </c>
      <c r="S477" s="11" t="str">
        <f t="shared" si="70"/>
        <v>9 - 12 yrs</v>
      </c>
      <c r="T477" s="12">
        <v>237.6</v>
      </c>
      <c r="U477" s="11" t="str">
        <f t="shared" si="63"/>
        <v>(201 - 250)</v>
      </c>
      <c r="V477" s="12">
        <f t="shared" si="64"/>
        <v>4.4587628865979383</v>
      </c>
      <c r="W477" s="12">
        <f t="shared" si="65"/>
        <v>180.06936416184971</v>
      </c>
      <c r="X477" s="12">
        <f t="shared" si="66"/>
        <v>0.68670520231213872</v>
      </c>
    </row>
    <row r="478" spans="1:24">
      <c r="A478" s="11">
        <v>477</v>
      </c>
      <c r="B478" s="11" t="s">
        <v>1356</v>
      </c>
      <c r="C478" s="11" t="s">
        <v>32</v>
      </c>
      <c r="D478" s="11" t="s">
        <v>61</v>
      </c>
      <c r="E478" s="12">
        <v>10</v>
      </c>
      <c r="F478" s="11" t="s">
        <v>41</v>
      </c>
      <c r="G478" s="11" t="str">
        <f t="shared" si="71"/>
        <v>Litres</v>
      </c>
      <c r="H478" s="13">
        <v>134</v>
      </c>
      <c r="I478" s="11" t="s">
        <v>19</v>
      </c>
      <c r="J478" s="12">
        <v>12627</v>
      </c>
      <c r="K478" s="12" t="str">
        <f t="shared" si="67"/>
        <v>Very Low</v>
      </c>
      <c r="L478" s="11" t="s">
        <v>20</v>
      </c>
      <c r="M478" s="14">
        <v>45564</v>
      </c>
      <c r="N478" s="14" t="str">
        <f t="shared" si="68"/>
        <v>29/09/2024</v>
      </c>
      <c r="O478" s="14" t="str">
        <f t="shared" si="69"/>
        <v>2024</v>
      </c>
      <c r="P478" s="11" t="s">
        <v>116</v>
      </c>
      <c r="Q478" s="11" t="s">
        <v>112</v>
      </c>
      <c r="R478" s="11">
        <v>14</v>
      </c>
      <c r="S478" s="11" t="str">
        <f t="shared" si="70"/>
        <v>13 - 16 yrs</v>
      </c>
      <c r="T478" s="12">
        <v>0</v>
      </c>
      <c r="U478" s="11" t="str">
        <f t="shared" si="63"/>
        <v>(0 - 50)</v>
      </c>
      <c r="V478" s="12">
        <f t="shared" si="64"/>
        <v>13.4</v>
      </c>
      <c r="W478" s="12">
        <f t="shared" si="65"/>
        <v>94.231343283582092</v>
      </c>
      <c r="X478" s="12">
        <f t="shared" si="66"/>
        <v>0</v>
      </c>
    </row>
    <row r="479" spans="1:24">
      <c r="A479" s="11">
        <v>478</v>
      </c>
      <c r="B479" s="11" t="s">
        <v>1358</v>
      </c>
      <c r="C479" s="11" t="s">
        <v>39</v>
      </c>
      <c r="D479" s="11" t="s">
        <v>33</v>
      </c>
      <c r="E479" s="12">
        <v>69.8</v>
      </c>
      <c r="F479" s="11" t="s">
        <v>56</v>
      </c>
      <c r="G479" s="11" t="str">
        <f t="shared" si="71"/>
        <v>Litres</v>
      </c>
      <c r="H479" s="13">
        <v>176</v>
      </c>
      <c r="I479" s="11" t="s">
        <v>19</v>
      </c>
      <c r="J479" s="12">
        <v>82152</v>
      </c>
      <c r="K479" s="12" t="str">
        <f t="shared" si="67"/>
        <v>High</v>
      </c>
      <c r="L479" s="11" t="s">
        <v>20</v>
      </c>
      <c r="M479" s="14">
        <v>45607</v>
      </c>
      <c r="N479" s="14" t="str">
        <f t="shared" si="68"/>
        <v>11/11/2024</v>
      </c>
      <c r="O479" s="14" t="str">
        <f t="shared" si="69"/>
        <v>2024</v>
      </c>
      <c r="P479" s="11" t="s">
        <v>703</v>
      </c>
      <c r="Q479" s="11" t="s">
        <v>2648</v>
      </c>
      <c r="R479" s="11">
        <v>13</v>
      </c>
      <c r="S479" s="11" t="str">
        <f t="shared" si="70"/>
        <v>13 - 16 yrs</v>
      </c>
      <c r="T479" s="12">
        <v>166.7</v>
      </c>
      <c r="U479" s="11" t="str">
        <f t="shared" si="63"/>
        <v>(151 - 200)</v>
      </c>
      <c r="V479" s="12">
        <f t="shared" si="64"/>
        <v>2.5214899713467052</v>
      </c>
      <c r="W479" s="12">
        <f t="shared" si="65"/>
        <v>466.77272727272725</v>
      </c>
      <c r="X479" s="12">
        <f t="shared" si="66"/>
        <v>0.94715909090909089</v>
      </c>
    </row>
    <row r="480" spans="1:24">
      <c r="A480" s="11">
        <v>479</v>
      </c>
      <c r="B480" s="11" t="s">
        <v>2521</v>
      </c>
      <c r="C480" s="11" t="s">
        <v>39</v>
      </c>
      <c r="D480" s="11" t="s">
        <v>33</v>
      </c>
      <c r="E480" s="12">
        <v>19.100000000000001</v>
      </c>
      <c r="F480" s="11" t="s">
        <v>41</v>
      </c>
      <c r="G480" s="11" t="str">
        <f t="shared" si="71"/>
        <v>Litres</v>
      </c>
      <c r="H480" s="13">
        <v>618</v>
      </c>
      <c r="I480" s="11" t="s">
        <v>19</v>
      </c>
      <c r="J480" s="12">
        <v>88816</v>
      </c>
      <c r="K480" s="12" t="str">
        <f t="shared" si="67"/>
        <v>High</v>
      </c>
      <c r="L480" s="11" t="s">
        <v>20</v>
      </c>
      <c r="M480" s="14">
        <v>44989</v>
      </c>
      <c r="N480" s="14" t="str">
        <f t="shared" si="68"/>
        <v>04/03/2023</v>
      </c>
      <c r="O480" s="14" t="str">
        <f t="shared" si="69"/>
        <v>2023</v>
      </c>
      <c r="P480" s="11" t="s">
        <v>1299</v>
      </c>
      <c r="Q480" s="11" t="s">
        <v>86</v>
      </c>
      <c r="R480" s="11">
        <v>2</v>
      </c>
      <c r="S480" s="11" t="str">
        <f t="shared" si="70"/>
        <v>0 - 4 yrs</v>
      </c>
      <c r="T480" s="12">
        <v>55</v>
      </c>
      <c r="U480" s="11" t="str">
        <f t="shared" si="63"/>
        <v>(51 - 100)</v>
      </c>
      <c r="V480" s="12">
        <f t="shared" si="64"/>
        <v>32.356020942408378</v>
      </c>
      <c r="W480" s="12">
        <f t="shared" si="65"/>
        <v>143.71521035598707</v>
      </c>
      <c r="X480" s="12">
        <f t="shared" si="66"/>
        <v>8.8996763754045305E-2</v>
      </c>
    </row>
    <row r="481" spans="1:24">
      <c r="A481" s="11">
        <v>480</v>
      </c>
      <c r="B481" s="11" t="s">
        <v>2522</v>
      </c>
      <c r="C481" s="11" t="s">
        <v>32</v>
      </c>
      <c r="D481" s="11" t="s">
        <v>61</v>
      </c>
      <c r="E481" s="12">
        <v>10</v>
      </c>
      <c r="F481" s="11" t="s">
        <v>62</v>
      </c>
      <c r="G481" s="11" t="str">
        <f t="shared" si="71"/>
        <v>kWh</v>
      </c>
      <c r="H481" s="13">
        <v>164</v>
      </c>
      <c r="I481" s="11" t="s">
        <v>19</v>
      </c>
      <c r="J481" s="12">
        <v>100909</v>
      </c>
      <c r="K481" s="12" t="str">
        <f t="shared" si="67"/>
        <v>Very High</v>
      </c>
      <c r="L481" s="11" t="s">
        <v>20</v>
      </c>
      <c r="M481" s="14">
        <v>45512</v>
      </c>
      <c r="N481" s="14" t="str">
        <f t="shared" si="68"/>
        <v>08/08/2024</v>
      </c>
      <c r="O481" s="14" t="str">
        <f t="shared" si="69"/>
        <v>2024</v>
      </c>
      <c r="P481" s="11" t="s">
        <v>1364</v>
      </c>
      <c r="Q481" s="11" t="s">
        <v>117</v>
      </c>
      <c r="R481" s="11">
        <v>7</v>
      </c>
      <c r="S481" s="11" t="str">
        <f t="shared" si="70"/>
        <v>5 - 8 yrs</v>
      </c>
      <c r="T481" s="12">
        <v>0</v>
      </c>
      <c r="U481" s="11" t="str">
        <f t="shared" ref="U481:U544" si="72">IF(T481&lt;=50,"(0 - 50)",IF(T481&lt;=100,"(51 - 100)",IF(T481&lt;=150,"(101 - 150)",IF(T481&lt;=200,"(151 - 200)",IF(T481&lt;=250,"(201 - 250)",IF(T481&lt;=300,"(251 - 300)","(301 - 350)"))))))</f>
        <v>(0 - 50)</v>
      </c>
      <c r="V481" s="12">
        <f t="shared" ref="V481:V544" si="73">H481/E481</f>
        <v>16.399999999999999</v>
      </c>
      <c r="W481" s="12">
        <f t="shared" ref="W481:W544" si="74">J481/H481</f>
        <v>615.29878048780483</v>
      </c>
      <c r="X481" s="12">
        <f t="shared" ref="X481:X544" si="75">T481/H481</f>
        <v>0</v>
      </c>
    </row>
    <row r="482" spans="1:24">
      <c r="A482" s="11">
        <v>481</v>
      </c>
      <c r="B482" s="11" t="s">
        <v>1365</v>
      </c>
      <c r="C482" s="11" t="s">
        <v>39</v>
      </c>
      <c r="D482" s="11" t="s">
        <v>17</v>
      </c>
      <c r="E482" s="12">
        <v>8</v>
      </c>
      <c r="F482" s="11" t="s">
        <v>26</v>
      </c>
      <c r="G482" s="11" t="str">
        <f t="shared" si="71"/>
        <v>Litres</v>
      </c>
      <c r="H482" s="13">
        <v>81</v>
      </c>
      <c r="I482" s="11" t="s">
        <v>19</v>
      </c>
      <c r="J482" s="12">
        <v>37069</v>
      </c>
      <c r="K482" s="12" t="str">
        <f t="shared" si="67"/>
        <v>Medium</v>
      </c>
      <c r="L482" s="11" t="s">
        <v>20</v>
      </c>
      <c r="M482" s="14">
        <v>45668</v>
      </c>
      <c r="N482" s="14" t="str">
        <f t="shared" si="68"/>
        <v>11/01/2025</v>
      </c>
      <c r="O482" s="14" t="str">
        <f t="shared" si="69"/>
        <v>2025</v>
      </c>
      <c r="P482" s="11" t="s">
        <v>904</v>
      </c>
      <c r="Q482" s="11" t="s">
        <v>48</v>
      </c>
      <c r="R482" s="11">
        <v>8</v>
      </c>
      <c r="S482" s="11" t="str">
        <f t="shared" si="70"/>
        <v>5 - 8 yrs</v>
      </c>
      <c r="T482" s="12">
        <v>18.7</v>
      </c>
      <c r="U482" s="11" t="str">
        <f t="shared" si="72"/>
        <v>(0 - 50)</v>
      </c>
      <c r="V482" s="12">
        <f t="shared" si="73"/>
        <v>10.125</v>
      </c>
      <c r="W482" s="12">
        <f t="shared" si="74"/>
        <v>457.64197530864197</v>
      </c>
      <c r="X482" s="12">
        <f t="shared" si="75"/>
        <v>0.23086419753086418</v>
      </c>
    </row>
    <row r="483" spans="1:24">
      <c r="A483" s="11">
        <v>482</v>
      </c>
      <c r="B483" s="11" t="s">
        <v>1366</v>
      </c>
      <c r="C483" s="11" t="s">
        <v>16</v>
      </c>
      <c r="D483" s="11" t="s">
        <v>33</v>
      </c>
      <c r="E483" s="12">
        <v>39.200000000000003</v>
      </c>
      <c r="F483" s="11" t="s">
        <v>2643</v>
      </c>
      <c r="G483" s="11" t="str">
        <f t="shared" si="71"/>
        <v>Litres</v>
      </c>
      <c r="H483" s="13">
        <v>435</v>
      </c>
      <c r="I483" s="11" t="s">
        <v>19</v>
      </c>
      <c r="J483" s="12">
        <v>114099</v>
      </c>
      <c r="K483" s="12" t="str">
        <f t="shared" si="67"/>
        <v>Extreme</v>
      </c>
      <c r="L483" s="11" t="s">
        <v>20</v>
      </c>
      <c r="M483" s="14">
        <v>45234</v>
      </c>
      <c r="N483" s="14" t="str">
        <f t="shared" si="68"/>
        <v>04/11/2023</v>
      </c>
      <c r="O483" s="14" t="str">
        <f t="shared" si="69"/>
        <v>2023</v>
      </c>
      <c r="P483" s="11" t="s">
        <v>572</v>
      </c>
      <c r="Q483" s="11" t="s">
        <v>59</v>
      </c>
      <c r="R483" s="11">
        <v>5</v>
      </c>
      <c r="S483" s="11" t="str">
        <f t="shared" si="70"/>
        <v>5 - 8 yrs</v>
      </c>
      <c r="T483" s="12">
        <v>94.7</v>
      </c>
      <c r="U483" s="11" t="str">
        <f t="shared" si="72"/>
        <v>(51 - 100)</v>
      </c>
      <c r="V483" s="12">
        <f t="shared" si="73"/>
        <v>11.096938775510203</v>
      </c>
      <c r="W483" s="12">
        <f t="shared" si="74"/>
        <v>262.29655172413794</v>
      </c>
      <c r="X483" s="12">
        <f t="shared" si="75"/>
        <v>0.21770114942528737</v>
      </c>
    </row>
    <row r="484" spans="1:24">
      <c r="A484" s="11">
        <v>483</v>
      </c>
      <c r="B484" s="11" t="s">
        <v>2517</v>
      </c>
      <c r="C484" s="11" t="s">
        <v>16</v>
      </c>
      <c r="D484" s="11" t="s">
        <v>17</v>
      </c>
      <c r="E484" s="12">
        <v>62.4</v>
      </c>
      <c r="F484" s="11" t="s">
        <v>62</v>
      </c>
      <c r="G484" s="11" t="str">
        <f t="shared" si="71"/>
        <v>kWh</v>
      </c>
      <c r="H484" s="13">
        <v>173</v>
      </c>
      <c r="I484" s="11" t="s">
        <v>19</v>
      </c>
      <c r="J484" s="12">
        <v>53198</v>
      </c>
      <c r="K484" s="12" t="str">
        <f t="shared" si="67"/>
        <v>Medium</v>
      </c>
      <c r="L484" s="11" t="s">
        <v>20</v>
      </c>
      <c r="M484" s="14">
        <v>45065</v>
      </c>
      <c r="N484" s="14" t="str">
        <f t="shared" si="68"/>
        <v>19/05/2023</v>
      </c>
      <c r="O484" s="14" t="str">
        <f t="shared" si="69"/>
        <v>2023</v>
      </c>
      <c r="P484" s="11" t="s">
        <v>1119</v>
      </c>
      <c r="Q484" s="11" t="s">
        <v>117</v>
      </c>
      <c r="R484" s="11">
        <v>19</v>
      </c>
      <c r="S484" s="11" t="str">
        <f t="shared" si="70"/>
        <v>17 + yrs</v>
      </c>
      <c r="T484" s="12">
        <v>196</v>
      </c>
      <c r="U484" s="11" t="str">
        <f t="shared" si="72"/>
        <v>(151 - 200)</v>
      </c>
      <c r="V484" s="12">
        <f t="shared" si="73"/>
        <v>2.7724358974358974</v>
      </c>
      <c r="W484" s="12">
        <f t="shared" si="74"/>
        <v>307.50289017341038</v>
      </c>
      <c r="X484" s="12">
        <f t="shared" si="75"/>
        <v>1.1329479768786128</v>
      </c>
    </row>
    <row r="485" spans="1:24">
      <c r="A485" s="11">
        <v>484</v>
      </c>
      <c r="B485" s="11" t="s">
        <v>1369</v>
      </c>
      <c r="C485" s="11" t="s">
        <v>32</v>
      </c>
      <c r="D485" s="11" t="s">
        <v>114</v>
      </c>
      <c r="E485" s="12">
        <v>73.900000000000006</v>
      </c>
      <c r="F485" s="11" t="s">
        <v>56</v>
      </c>
      <c r="G485" s="11" t="str">
        <f t="shared" si="71"/>
        <v>Litres</v>
      </c>
      <c r="H485" s="13">
        <v>205</v>
      </c>
      <c r="I485" s="11" t="s">
        <v>19</v>
      </c>
      <c r="J485" s="12">
        <v>57162</v>
      </c>
      <c r="K485" s="12" t="str">
        <f t="shared" si="67"/>
        <v>Moderate</v>
      </c>
      <c r="L485" s="11" t="s">
        <v>20</v>
      </c>
      <c r="M485" s="14">
        <v>45996</v>
      </c>
      <c r="N485" s="14" t="str">
        <f t="shared" si="68"/>
        <v>05/12/2025</v>
      </c>
      <c r="O485" s="14" t="str">
        <f t="shared" si="69"/>
        <v>2025</v>
      </c>
      <c r="P485" s="11" t="s">
        <v>416</v>
      </c>
      <c r="Q485" s="11" t="s">
        <v>112</v>
      </c>
      <c r="R485" s="11">
        <v>12</v>
      </c>
      <c r="S485" s="11" t="str">
        <f t="shared" si="70"/>
        <v>9 - 12 yrs</v>
      </c>
      <c r="T485" s="12">
        <v>256.2</v>
      </c>
      <c r="U485" s="11" t="str">
        <f t="shared" si="72"/>
        <v>(251 - 300)</v>
      </c>
      <c r="V485" s="12">
        <f t="shared" si="73"/>
        <v>2.7740189445196211</v>
      </c>
      <c r="W485" s="12">
        <f t="shared" si="74"/>
        <v>278.83902439024388</v>
      </c>
      <c r="X485" s="12">
        <f t="shared" si="75"/>
        <v>1.2497560975609756</v>
      </c>
    </row>
    <row r="486" spans="1:24">
      <c r="A486" s="11">
        <v>485</v>
      </c>
      <c r="B486" s="11" t="s">
        <v>2523</v>
      </c>
      <c r="C486" s="11" t="s">
        <v>16</v>
      </c>
      <c r="D486" s="11" t="s">
        <v>33</v>
      </c>
      <c r="E486" s="12">
        <v>63.3</v>
      </c>
      <c r="F486" s="11" t="s">
        <v>2643</v>
      </c>
      <c r="G486" s="11" t="str">
        <f t="shared" si="71"/>
        <v>Litres</v>
      </c>
      <c r="H486" s="13">
        <v>392</v>
      </c>
      <c r="I486" s="11" t="s">
        <v>19</v>
      </c>
      <c r="J486" s="12">
        <v>11255</v>
      </c>
      <c r="K486" s="12" t="str">
        <f t="shared" ref="K486:K549" si="76">IF(J486&lt;18000,"Very Low",IF(J486&lt;36000,"Low",IF(J486&lt;54000,"Medium",IF(J486&lt;72000,"Moderate",IF(J486&lt;90000,"High",IF(J486&lt;108000,"Very High","Extreme"))))))</f>
        <v>Very Low</v>
      </c>
      <c r="L486" s="11" t="s">
        <v>20</v>
      </c>
      <c r="M486" s="14">
        <v>44981</v>
      </c>
      <c r="N486" s="14" t="str">
        <f t="shared" ref="N486:N549" si="77">TEXT(M486,"dd/mm/yyyy")</f>
        <v>24/02/2023</v>
      </c>
      <c r="O486" s="14" t="str">
        <f t="shared" ref="O486:O549" si="78">TEXT(M486,"yyyy")</f>
        <v>2023</v>
      </c>
      <c r="P486" s="11" t="s">
        <v>1373</v>
      </c>
      <c r="Q486" s="11" t="s">
        <v>48</v>
      </c>
      <c r="R486" s="11">
        <v>19</v>
      </c>
      <c r="S486" s="11" t="str">
        <f t="shared" ref="S486:S549" si="79">IF(R486&lt;=4,"0 - 4 yrs",IF(R486&lt;=8,"5 - 8 yrs",IF(R486&lt;=12,"9 - 12 yrs",IF(R486&lt;=16,"13 - 16 yrs","17 + yrs"))))</f>
        <v>17 + yrs</v>
      </c>
      <c r="T486" s="12">
        <v>217.6</v>
      </c>
      <c r="U486" s="11" t="str">
        <f t="shared" si="72"/>
        <v>(201 - 250)</v>
      </c>
      <c r="V486" s="12">
        <f t="shared" si="73"/>
        <v>6.1927330173775674</v>
      </c>
      <c r="W486" s="12">
        <f t="shared" si="74"/>
        <v>28.711734693877553</v>
      </c>
      <c r="X486" s="12">
        <f t="shared" si="75"/>
        <v>0.55510204081632653</v>
      </c>
    </row>
    <row r="487" spans="1:24">
      <c r="A487" s="11">
        <v>486</v>
      </c>
      <c r="B487" s="11" t="s">
        <v>1374</v>
      </c>
      <c r="C487" s="11" t="s">
        <v>50</v>
      </c>
      <c r="D487" s="11" t="s">
        <v>17</v>
      </c>
      <c r="E487" s="12">
        <v>4.8</v>
      </c>
      <c r="F487" s="11" t="s">
        <v>56</v>
      </c>
      <c r="G487" s="11" t="str">
        <f t="shared" si="71"/>
        <v>Litres</v>
      </c>
      <c r="H487" s="13">
        <v>533</v>
      </c>
      <c r="I487" s="11" t="s">
        <v>19</v>
      </c>
      <c r="J487" s="12">
        <v>60718</v>
      </c>
      <c r="K487" s="12" t="str">
        <f t="shared" si="76"/>
        <v>Moderate</v>
      </c>
      <c r="L487" s="11" t="s">
        <v>20</v>
      </c>
      <c r="M487" s="14">
        <v>45816</v>
      </c>
      <c r="N487" s="14" t="str">
        <f t="shared" si="77"/>
        <v>08/06/2025</v>
      </c>
      <c r="O487" s="14" t="str">
        <f t="shared" si="78"/>
        <v>2025</v>
      </c>
      <c r="P487" s="11" t="s">
        <v>1376</v>
      </c>
      <c r="Q487" s="11" t="s">
        <v>48</v>
      </c>
      <c r="R487" s="11">
        <v>14</v>
      </c>
      <c r="S487" s="11" t="str">
        <f t="shared" si="79"/>
        <v>13 - 16 yrs</v>
      </c>
      <c r="T487" s="12">
        <v>10.4</v>
      </c>
      <c r="U487" s="11" t="str">
        <f t="shared" si="72"/>
        <v>(0 - 50)</v>
      </c>
      <c r="V487" s="12">
        <f t="shared" si="73"/>
        <v>111.04166666666667</v>
      </c>
      <c r="W487" s="12">
        <f t="shared" si="74"/>
        <v>113.91744840525328</v>
      </c>
      <c r="X487" s="12">
        <f t="shared" si="75"/>
        <v>1.9512195121951219E-2</v>
      </c>
    </row>
    <row r="488" spans="1:24">
      <c r="A488" s="11">
        <v>487</v>
      </c>
      <c r="B488" s="11" t="s">
        <v>1377</v>
      </c>
      <c r="C488" s="11" t="s">
        <v>50</v>
      </c>
      <c r="D488" s="11" t="s">
        <v>61</v>
      </c>
      <c r="E488" s="12">
        <v>10</v>
      </c>
      <c r="F488" s="11" t="s">
        <v>62</v>
      </c>
      <c r="G488" s="11" t="str">
        <f t="shared" si="71"/>
        <v>kWh</v>
      </c>
      <c r="H488" s="13">
        <v>393</v>
      </c>
      <c r="I488" s="11" t="s">
        <v>19</v>
      </c>
      <c r="J488" s="12">
        <v>84640</v>
      </c>
      <c r="K488" s="12" t="str">
        <f t="shared" si="76"/>
        <v>High</v>
      </c>
      <c r="L488" s="11" t="s">
        <v>20</v>
      </c>
      <c r="M488" s="14">
        <v>45419</v>
      </c>
      <c r="N488" s="14" t="str">
        <f t="shared" si="77"/>
        <v>07/05/2024</v>
      </c>
      <c r="O488" s="14" t="str">
        <f t="shared" si="78"/>
        <v>2024</v>
      </c>
      <c r="P488" s="11" t="s">
        <v>1379</v>
      </c>
      <c r="Q488" s="11" t="s">
        <v>121</v>
      </c>
      <c r="R488" s="11">
        <v>17</v>
      </c>
      <c r="S488" s="11" t="str">
        <f t="shared" si="79"/>
        <v>17 + yrs</v>
      </c>
      <c r="T488" s="12">
        <v>0</v>
      </c>
      <c r="U488" s="11" t="str">
        <f t="shared" si="72"/>
        <v>(0 - 50)</v>
      </c>
      <c r="V488" s="12">
        <f t="shared" si="73"/>
        <v>39.299999999999997</v>
      </c>
      <c r="W488" s="12">
        <f t="shared" si="74"/>
        <v>215.36895674300254</v>
      </c>
      <c r="X488" s="12">
        <f t="shared" si="75"/>
        <v>0</v>
      </c>
    </row>
    <row r="489" spans="1:24">
      <c r="A489" s="11">
        <v>488</v>
      </c>
      <c r="B489" s="11" t="s">
        <v>684</v>
      </c>
      <c r="C489" s="11" t="s">
        <v>39</v>
      </c>
      <c r="D489" s="11" t="s">
        <v>17</v>
      </c>
      <c r="E489" s="12">
        <v>19.7</v>
      </c>
      <c r="F489" s="11" t="s">
        <v>2643</v>
      </c>
      <c r="G489" s="11" t="str">
        <f t="shared" si="71"/>
        <v>Litres</v>
      </c>
      <c r="H489" s="13">
        <v>61</v>
      </c>
      <c r="I489" s="11" t="s">
        <v>19</v>
      </c>
      <c r="J489" s="12">
        <v>8241</v>
      </c>
      <c r="K489" s="12" t="str">
        <f t="shared" si="76"/>
        <v>Very Low</v>
      </c>
      <c r="L489" s="11" t="s">
        <v>20</v>
      </c>
      <c r="M489" s="14">
        <v>45667</v>
      </c>
      <c r="N489" s="14" t="str">
        <f t="shared" si="77"/>
        <v>10/01/2025</v>
      </c>
      <c r="O489" s="14" t="str">
        <f t="shared" si="78"/>
        <v>2025</v>
      </c>
      <c r="P489" s="11" t="s">
        <v>595</v>
      </c>
      <c r="Q489" s="11" t="s">
        <v>48</v>
      </c>
      <c r="R489" s="11">
        <v>2</v>
      </c>
      <c r="S489" s="11" t="str">
        <f t="shared" si="79"/>
        <v>0 - 4 yrs</v>
      </c>
      <c r="T489" s="12">
        <v>66.8</v>
      </c>
      <c r="U489" s="11" t="str">
        <f t="shared" si="72"/>
        <v>(51 - 100)</v>
      </c>
      <c r="V489" s="12">
        <f t="shared" si="73"/>
        <v>3.0964467005076144</v>
      </c>
      <c r="W489" s="12">
        <f t="shared" si="74"/>
        <v>135.09836065573771</v>
      </c>
      <c r="X489" s="12">
        <f t="shared" si="75"/>
        <v>1.0950819672131147</v>
      </c>
    </row>
    <row r="490" spans="1:24">
      <c r="A490" s="11">
        <v>489</v>
      </c>
      <c r="B490" s="11" t="s">
        <v>1381</v>
      </c>
      <c r="C490" s="11" t="s">
        <v>39</v>
      </c>
      <c r="D490" s="11" t="s">
        <v>61</v>
      </c>
      <c r="E490" s="12">
        <v>10</v>
      </c>
      <c r="F490" s="11" t="s">
        <v>56</v>
      </c>
      <c r="G490" s="11" t="str">
        <f t="shared" si="71"/>
        <v>Litres</v>
      </c>
      <c r="H490" s="13">
        <v>22</v>
      </c>
      <c r="I490" s="11" t="s">
        <v>19</v>
      </c>
      <c r="J490" s="12">
        <v>92169</v>
      </c>
      <c r="K490" s="12" t="str">
        <f t="shared" si="76"/>
        <v>Very High</v>
      </c>
      <c r="L490" s="11" t="s">
        <v>20</v>
      </c>
      <c r="M490" s="14">
        <v>45267</v>
      </c>
      <c r="N490" s="14" t="str">
        <f t="shared" si="77"/>
        <v>07/12/2023</v>
      </c>
      <c r="O490" s="14" t="str">
        <f t="shared" si="78"/>
        <v>2023</v>
      </c>
      <c r="P490" s="11" t="s">
        <v>928</v>
      </c>
      <c r="Q490" s="11" t="s">
        <v>112</v>
      </c>
      <c r="R490" s="11">
        <v>16</v>
      </c>
      <c r="S490" s="11" t="str">
        <f t="shared" si="79"/>
        <v>13 - 16 yrs</v>
      </c>
      <c r="T490" s="12">
        <v>0</v>
      </c>
      <c r="U490" s="11" t="str">
        <f t="shared" si="72"/>
        <v>(0 - 50)</v>
      </c>
      <c r="V490" s="12">
        <f t="shared" si="73"/>
        <v>2.2000000000000002</v>
      </c>
      <c r="W490" s="12">
        <f t="shared" si="74"/>
        <v>4189.5</v>
      </c>
      <c r="X490" s="12">
        <f t="shared" si="75"/>
        <v>0</v>
      </c>
    </row>
    <row r="491" spans="1:24">
      <c r="A491" s="11">
        <v>490</v>
      </c>
      <c r="B491" s="11" t="s">
        <v>2524</v>
      </c>
      <c r="C491" s="11" t="s">
        <v>50</v>
      </c>
      <c r="D491" s="11" t="s">
        <v>61</v>
      </c>
      <c r="E491" s="12">
        <v>10</v>
      </c>
      <c r="F491" s="11" t="s">
        <v>62</v>
      </c>
      <c r="G491" s="11" t="str">
        <f t="shared" si="71"/>
        <v>kWh</v>
      </c>
      <c r="H491" s="13">
        <v>594</v>
      </c>
      <c r="I491" s="11" t="s">
        <v>19</v>
      </c>
      <c r="J491" s="12">
        <v>43449</v>
      </c>
      <c r="K491" s="12" t="str">
        <f t="shared" si="76"/>
        <v>Medium</v>
      </c>
      <c r="L491" s="11" t="s">
        <v>20</v>
      </c>
      <c r="M491" s="14">
        <v>45004</v>
      </c>
      <c r="N491" s="14" t="str">
        <f t="shared" si="77"/>
        <v>19/03/2023</v>
      </c>
      <c r="O491" s="14" t="str">
        <f t="shared" si="78"/>
        <v>2023</v>
      </c>
      <c r="P491" s="11" t="s">
        <v>1385</v>
      </c>
      <c r="Q491" s="11" t="s">
        <v>86</v>
      </c>
      <c r="R491" s="11">
        <v>10</v>
      </c>
      <c r="S491" s="11" t="str">
        <f t="shared" si="79"/>
        <v>9 - 12 yrs</v>
      </c>
      <c r="T491" s="12">
        <v>0</v>
      </c>
      <c r="U491" s="11" t="str">
        <f t="shared" si="72"/>
        <v>(0 - 50)</v>
      </c>
      <c r="V491" s="12">
        <f t="shared" si="73"/>
        <v>59.4</v>
      </c>
      <c r="W491" s="12">
        <f t="shared" si="74"/>
        <v>73.146464646464651</v>
      </c>
      <c r="X491" s="12">
        <f t="shared" si="75"/>
        <v>0</v>
      </c>
    </row>
    <row r="492" spans="1:24">
      <c r="A492" s="11">
        <v>491</v>
      </c>
      <c r="B492" s="11" t="s">
        <v>2525</v>
      </c>
      <c r="C492" s="11" t="s">
        <v>16</v>
      </c>
      <c r="D492" s="11" t="s">
        <v>61</v>
      </c>
      <c r="E492" s="12">
        <v>10</v>
      </c>
      <c r="F492" s="11" t="s">
        <v>26</v>
      </c>
      <c r="G492" s="11" t="str">
        <f t="shared" si="71"/>
        <v>Litres</v>
      </c>
      <c r="H492" s="13">
        <v>348</v>
      </c>
      <c r="I492" s="11" t="s">
        <v>19</v>
      </c>
      <c r="J492" s="12">
        <v>25997</v>
      </c>
      <c r="K492" s="12" t="str">
        <f t="shared" si="76"/>
        <v>Low</v>
      </c>
      <c r="L492" s="11" t="s">
        <v>20</v>
      </c>
      <c r="M492" s="14">
        <v>45993</v>
      </c>
      <c r="N492" s="14" t="str">
        <f t="shared" si="77"/>
        <v>02/12/2025</v>
      </c>
      <c r="O492" s="14" t="str">
        <f t="shared" si="78"/>
        <v>2025</v>
      </c>
      <c r="P492" s="11" t="s">
        <v>893</v>
      </c>
      <c r="Q492" s="11" t="s">
        <v>54</v>
      </c>
      <c r="R492" s="11">
        <v>8</v>
      </c>
      <c r="S492" s="11" t="str">
        <f t="shared" si="79"/>
        <v>5 - 8 yrs</v>
      </c>
      <c r="T492" s="12">
        <v>0</v>
      </c>
      <c r="U492" s="11" t="str">
        <f t="shared" si="72"/>
        <v>(0 - 50)</v>
      </c>
      <c r="V492" s="12">
        <f t="shared" si="73"/>
        <v>34.799999999999997</v>
      </c>
      <c r="W492" s="12">
        <f t="shared" si="74"/>
        <v>74.704022988505741</v>
      </c>
      <c r="X492" s="12">
        <f t="shared" si="75"/>
        <v>0</v>
      </c>
    </row>
    <row r="493" spans="1:24">
      <c r="A493" s="11">
        <v>492</v>
      </c>
      <c r="B493" s="11" t="s">
        <v>1388</v>
      </c>
      <c r="C493" s="11" t="s">
        <v>32</v>
      </c>
      <c r="D493" s="11" t="s">
        <v>33</v>
      </c>
      <c r="E493" s="12">
        <v>29</v>
      </c>
      <c r="F493" s="11" t="s">
        <v>41</v>
      </c>
      <c r="G493" s="11" t="str">
        <f t="shared" si="71"/>
        <v>Litres</v>
      </c>
      <c r="H493" s="13">
        <v>28</v>
      </c>
      <c r="I493" s="11" t="s">
        <v>19</v>
      </c>
      <c r="J493" s="12">
        <v>92745</v>
      </c>
      <c r="K493" s="12" t="str">
        <f t="shared" si="76"/>
        <v>Very High</v>
      </c>
      <c r="L493" s="11" t="s">
        <v>20</v>
      </c>
      <c r="M493" s="14">
        <v>45502</v>
      </c>
      <c r="N493" s="14" t="str">
        <f t="shared" si="77"/>
        <v>29/07/2024</v>
      </c>
      <c r="O493" s="14" t="str">
        <f t="shared" si="78"/>
        <v>2024</v>
      </c>
      <c r="P493" s="11" t="s">
        <v>1390</v>
      </c>
      <c r="Q493" s="11" t="s">
        <v>86</v>
      </c>
      <c r="R493" s="11">
        <v>8</v>
      </c>
      <c r="S493" s="11" t="str">
        <f t="shared" si="79"/>
        <v>5 - 8 yrs</v>
      </c>
      <c r="T493" s="12">
        <v>67.900000000000006</v>
      </c>
      <c r="U493" s="11" t="str">
        <f t="shared" si="72"/>
        <v>(51 - 100)</v>
      </c>
      <c r="V493" s="12">
        <f t="shared" si="73"/>
        <v>0.96551724137931039</v>
      </c>
      <c r="W493" s="12">
        <f t="shared" si="74"/>
        <v>3312.3214285714284</v>
      </c>
      <c r="X493" s="12">
        <f t="shared" si="75"/>
        <v>2.4250000000000003</v>
      </c>
    </row>
    <row r="494" spans="1:24">
      <c r="A494" s="11">
        <v>493</v>
      </c>
      <c r="B494" s="11" t="s">
        <v>2526</v>
      </c>
      <c r="C494" s="11" t="s">
        <v>32</v>
      </c>
      <c r="D494" s="11" t="s">
        <v>114</v>
      </c>
      <c r="E494" s="12">
        <v>79</v>
      </c>
      <c r="F494" s="11" t="s">
        <v>62</v>
      </c>
      <c r="G494" s="11" t="str">
        <f t="shared" si="71"/>
        <v>kWh</v>
      </c>
      <c r="H494" s="13">
        <v>202</v>
      </c>
      <c r="I494" s="11" t="s">
        <v>19</v>
      </c>
      <c r="J494" s="12">
        <v>78495</v>
      </c>
      <c r="K494" s="12" t="str">
        <f t="shared" si="76"/>
        <v>High</v>
      </c>
      <c r="L494" s="11" t="s">
        <v>20</v>
      </c>
      <c r="M494" s="14">
        <v>45237</v>
      </c>
      <c r="N494" s="14" t="str">
        <f t="shared" si="77"/>
        <v>07/11/2023</v>
      </c>
      <c r="O494" s="14" t="str">
        <f t="shared" si="78"/>
        <v>2023</v>
      </c>
      <c r="P494" s="11" t="s">
        <v>1392</v>
      </c>
      <c r="Q494" s="11" t="s">
        <v>2648</v>
      </c>
      <c r="R494" s="11">
        <v>4</v>
      </c>
      <c r="S494" s="11" t="str">
        <f t="shared" si="79"/>
        <v>0 - 4 yrs</v>
      </c>
      <c r="T494" s="12">
        <v>158.1</v>
      </c>
      <c r="U494" s="11" t="str">
        <f t="shared" si="72"/>
        <v>(151 - 200)</v>
      </c>
      <c r="V494" s="12">
        <f t="shared" si="73"/>
        <v>2.5569620253164556</v>
      </c>
      <c r="W494" s="12">
        <f t="shared" si="74"/>
        <v>388.58910891089107</v>
      </c>
      <c r="X494" s="12">
        <f t="shared" si="75"/>
        <v>0.78267326732673259</v>
      </c>
    </row>
    <row r="495" spans="1:24">
      <c r="A495" s="11">
        <v>494</v>
      </c>
      <c r="B495" s="11" t="s">
        <v>1393</v>
      </c>
      <c r="C495" s="11" t="s">
        <v>50</v>
      </c>
      <c r="D495" s="11" t="s">
        <v>17</v>
      </c>
      <c r="E495" s="12">
        <v>48.8</v>
      </c>
      <c r="F495" s="11" t="s">
        <v>62</v>
      </c>
      <c r="G495" s="11" t="str">
        <f t="shared" si="71"/>
        <v>kWh</v>
      </c>
      <c r="H495" s="13">
        <v>194</v>
      </c>
      <c r="I495" s="11" t="s">
        <v>19</v>
      </c>
      <c r="J495" s="12">
        <v>99464</v>
      </c>
      <c r="K495" s="12" t="str">
        <f t="shared" si="76"/>
        <v>Very High</v>
      </c>
      <c r="L495" s="11" t="s">
        <v>20</v>
      </c>
      <c r="M495" s="14">
        <v>44938</v>
      </c>
      <c r="N495" s="14" t="str">
        <f t="shared" si="77"/>
        <v>12/01/2023</v>
      </c>
      <c r="O495" s="14" t="str">
        <f t="shared" si="78"/>
        <v>2023</v>
      </c>
      <c r="P495" s="11" t="s">
        <v>1392</v>
      </c>
      <c r="Q495" s="11" t="s">
        <v>117</v>
      </c>
      <c r="R495" s="11">
        <v>18</v>
      </c>
      <c r="S495" s="11" t="str">
        <f t="shared" si="79"/>
        <v>17 + yrs</v>
      </c>
      <c r="T495" s="12">
        <v>135.9</v>
      </c>
      <c r="U495" s="11" t="str">
        <f t="shared" si="72"/>
        <v>(101 - 150)</v>
      </c>
      <c r="V495" s="12">
        <f t="shared" si="73"/>
        <v>3.9754098360655741</v>
      </c>
      <c r="W495" s="12">
        <f t="shared" si="74"/>
        <v>512.70103092783506</v>
      </c>
      <c r="X495" s="12">
        <f t="shared" si="75"/>
        <v>0.70051546391752584</v>
      </c>
    </row>
    <row r="496" spans="1:24">
      <c r="A496" s="11">
        <v>495</v>
      </c>
      <c r="B496" s="11" t="s">
        <v>1395</v>
      </c>
      <c r="C496" s="11" t="s">
        <v>32</v>
      </c>
      <c r="D496" s="11" t="s">
        <v>17</v>
      </c>
      <c r="E496" s="12">
        <v>61.7</v>
      </c>
      <c r="F496" s="11" t="s">
        <v>62</v>
      </c>
      <c r="G496" s="11" t="str">
        <f t="shared" si="71"/>
        <v>kWh</v>
      </c>
      <c r="H496" s="13">
        <v>327</v>
      </c>
      <c r="I496" s="11" t="s">
        <v>19</v>
      </c>
      <c r="J496" s="12">
        <v>77618</v>
      </c>
      <c r="K496" s="12" t="str">
        <f t="shared" si="76"/>
        <v>High</v>
      </c>
      <c r="L496" s="11" t="s">
        <v>20</v>
      </c>
      <c r="M496" s="14">
        <v>45296</v>
      </c>
      <c r="N496" s="14" t="str">
        <f t="shared" si="77"/>
        <v>05/01/2024</v>
      </c>
      <c r="O496" s="14" t="str">
        <f t="shared" si="78"/>
        <v>2024</v>
      </c>
      <c r="P496" s="11" t="s">
        <v>1178</v>
      </c>
      <c r="Q496" s="11" t="s">
        <v>86</v>
      </c>
      <c r="R496" s="11">
        <v>18</v>
      </c>
      <c r="S496" s="11" t="str">
        <f t="shared" si="79"/>
        <v>17 + yrs</v>
      </c>
      <c r="T496" s="12">
        <v>215.3</v>
      </c>
      <c r="U496" s="11" t="str">
        <f t="shared" si="72"/>
        <v>(201 - 250)</v>
      </c>
      <c r="V496" s="12">
        <f t="shared" si="73"/>
        <v>5.2998379254457051</v>
      </c>
      <c r="W496" s="12">
        <f t="shared" si="74"/>
        <v>237.36391437308868</v>
      </c>
      <c r="X496" s="12">
        <f t="shared" si="75"/>
        <v>0.6584097859327217</v>
      </c>
    </row>
    <row r="497" spans="1:24">
      <c r="A497" s="11">
        <v>496</v>
      </c>
      <c r="B497" s="11" t="s">
        <v>2527</v>
      </c>
      <c r="C497" s="11" t="s">
        <v>39</v>
      </c>
      <c r="D497" s="11" t="s">
        <v>114</v>
      </c>
      <c r="E497" s="12">
        <v>61.6</v>
      </c>
      <c r="F497" s="11" t="s">
        <v>62</v>
      </c>
      <c r="G497" s="11" t="str">
        <f t="shared" si="71"/>
        <v>kWh</v>
      </c>
      <c r="H497" s="13">
        <v>479</v>
      </c>
      <c r="I497" s="11" t="s">
        <v>19</v>
      </c>
      <c r="J497" s="12">
        <v>62352</v>
      </c>
      <c r="K497" s="12" t="str">
        <f t="shared" si="76"/>
        <v>Moderate</v>
      </c>
      <c r="L497" s="11" t="s">
        <v>20</v>
      </c>
      <c r="M497" s="14">
        <v>45405</v>
      </c>
      <c r="N497" s="14" t="str">
        <f t="shared" si="77"/>
        <v>23/04/2024</v>
      </c>
      <c r="O497" s="14" t="str">
        <f t="shared" si="78"/>
        <v>2024</v>
      </c>
      <c r="P497" s="11" t="s">
        <v>1399</v>
      </c>
      <c r="Q497" s="11" t="s">
        <v>121</v>
      </c>
      <c r="R497" s="11">
        <v>9</v>
      </c>
      <c r="S497" s="11" t="str">
        <f t="shared" si="79"/>
        <v>9 - 12 yrs</v>
      </c>
      <c r="T497" s="12">
        <v>172.2</v>
      </c>
      <c r="U497" s="11" t="str">
        <f t="shared" si="72"/>
        <v>(151 - 200)</v>
      </c>
      <c r="V497" s="12">
        <f t="shared" si="73"/>
        <v>7.7759740259740262</v>
      </c>
      <c r="W497" s="12">
        <f t="shared" si="74"/>
        <v>130.17118997912317</v>
      </c>
      <c r="X497" s="12">
        <f t="shared" si="75"/>
        <v>0.35949895615866384</v>
      </c>
    </row>
    <row r="498" spans="1:24">
      <c r="A498" s="11">
        <v>497</v>
      </c>
      <c r="B498" s="11" t="s">
        <v>926</v>
      </c>
      <c r="C498" s="11" t="s">
        <v>16</v>
      </c>
      <c r="D498" s="11" t="s">
        <v>17</v>
      </c>
      <c r="E498" s="12">
        <v>33.700000000000003</v>
      </c>
      <c r="F498" s="11" t="s">
        <v>41</v>
      </c>
      <c r="G498" s="11" t="str">
        <f t="shared" si="71"/>
        <v>Litres</v>
      </c>
      <c r="H498" s="13">
        <v>104</v>
      </c>
      <c r="I498" s="11" t="s">
        <v>19</v>
      </c>
      <c r="J498" s="12">
        <v>62338</v>
      </c>
      <c r="K498" s="12" t="str">
        <f t="shared" si="76"/>
        <v>Moderate</v>
      </c>
      <c r="L498" s="11" t="s">
        <v>20</v>
      </c>
      <c r="M498" s="14">
        <v>45458</v>
      </c>
      <c r="N498" s="14" t="str">
        <f t="shared" si="77"/>
        <v>15/06/2024</v>
      </c>
      <c r="O498" s="14" t="str">
        <f t="shared" si="78"/>
        <v>2024</v>
      </c>
      <c r="P498" s="11" t="s">
        <v>1401</v>
      </c>
      <c r="Q498" s="11" t="s">
        <v>86</v>
      </c>
      <c r="R498" s="11">
        <v>17</v>
      </c>
      <c r="S498" s="11" t="str">
        <f t="shared" si="79"/>
        <v>17 + yrs</v>
      </c>
      <c r="T498" s="12">
        <v>91</v>
      </c>
      <c r="U498" s="11" t="str">
        <f t="shared" si="72"/>
        <v>(51 - 100)</v>
      </c>
      <c r="V498" s="12">
        <f t="shared" si="73"/>
        <v>3.0860534124629075</v>
      </c>
      <c r="W498" s="12">
        <f t="shared" si="74"/>
        <v>599.40384615384619</v>
      </c>
      <c r="X498" s="12">
        <f t="shared" si="75"/>
        <v>0.875</v>
      </c>
    </row>
    <row r="499" spans="1:24">
      <c r="A499" s="11">
        <v>498</v>
      </c>
      <c r="B499" s="11" t="s">
        <v>1402</v>
      </c>
      <c r="C499" s="11" t="s">
        <v>16</v>
      </c>
      <c r="D499" s="11" t="s">
        <v>33</v>
      </c>
      <c r="E499" s="12">
        <v>61.7</v>
      </c>
      <c r="F499" s="11" t="s">
        <v>26</v>
      </c>
      <c r="G499" s="11" t="str">
        <f t="shared" si="71"/>
        <v>Litres</v>
      </c>
      <c r="H499" s="13">
        <v>239</v>
      </c>
      <c r="I499" s="11" t="s">
        <v>19</v>
      </c>
      <c r="J499" s="12">
        <v>87331</v>
      </c>
      <c r="K499" s="12" t="str">
        <f t="shared" si="76"/>
        <v>High</v>
      </c>
      <c r="L499" s="11" t="s">
        <v>20</v>
      </c>
      <c r="M499" s="14">
        <v>45870</v>
      </c>
      <c r="N499" s="14" t="str">
        <f t="shared" si="77"/>
        <v>01/08/2025</v>
      </c>
      <c r="O499" s="14" t="str">
        <f t="shared" si="78"/>
        <v>2025</v>
      </c>
      <c r="P499" s="11" t="s">
        <v>1404</v>
      </c>
      <c r="Q499" s="11" t="s">
        <v>48</v>
      </c>
      <c r="R499" s="11">
        <v>9</v>
      </c>
      <c r="S499" s="11" t="str">
        <f t="shared" si="79"/>
        <v>9 - 12 yrs</v>
      </c>
      <c r="T499" s="12">
        <v>157.19999999999999</v>
      </c>
      <c r="U499" s="11" t="str">
        <f t="shared" si="72"/>
        <v>(151 - 200)</v>
      </c>
      <c r="V499" s="12">
        <f t="shared" si="73"/>
        <v>3.8735818476499189</v>
      </c>
      <c r="W499" s="12">
        <f t="shared" si="74"/>
        <v>365.40167364016736</v>
      </c>
      <c r="X499" s="12">
        <f t="shared" si="75"/>
        <v>0.65774058577405858</v>
      </c>
    </row>
    <row r="500" spans="1:24">
      <c r="A500" s="11">
        <v>499</v>
      </c>
      <c r="B500" s="11" t="s">
        <v>1405</v>
      </c>
      <c r="C500" s="11" t="s">
        <v>50</v>
      </c>
      <c r="D500" s="11" t="s">
        <v>17</v>
      </c>
      <c r="E500" s="12">
        <v>56.7</v>
      </c>
      <c r="F500" s="11" t="s">
        <v>2643</v>
      </c>
      <c r="G500" s="11" t="str">
        <f t="shared" si="71"/>
        <v>Litres</v>
      </c>
      <c r="H500" s="13">
        <v>239</v>
      </c>
      <c r="I500" s="11" t="s">
        <v>19</v>
      </c>
      <c r="J500" s="12">
        <v>37761</v>
      </c>
      <c r="K500" s="12" t="str">
        <f t="shared" si="76"/>
        <v>Medium</v>
      </c>
      <c r="L500" s="11" t="s">
        <v>20</v>
      </c>
      <c r="M500" s="14">
        <v>45167</v>
      </c>
      <c r="N500" s="14" t="str">
        <f t="shared" si="77"/>
        <v>29/08/2023</v>
      </c>
      <c r="O500" s="14" t="str">
        <f t="shared" si="78"/>
        <v>2023</v>
      </c>
      <c r="P500" s="11" t="s">
        <v>1406</v>
      </c>
      <c r="Q500" s="11" t="s">
        <v>2648</v>
      </c>
      <c r="R500" s="11">
        <v>2</v>
      </c>
      <c r="S500" s="11" t="str">
        <f t="shared" si="79"/>
        <v>0 - 4 yrs</v>
      </c>
      <c r="T500" s="12">
        <v>146.69999999999999</v>
      </c>
      <c r="U500" s="11" t="str">
        <f t="shared" si="72"/>
        <v>(101 - 150)</v>
      </c>
      <c r="V500" s="12">
        <f t="shared" si="73"/>
        <v>4.2151675485008813</v>
      </c>
      <c r="W500" s="12">
        <f t="shared" si="74"/>
        <v>157.9958158995816</v>
      </c>
      <c r="X500" s="12">
        <f t="shared" si="75"/>
        <v>0.61380753138075306</v>
      </c>
    </row>
    <row r="501" spans="1:24">
      <c r="A501" s="11">
        <v>500</v>
      </c>
      <c r="B501" s="11" t="s">
        <v>1407</v>
      </c>
      <c r="C501" s="11" t="s">
        <v>39</v>
      </c>
      <c r="D501" s="11" t="s">
        <v>33</v>
      </c>
      <c r="E501" s="12">
        <v>84.2</v>
      </c>
      <c r="F501" s="11" t="s">
        <v>26</v>
      </c>
      <c r="G501" s="11" t="str">
        <f t="shared" si="71"/>
        <v>Litres</v>
      </c>
      <c r="H501" s="13">
        <v>299</v>
      </c>
      <c r="I501" s="11" t="s">
        <v>19</v>
      </c>
      <c r="J501" s="12">
        <v>97384</v>
      </c>
      <c r="K501" s="12" t="str">
        <f t="shared" si="76"/>
        <v>Very High</v>
      </c>
      <c r="L501" s="11" t="s">
        <v>20</v>
      </c>
      <c r="M501" s="14">
        <v>45689</v>
      </c>
      <c r="N501" s="14" t="str">
        <f t="shared" si="77"/>
        <v>01/02/2025</v>
      </c>
      <c r="O501" s="14" t="str">
        <f t="shared" si="78"/>
        <v>2025</v>
      </c>
      <c r="P501" s="11" t="s">
        <v>452</v>
      </c>
      <c r="Q501" s="11" t="s">
        <v>54</v>
      </c>
      <c r="R501" s="11">
        <v>8</v>
      </c>
      <c r="S501" s="11" t="str">
        <f t="shared" si="79"/>
        <v>5 - 8 yrs</v>
      </c>
      <c r="T501" s="12">
        <v>226.4</v>
      </c>
      <c r="U501" s="11" t="str">
        <f t="shared" si="72"/>
        <v>(201 - 250)</v>
      </c>
      <c r="V501" s="12">
        <f t="shared" si="73"/>
        <v>3.5510688836104514</v>
      </c>
      <c r="W501" s="12">
        <f t="shared" si="74"/>
        <v>325.69899665551839</v>
      </c>
      <c r="X501" s="12">
        <f t="shared" si="75"/>
        <v>0.757190635451505</v>
      </c>
    </row>
    <row r="502" spans="1:24">
      <c r="A502" s="11">
        <v>501</v>
      </c>
      <c r="B502" s="11" t="s">
        <v>2528</v>
      </c>
      <c r="C502" s="11" t="s">
        <v>16</v>
      </c>
      <c r="D502" s="11" t="s">
        <v>114</v>
      </c>
      <c r="E502" s="12">
        <v>18</v>
      </c>
      <c r="F502" s="11" t="s">
        <v>56</v>
      </c>
      <c r="G502" s="11" t="str">
        <f t="shared" si="71"/>
        <v>Litres</v>
      </c>
      <c r="H502" s="13">
        <v>400</v>
      </c>
      <c r="I502" s="11" t="s">
        <v>19</v>
      </c>
      <c r="J502" s="12">
        <v>82539</v>
      </c>
      <c r="K502" s="12" t="str">
        <f t="shared" si="76"/>
        <v>High</v>
      </c>
      <c r="L502" s="11" t="s">
        <v>20</v>
      </c>
      <c r="M502" s="14">
        <v>44976</v>
      </c>
      <c r="N502" s="14" t="str">
        <f t="shared" si="77"/>
        <v>19/02/2023</v>
      </c>
      <c r="O502" s="14" t="str">
        <f t="shared" si="78"/>
        <v>2023</v>
      </c>
      <c r="P502" s="11" t="s">
        <v>1348</v>
      </c>
      <c r="Q502" s="11" t="s">
        <v>86</v>
      </c>
      <c r="R502" s="11">
        <v>9</v>
      </c>
      <c r="S502" s="11" t="str">
        <f t="shared" si="79"/>
        <v>9 - 12 yrs</v>
      </c>
      <c r="T502" s="12">
        <v>41.6</v>
      </c>
      <c r="U502" s="11" t="str">
        <f t="shared" si="72"/>
        <v>(0 - 50)</v>
      </c>
      <c r="V502" s="12">
        <f t="shared" si="73"/>
        <v>22.222222222222221</v>
      </c>
      <c r="W502" s="12">
        <f t="shared" si="74"/>
        <v>206.3475</v>
      </c>
      <c r="X502" s="12">
        <f t="shared" si="75"/>
        <v>0.10400000000000001</v>
      </c>
    </row>
    <row r="503" spans="1:24">
      <c r="A503" s="11">
        <v>502</v>
      </c>
      <c r="B503" s="11" t="s">
        <v>1410</v>
      </c>
      <c r="C503" s="11" t="s">
        <v>39</v>
      </c>
      <c r="D503" s="11" t="s">
        <v>33</v>
      </c>
      <c r="E503" s="12">
        <v>5.2</v>
      </c>
      <c r="F503" s="11" t="s">
        <v>56</v>
      </c>
      <c r="G503" s="11" t="str">
        <f t="shared" si="71"/>
        <v>Litres</v>
      </c>
      <c r="H503" s="13">
        <v>53</v>
      </c>
      <c r="I503" s="11" t="s">
        <v>19</v>
      </c>
      <c r="J503" s="12">
        <v>88433</v>
      </c>
      <c r="K503" s="12" t="str">
        <f t="shared" si="76"/>
        <v>High</v>
      </c>
      <c r="L503" s="11" t="s">
        <v>20</v>
      </c>
      <c r="M503" s="14">
        <v>45461</v>
      </c>
      <c r="N503" s="14" t="str">
        <f t="shared" si="77"/>
        <v>18/06/2024</v>
      </c>
      <c r="O503" s="14" t="str">
        <f t="shared" si="78"/>
        <v>2024</v>
      </c>
      <c r="P503" s="11" t="s">
        <v>1412</v>
      </c>
      <c r="Q503" s="11" t="s">
        <v>117</v>
      </c>
      <c r="R503" s="11">
        <v>16</v>
      </c>
      <c r="S503" s="11" t="str">
        <f t="shared" si="79"/>
        <v>13 - 16 yrs</v>
      </c>
      <c r="T503" s="12">
        <v>15.8</v>
      </c>
      <c r="U503" s="11" t="str">
        <f t="shared" si="72"/>
        <v>(0 - 50)</v>
      </c>
      <c r="V503" s="12">
        <f t="shared" si="73"/>
        <v>10.192307692307692</v>
      </c>
      <c r="W503" s="12">
        <f t="shared" si="74"/>
        <v>1668.5471698113208</v>
      </c>
      <c r="X503" s="12">
        <f t="shared" si="75"/>
        <v>0.2981132075471698</v>
      </c>
    </row>
    <row r="504" spans="1:24">
      <c r="A504" s="11">
        <v>503</v>
      </c>
      <c r="B504" s="11" t="s">
        <v>1413</v>
      </c>
      <c r="C504" s="11" t="s">
        <v>16</v>
      </c>
      <c r="D504" s="11" t="s">
        <v>33</v>
      </c>
      <c r="E504" s="12">
        <v>77.400000000000006</v>
      </c>
      <c r="F504" s="11" t="s">
        <v>56</v>
      </c>
      <c r="G504" s="11" t="str">
        <f t="shared" si="71"/>
        <v>Litres</v>
      </c>
      <c r="H504" s="13">
        <v>242</v>
      </c>
      <c r="I504" s="11" t="s">
        <v>19</v>
      </c>
      <c r="J504" s="12">
        <v>39304</v>
      </c>
      <c r="K504" s="12" t="str">
        <f t="shared" si="76"/>
        <v>Medium</v>
      </c>
      <c r="L504" s="11" t="s">
        <v>20</v>
      </c>
      <c r="M504" s="14">
        <v>45090</v>
      </c>
      <c r="N504" s="14" t="str">
        <f t="shared" si="77"/>
        <v>13/06/2023</v>
      </c>
      <c r="O504" s="14" t="str">
        <f t="shared" si="78"/>
        <v>2023</v>
      </c>
      <c r="P504" s="11" t="s">
        <v>1415</v>
      </c>
      <c r="Q504" s="11" t="s">
        <v>59</v>
      </c>
      <c r="R504" s="11">
        <v>4</v>
      </c>
      <c r="S504" s="11" t="str">
        <f t="shared" si="79"/>
        <v>0 - 4 yrs</v>
      </c>
      <c r="T504" s="12">
        <v>267.3</v>
      </c>
      <c r="U504" s="11" t="str">
        <f t="shared" si="72"/>
        <v>(251 - 300)</v>
      </c>
      <c r="V504" s="12">
        <f t="shared" si="73"/>
        <v>3.126614987080103</v>
      </c>
      <c r="W504" s="12">
        <f t="shared" si="74"/>
        <v>162.41322314049586</v>
      </c>
      <c r="X504" s="12">
        <f t="shared" si="75"/>
        <v>1.1045454545454545</v>
      </c>
    </row>
    <row r="505" spans="1:24">
      <c r="A505" s="11">
        <v>504</v>
      </c>
      <c r="B505" s="11" t="s">
        <v>1416</v>
      </c>
      <c r="C505" s="11" t="s">
        <v>39</v>
      </c>
      <c r="D505" s="11" t="s">
        <v>61</v>
      </c>
      <c r="E505" s="12">
        <v>10</v>
      </c>
      <c r="F505" s="11" t="s">
        <v>26</v>
      </c>
      <c r="G505" s="11" t="str">
        <f t="shared" si="71"/>
        <v>Litres</v>
      </c>
      <c r="H505" s="13">
        <v>232</v>
      </c>
      <c r="I505" s="11" t="s">
        <v>19</v>
      </c>
      <c r="J505" s="12">
        <v>70330</v>
      </c>
      <c r="K505" s="12" t="str">
        <f t="shared" si="76"/>
        <v>Moderate</v>
      </c>
      <c r="L505" s="11" t="s">
        <v>20</v>
      </c>
      <c r="M505" s="14">
        <v>45493</v>
      </c>
      <c r="N505" s="14" t="str">
        <f t="shared" si="77"/>
        <v>20/07/2024</v>
      </c>
      <c r="O505" s="14" t="str">
        <f t="shared" si="78"/>
        <v>2024</v>
      </c>
      <c r="P505" s="11" t="s">
        <v>850</v>
      </c>
      <c r="Q505" s="11" t="s">
        <v>69</v>
      </c>
      <c r="R505" s="11">
        <v>13</v>
      </c>
      <c r="S505" s="11" t="str">
        <f t="shared" si="79"/>
        <v>13 - 16 yrs</v>
      </c>
      <c r="T505" s="12">
        <v>0</v>
      </c>
      <c r="U505" s="11" t="str">
        <f t="shared" si="72"/>
        <v>(0 - 50)</v>
      </c>
      <c r="V505" s="12">
        <f t="shared" si="73"/>
        <v>23.2</v>
      </c>
      <c r="W505" s="12">
        <f t="shared" si="74"/>
        <v>303.14655172413791</v>
      </c>
      <c r="X505" s="12">
        <f t="shared" si="75"/>
        <v>0</v>
      </c>
    </row>
    <row r="506" spans="1:24">
      <c r="A506" s="11">
        <v>505</v>
      </c>
      <c r="B506" s="11" t="s">
        <v>1418</v>
      </c>
      <c r="C506" s="11" t="s">
        <v>50</v>
      </c>
      <c r="D506" s="11" t="s">
        <v>17</v>
      </c>
      <c r="E506" s="12">
        <v>98.6</v>
      </c>
      <c r="F506" s="11" t="s">
        <v>62</v>
      </c>
      <c r="G506" s="11" t="str">
        <f t="shared" si="71"/>
        <v>kWh</v>
      </c>
      <c r="H506" s="13">
        <v>379</v>
      </c>
      <c r="I506" s="11" t="s">
        <v>19</v>
      </c>
      <c r="J506" s="12">
        <v>12476</v>
      </c>
      <c r="K506" s="12" t="str">
        <f t="shared" si="76"/>
        <v>Very Low</v>
      </c>
      <c r="L506" s="11" t="s">
        <v>20</v>
      </c>
      <c r="M506" s="14">
        <v>45521</v>
      </c>
      <c r="N506" s="14" t="str">
        <f t="shared" si="77"/>
        <v>17/08/2024</v>
      </c>
      <c r="O506" s="14" t="str">
        <f t="shared" si="78"/>
        <v>2024</v>
      </c>
      <c r="P506" s="11" t="s">
        <v>1420</v>
      </c>
      <c r="Q506" s="11" t="s">
        <v>48</v>
      </c>
      <c r="R506" s="11">
        <v>5</v>
      </c>
      <c r="S506" s="11" t="str">
        <f t="shared" si="79"/>
        <v>5 - 8 yrs</v>
      </c>
      <c r="T506" s="12">
        <v>245.2</v>
      </c>
      <c r="U506" s="11" t="str">
        <f t="shared" si="72"/>
        <v>(201 - 250)</v>
      </c>
      <c r="V506" s="12">
        <f t="shared" si="73"/>
        <v>3.8438133874239355</v>
      </c>
      <c r="W506" s="12">
        <f t="shared" si="74"/>
        <v>32.918205804749341</v>
      </c>
      <c r="X506" s="12">
        <f t="shared" si="75"/>
        <v>0.64696569920844327</v>
      </c>
    </row>
    <row r="507" spans="1:24">
      <c r="A507" s="11">
        <v>506</v>
      </c>
      <c r="B507" s="11" t="s">
        <v>388</v>
      </c>
      <c r="C507" s="11" t="s">
        <v>50</v>
      </c>
      <c r="D507" s="11" t="s">
        <v>17</v>
      </c>
      <c r="E507" s="12">
        <v>76.400000000000006</v>
      </c>
      <c r="F507" s="11" t="s">
        <v>26</v>
      </c>
      <c r="G507" s="11" t="str">
        <f t="shared" si="71"/>
        <v>Litres</v>
      </c>
      <c r="H507" s="13">
        <v>383</v>
      </c>
      <c r="I507" s="11" t="s">
        <v>19</v>
      </c>
      <c r="J507" s="12">
        <v>7375</v>
      </c>
      <c r="K507" s="12" t="str">
        <f t="shared" si="76"/>
        <v>Very Low</v>
      </c>
      <c r="L507" s="11" t="s">
        <v>20</v>
      </c>
      <c r="M507" s="14">
        <v>45748</v>
      </c>
      <c r="N507" s="14" t="str">
        <f t="shared" si="77"/>
        <v>01/04/2025</v>
      </c>
      <c r="O507" s="14" t="str">
        <f t="shared" si="78"/>
        <v>2025</v>
      </c>
      <c r="P507" s="11" t="s">
        <v>1422</v>
      </c>
      <c r="Q507" s="11" t="s">
        <v>69</v>
      </c>
      <c r="R507" s="11">
        <v>16</v>
      </c>
      <c r="S507" s="11" t="str">
        <f t="shared" si="79"/>
        <v>13 - 16 yrs</v>
      </c>
      <c r="T507" s="12">
        <v>236.7</v>
      </c>
      <c r="U507" s="11" t="str">
        <f t="shared" si="72"/>
        <v>(201 - 250)</v>
      </c>
      <c r="V507" s="12">
        <f t="shared" si="73"/>
        <v>5.0130890052356021</v>
      </c>
      <c r="W507" s="12">
        <f t="shared" si="74"/>
        <v>19.255874673629243</v>
      </c>
      <c r="X507" s="12">
        <f t="shared" si="75"/>
        <v>0.61801566579634459</v>
      </c>
    </row>
    <row r="508" spans="1:24">
      <c r="A508" s="11">
        <v>507</v>
      </c>
      <c r="B508" s="11" t="s">
        <v>2529</v>
      </c>
      <c r="C508" s="11" t="s">
        <v>39</v>
      </c>
      <c r="D508" s="11" t="s">
        <v>114</v>
      </c>
      <c r="E508" s="12">
        <v>42.1</v>
      </c>
      <c r="F508" s="11" t="s">
        <v>56</v>
      </c>
      <c r="G508" s="11" t="str">
        <f t="shared" si="71"/>
        <v>Litres</v>
      </c>
      <c r="H508" s="13">
        <v>74</v>
      </c>
      <c r="I508" s="11" t="s">
        <v>19</v>
      </c>
      <c r="J508" s="12">
        <v>15759</v>
      </c>
      <c r="K508" s="12" t="str">
        <f t="shared" si="76"/>
        <v>Very Low</v>
      </c>
      <c r="L508" s="11" t="s">
        <v>20</v>
      </c>
      <c r="M508" s="14">
        <v>45586</v>
      </c>
      <c r="N508" s="14" t="str">
        <f t="shared" si="77"/>
        <v>21/10/2024</v>
      </c>
      <c r="O508" s="14" t="str">
        <f t="shared" si="78"/>
        <v>2024</v>
      </c>
      <c r="P508" s="11" t="s">
        <v>847</v>
      </c>
      <c r="Q508" s="11" t="s">
        <v>59</v>
      </c>
      <c r="R508" s="11">
        <v>11</v>
      </c>
      <c r="S508" s="11" t="str">
        <f t="shared" si="79"/>
        <v>9 - 12 yrs</v>
      </c>
      <c r="T508" s="12">
        <v>106</v>
      </c>
      <c r="U508" s="11" t="str">
        <f t="shared" si="72"/>
        <v>(101 - 150)</v>
      </c>
      <c r="V508" s="12">
        <f t="shared" si="73"/>
        <v>1.7577197149643704</v>
      </c>
      <c r="W508" s="12">
        <f t="shared" si="74"/>
        <v>212.95945945945945</v>
      </c>
      <c r="X508" s="12">
        <f t="shared" si="75"/>
        <v>1.4324324324324325</v>
      </c>
    </row>
    <row r="509" spans="1:24">
      <c r="A509" s="11">
        <v>508</v>
      </c>
      <c r="B509" s="11" t="s">
        <v>217</v>
      </c>
      <c r="C509" s="11" t="s">
        <v>50</v>
      </c>
      <c r="D509" s="11" t="s">
        <v>17</v>
      </c>
      <c r="E509" s="12">
        <v>70.2</v>
      </c>
      <c r="F509" s="11" t="s">
        <v>26</v>
      </c>
      <c r="G509" s="11" t="str">
        <f t="shared" si="71"/>
        <v>Litres</v>
      </c>
      <c r="H509" s="13">
        <v>177</v>
      </c>
      <c r="I509" s="11" t="s">
        <v>19</v>
      </c>
      <c r="J509" s="12">
        <v>105798</v>
      </c>
      <c r="K509" s="12" t="str">
        <f t="shared" si="76"/>
        <v>Very High</v>
      </c>
      <c r="L509" s="11" t="s">
        <v>20</v>
      </c>
      <c r="M509" s="14">
        <v>45234</v>
      </c>
      <c r="N509" s="14" t="str">
        <f t="shared" si="77"/>
        <v>04/11/2023</v>
      </c>
      <c r="O509" s="14" t="str">
        <f t="shared" si="78"/>
        <v>2023</v>
      </c>
      <c r="P509" s="11" t="s">
        <v>827</v>
      </c>
      <c r="Q509" s="11" t="s">
        <v>86</v>
      </c>
      <c r="R509" s="11">
        <v>3</v>
      </c>
      <c r="S509" s="11" t="str">
        <f t="shared" si="79"/>
        <v>0 - 4 yrs</v>
      </c>
      <c r="T509" s="12">
        <v>182.5</v>
      </c>
      <c r="U509" s="11" t="str">
        <f t="shared" si="72"/>
        <v>(151 - 200)</v>
      </c>
      <c r="V509" s="12">
        <f t="shared" si="73"/>
        <v>2.5213675213675213</v>
      </c>
      <c r="W509" s="12">
        <f t="shared" si="74"/>
        <v>597.72881355932202</v>
      </c>
      <c r="X509" s="12">
        <f t="shared" si="75"/>
        <v>1.0310734463276836</v>
      </c>
    </row>
    <row r="510" spans="1:24">
      <c r="A510" s="11">
        <v>509</v>
      </c>
      <c r="B510" s="11" t="s">
        <v>1426</v>
      </c>
      <c r="C510" s="11" t="s">
        <v>16</v>
      </c>
      <c r="D510" s="11" t="s">
        <v>33</v>
      </c>
      <c r="E510" s="12">
        <v>71.599999999999994</v>
      </c>
      <c r="F510" s="11" t="s">
        <v>2643</v>
      </c>
      <c r="G510" s="11" t="str">
        <f t="shared" si="71"/>
        <v>Litres</v>
      </c>
      <c r="H510" s="13">
        <v>45</v>
      </c>
      <c r="I510" s="11" t="s">
        <v>19</v>
      </c>
      <c r="J510" s="12">
        <v>12288</v>
      </c>
      <c r="K510" s="12" t="str">
        <f t="shared" si="76"/>
        <v>Very Low</v>
      </c>
      <c r="L510" s="11" t="s">
        <v>20</v>
      </c>
      <c r="M510" s="14">
        <v>45683</v>
      </c>
      <c r="N510" s="14" t="str">
        <f t="shared" si="77"/>
        <v>26/01/2025</v>
      </c>
      <c r="O510" s="14" t="str">
        <f t="shared" si="78"/>
        <v>2025</v>
      </c>
      <c r="P510" s="11" t="s">
        <v>1428</v>
      </c>
      <c r="Q510" s="11" t="s">
        <v>121</v>
      </c>
      <c r="R510" s="11">
        <v>1</v>
      </c>
      <c r="S510" s="11" t="str">
        <f t="shared" si="79"/>
        <v>0 - 4 yrs</v>
      </c>
      <c r="T510" s="12">
        <v>247.9</v>
      </c>
      <c r="U510" s="11" t="str">
        <f t="shared" si="72"/>
        <v>(201 - 250)</v>
      </c>
      <c r="V510" s="12">
        <f t="shared" si="73"/>
        <v>0.62849162011173187</v>
      </c>
      <c r="W510" s="12">
        <f t="shared" si="74"/>
        <v>273.06666666666666</v>
      </c>
      <c r="X510" s="12">
        <f t="shared" si="75"/>
        <v>5.5088888888888894</v>
      </c>
    </row>
    <row r="511" spans="1:24">
      <c r="A511" s="11">
        <v>510</v>
      </c>
      <c r="B511" s="11" t="s">
        <v>1429</v>
      </c>
      <c r="C511" s="11" t="s">
        <v>16</v>
      </c>
      <c r="D511" s="11" t="s">
        <v>61</v>
      </c>
      <c r="E511" s="12">
        <v>10</v>
      </c>
      <c r="F511" s="11" t="s">
        <v>41</v>
      </c>
      <c r="G511" s="11" t="str">
        <f t="shared" si="71"/>
        <v>Litres</v>
      </c>
      <c r="H511" s="13">
        <v>637</v>
      </c>
      <c r="I511" s="11" t="s">
        <v>19</v>
      </c>
      <c r="J511" s="12">
        <v>54943</v>
      </c>
      <c r="K511" s="12" t="str">
        <f t="shared" si="76"/>
        <v>Moderate</v>
      </c>
      <c r="L511" s="11" t="s">
        <v>20</v>
      </c>
      <c r="M511" s="14">
        <v>45414</v>
      </c>
      <c r="N511" s="14" t="str">
        <f t="shared" si="77"/>
        <v>02/05/2024</v>
      </c>
      <c r="O511" s="14" t="str">
        <f t="shared" si="78"/>
        <v>2024</v>
      </c>
      <c r="P511" s="11" t="s">
        <v>1002</v>
      </c>
      <c r="Q511" s="11" t="s">
        <v>59</v>
      </c>
      <c r="R511" s="11">
        <v>9</v>
      </c>
      <c r="S511" s="11" t="str">
        <f t="shared" si="79"/>
        <v>9 - 12 yrs</v>
      </c>
      <c r="T511" s="12">
        <v>0</v>
      </c>
      <c r="U511" s="11" t="str">
        <f t="shared" si="72"/>
        <v>(0 - 50)</v>
      </c>
      <c r="V511" s="12">
        <f t="shared" si="73"/>
        <v>63.7</v>
      </c>
      <c r="W511" s="12">
        <f t="shared" si="74"/>
        <v>86.252747252747255</v>
      </c>
      <c r="X511" s="12">
        <f t="shared" si="75"/>
        <v>0</v>
      </c>
    </row>
    <row r="512" spans="1:24">
      <c r="A512" s="11">
        <v>511</v>
      </c>
      <c r="B512" s="11" t="s">
        <v>2462</v>
      </c>
      <c r="C512" s="11" t="s">
        <v>32</v>
      </c>
      <c r="D512" s="11" t="s">
        <v>114</v>
      </c>
      <c r="E512" s="12">
        <v>98.9</v>
      </c>
      <c r="F512" s="11" t="s">
        <v>2643</v>
      </c>
      <c r="G512" s="11" t="str">
        <f t="shared" si="71"/>
        <v>Litres</v>
      </c>
      <c r="H512" s="13">
        <v>243</v>
      </c>
      <c r="I512" s="11" t="s">
        <v>19</v>
      </c>
      <c r="J512" s="12">
        <v>40381</v>
      </c>
      <c r="K512" s="12" t="str">
        <f t="shared" si="76"/>
        <v>Medium</v>
      </c>
      <c r="L512" s="11" t="s">
        <v>20</v>
      </c>
      <c r="M512" s="14">
        <v>45346</v>
      </c>
      <c r="N512" s="14" t="str">
        <f t="shared" si="77"/>
        <v>24/02/2024</v>
      </c>
      <c r="O512" s="14" t="str">
        <f t="shared" si="78"/>
        <v>2024</v>
      </c>
      <c r="P512" s="11" t="s">
        <v>712</v>
      </c>
      <c r="Q512" s="11" t="s">
        <v>69</v>
      </c>
      <c r="R512" s="11">
        <v>9</v>
      </c>
      <c r="S512" s="11" t="str">
        <f t="shared" si="79"/>
        <v>9 - 12 yrs</v>
      </c>
      <c r="T512" s="12">
        <v>343.2</v>
      </c>
      <c r="U512" s="11" t="str">
        <f t="shared" si="72"/>
        <v>(301 - 350)</v>
      </c>
      <c r="V512" s="12">
        <f t="shared" si="73"/>
        <v>2.4570273003033365</v>
      </c>
      <c r="W512" s="12">
        <f t="shared" si="74"/>
        <v>166.1769547325103</v>
      </c>
      <c r="X512" s="12">
        <f t="shared" si="75"/>
        <v>1.4123456790123456</v>
      </c>
    </row>
    <row r="513" spans="1:24">
      <c r="A513" s="11">
        <v>512</v>
      </c>
      <c r="B513" s="11" t="s">
        <v>1432</v>
      </c>
      <c r="C513" s="11" t="s">
        <v>32</v>
      </c>
      <c r="D513" s="11" t="s">
        <v>61</v>
      </c>
      <c r="E513" s="12">
        <v>10</v>
      </c>
      <c r="F513" s="11" t="s">
        <v>41</v>
      </c>
      <c r="G513" s="11" t="str">
        <f t="shared" si="71"/>
        <v>Litres</v>
      </c>
      <c r="H513" s="13">
        <v>211</v>
      </c>
      <c r="I513" s="11" t="s">
        <v>19</v>
      </c>
      <c r="J513" s="12">
        <v>96255</v>
      </c>
      <c r="K513" s="12" t="str">
        <f t="shared" si="76"/>
        <v>Very High</v>
      </c>
      <c r="L513" s="11" t="s">
        <v>20</v>
      </c>
      <c r="M513" s="14">
        <v>44958</v>
      </c>
      <c r="N513" s="14" t="str">
        <f t="shared" si="77"/>
        <v>01/02/2023</v>
      </c>
      <c r="O513" s="14" t="str">
        <f t="shared" si="78"/>
        <v>2023</v>
      </c>
      <c r="P513" s="11" t="s">
        <v>1434</v>
      </c>
      <c r="Q513" s="11" t="s">
        <v>117</v>
      </c>
      <c r="R513" s="11">
        <v>12</v>
      </c>
      <c r="S513" s="11" t="str">
        <f t="shared" si="79"/>
        <v>9 - 12 yrs</v>
      </c>
      <c r="T513" s="12">
        <v>0</v>
      </c>
      <c r="U513" s="11" t="str">
        <f t="shared" si="72"/>
        <v>(0 - 50)</v>
      </c>
      <c r="V513" s="12">
        <f t="shared" si="73"/>
        <v>21.1</v>
      </c>
      <c r="W513" s="12">
        <f t="shared" si="74"/>
        <v>456.18483412322274</v>
      </c>
      <c r="X513" s="12">
        <f t="shared" si="75"/>
        <v>0</v>
      </c>
    </row>
    <row r="514" spans="1:24">
      <c r="A514" s="11">
        <v>513</v>
      </c>
      <c r="B514" s="11" t="s">
        <v>1435</v>
      </c>
      <c r="C514" s="11" t="s">
        <v>50</v>
      </c>
      <c r="D514" s="11" t="s">
        <v>33</v>
      </c>
      <c r="E514" s="12">
        <v>81.099999999999994</v>
      </c>
      <c r="F514" s="11" t="s">
        <v>62</v>
      </c>
      <c r="G514" s="11" t="str">
        <f t="shared" ref="G514:G577" si="80">IF(OR(F514="L",F514="ltrs",F514="liters"),"Litres",F514)</f>
        <v>kWh</v>
      </c>
      <c r="H514" s="13">
        <v>55</v>
      </c>
      <c r="I514" s="11" t="s">
        <v>19</v>
      </c>
      <c r="J514" s="12">
        <v>11598</v>
      </c>
      <c r="K514" s="12" t="str">
        <f t="shared" si="76"/>
        <v>Very Low</v>
      </c>
      <c r="L514" s="11" t="s">
        <v>20</v>
      </c>
      <c r="M514" s="14">
        <v>45795</v>
      </c>
      <c r="N514" s="14" t="str">
        <f t="shared" si="77"/>
        <v>18/05/2025</v>
      </c>
      <c r="O514" s="14" t="str">
        <f t="shared" si="78"/>
        <v>2025</v>
      </c>
      <c r="P514" s="11" t="s">
        <v>872</v>
      </c>
      <c r="Q514" s="11" t="s">
        <v>69</v>
      </c>
      <c r="R514" s="11">
        <v>13</v>
      </c>
      <c r="S514" s="11" t="str">
        <f t="shared" si="79"/>
        <v>13 - 16 yrs</v>
      </c>
      <c r="T514" s="12">
        <v>179.2</v>
      </c>
      <c r="U514" s="11" t="str">
        <f t="shared" si="72"/>
        <v>(151 - 200)</v>
      </c>
      <c r="V514" s="12">
        <f t="shared" si="73"/>
        <v>0.67817509247842178</v>
      </c>
      <c r="W514" s="12">
        <f t="shared" si="74"/>
        <v>210.87272727272727</v>
      </c>
      <c r="X514" s="12">
        <f t="shared" si="75"/>
        <v>3.2581818181818178</v>
      </c>
    </row>
    <row r="515" spans="1:24">
      <c r="A515" s="11">
        <v>514</v>
      </c>
      <c r="B515" s="11" t="s">
        <v>1437</v>
      </c>
      <c r="C515" s="11" t="s">
        <v>32</v>
      </c>
      <c r="D515" s="11" t="s">
        <v>61</v>
      </c>
      <c r="E515" s="12">
        <v>10</v>
      </c>
      <c r="F515" s="11" t="s">
        <v>56</v>
      </c>
      <c r="G515" s="11" t="str">
        <f t="shared" si="80"/>
        <v>Litres</v>
      </c>
      <c r="H515" s="13">
        <v>179</v>
      </c>
      <c r="I515" s="11" t="s">
        <v>19</v>
      </c>
      <c r="J515" s="12">
        <v>3229</v>
      </c>
      <c r="K515" s="12" t="str">
        <f t="shared" si="76"/>
        <v>Very Low</v>
      </c>
      <c r="L515" s="11" t="s">
        <v>20</v>
      </c>
      <c r="M515" s="14">
        <v>45240</v>
      </c>
      <c r="N515" s="14" t="str">
        <f t="shared" si="77"/>
        <v>10/11/2023</v>
      </c>
      <c r="O515" s="14" t="str">
        <f t="shared" si="78"/>
        <v>2023</v>
      </c>
      <c r="P515" s="11" t="s">
        <v>1438</v>
      </c>
      <c r="Q515" s="11" t="s">
        <v>59</v>
      </c>
      <c r="R515" s="11">
        <v>17</v>
      </c>
      <c r="S515" s="11" t="str">
        <f t="shared" si="79"/>
        <v>17 + yrs</v>
      </c>
      <c r="T515" s="12">
        <v>0</v>
      </c>
      <c r="U515" s="11" t="str">
        <f t="shared" si="72"/>
        <v>(0 - 50)</v>
      </c>
      <c r="V515" s="12">
        <f t="shared" si="73"/>
        <v>17.899999999999999</v>
      </c>
      <c r="W515" s="12">
        <f t="shared" si="74"/>
        <v>18.039106145251395</v>
      </c>
      <c r="X515" s="12">
        <f t="shared" si="75"/>
        <v>0</v>
      </c>
    </row>
    <row r="516" spans="1:24">
      <c r="A516" s="11">
        <v>515</v>
      </c>
      <c r="B516" s="11" t="s">
        <v>1439</v>
      </c>
      <c r="C516" s="11" t="s">
        <v>32</v>
      </c>
      <c r="D516" s="11" t="s">
        <v>114</v>
      </c>
      <c r="E516" s="12">
        <v>65.599999999999994</v>
      </c>
      <c r="F516" s="11" t="s">
        <v>56</v>
      </c>
      <c r="G516" s="11" t="str">
        <f t="shared" si="80"/>
        <v>Litres</v>
      </c>
      <c r="H516" s="13">
        <v>569</v>
      </c>
      <c r="I516" s="11" t="s">
        <v>19</v>
      </c>
      <c r="J516" s="12">
        <v>102609</v>
      </c>
      <c r="K516" s="12" t="str">
        <f t="shared" si="76"/>
        <v>Very High</v>
      </c>
      <c r="L516" s="11" t="s">
        <v>20</v>
      </c>
      <c r="M516" s="14">
        <v>45679</v>
      </c>
      <c r="N516" s="14" t="str">
        <f t="shared" si="77"/>
        <v>22/01/2025</v>
      </c>
      <c r="O516" s="14" t="str">
        <f t="shared" si="78"/>
        <v>2025</v>
      </c>
      <c r="P516" s="11" t="s">
        <v>428</v>
      </c>
      <c r="Q516" s="11" t="s">
        <v>48</v>
      </c>
      <c r="R516" s="11">
        <v>17</v>
      </c>
      <c r="S516" s="11" t="str">
        <f t="shared" si="79"/>
        <v>17 + yrs</v>
      </c>
      <c r="T516" s="12">
        <v>161.19999999999999</v>
      </c>
      <c r="U516" s="11" t="str">
        <f t="shared" si="72"/>
        <v>(151 - 200)</v>
      </c>
      <c r="V516" s="12">
        <f t="shared" si="73"/>
        <v>8.6737804878048781</v>
      </c>
      <c r="W516" s="12">
        <f t="shared" si="74"/>
        <v>180.33216168717047</v>
      </c>
      <c r="X516" s="12">
        <f t="shared" si="75"/>
        <v>0.28330404217926186</v>
      </c>
    </row>
    <row r="517" spans="1:24">
      <c r="A517" s="11">
        <v>516</v>
      </c>
      <c r="B517" s="11" t="s">
        <v>2530</v>
      </c>
      <c r="C517" s="11" t="s">
        <v>50</v>
      </c>
      <c r="D517" s="11" t="s">
        <v>33</v>
      </c>
      <c r="E517" s="12">
        <v>91.3</v>
      </c>
      <c r="F517" s="11" t="s">
        <v>41</v>
      </c>
      <c r="G517" s="11" t="str">
        <f t="shared" si="80"/>
        <v>Litres</v>
      </c>
      <c r="H517" s="13">
        <v>608</v>
      </c>
      <c r="I517" s="11" t="s">
        <v>19</v>
      </c>
      <c r="J517" s="12">
        <v>57847</v>
      </c>
      <c r="K517" s="12" t="str">
        <f t="shared" si="76"/>
        <v>Moderate</v>
      </c>
      <c r="L517" s="11" t="s">
        <v>20</v>
      </c>
      <c r="M517" s="14">
        <v>44981</v>
      </c>
      <c r="N517" s="14" t="str">
        <f t="shared" si="77"/>
        <v>24/02/2023</v>
      </c>
      <c r="O517" s="14" t="str">
        <f t="shared" si="78"/>
        <v>2023</v>
      </c>
      <c r="P517" s="11" t="s">
        <v>47</v>
      </c>
      <c r="Q517" s="11" t="s">
        <v>59</v>
      </c>
      <c r="R517" s="11">
        <v>10</v>
      </c>
      <c r="S517" s="11" t="str">
        <f t="shared" si="79"/>
        <v>9 - 12 yrs</v>
      </c>
      <c r="T517" s="12">
        <v>285.2</v>
      </c>
      <c r="U517" s="11" t="str">
        <f t="shared" si="72"/>
        <v>(251 - 300)</v>
      </c>
      <c r="V517" s="12">
        <f t="shared" si="73"/>
        <v>6.6593647316538886</v>
      </c>
      <c r="W517" s="12">
        <f t="shared" si="74"/>
        <v>95.143092105263165</v>
      </c>
      <c r="X517" s="12">
        <f t="shared" si="75"/>
        <v>0.46907894736842104</v>
      </c>
    </row>
    <row r="518" spans="1:24">
      <c r="A518" s="11">
        <v>517</v>
      </c>
      <c r="B518" s="11" t="s">
        <v>2531</v>
      </c>
      <c r="C518" s="11" t="s">
        <v>16</v>
      </c>
      <c r="D518" s="11" t="s">
        <v>61</v>
      </c>
      <c r="E518" s="12">
        <v>10</v>
      </c>
      <c r="F518" s="11" t="s">
        <v>26</v>
      </c>
      <c r="G518" s="11" t="str">
        <f t="shared" si="80"/>
        <v>Litres</v>
      </c>
      <c r="H518" s="13">
        <v>518</v>
      </c>
      <c r="I518" s="11" t="s">
        <v>19</v>
      </c>
      <c r="J518" s="12">
        <v>108863</v>
      </c>
      <c r="K518" s="12" t="str">
        <f t="shared" si="76"/>
        <v>Extreme</v>
      </c>
      <c r="L518" s="11" t="s">
        <v>20</v>
      </c>
      <c r="M518" s="14">
        <v>45099</v>
      </c>
      <c r="N518" s="14" t="str">
        <f t="shared" si="77"/>
        <v>22/06/2023</v>
      </c>
      <c r="O518" s="14" t="str">
        <f t="shared" si="78"/>
        <v>2023</v>
      </c>
      <c r="P518" s="11" t="s">
        <v>1444</v>
      </c>
      <c r="Q518" s="11" t="s">
        <v>48</v>
      </c>
      <c r="R518" s="11">
        <v>2</v>
      </c>
      <c r="S518" s="11" t="str">
        <f t="shared" si="79"/>
        <v>0 - 4 yrs</v>
      </c>
      <c r="T518" s="12">
        <v>0</v>
      </c>
      <c r="U518" s="11" t="str">
        <f t="shared" si="72"/>
        <v>(0 - 50)</v>
      </c>
      <c r="V518" s="12">
        <f t="shared" si="73"/>
        <v>51.8</v>
      </c>
      <c r="W518" s="12">
        <f t="shared" si="74"/>
        <v>210.16023166023166</v>
      </c>
      <c r="X518" s="12">
        <f t="shared" si="75"/>
        <v>0</v>
      </c>
    </row>
    <row r="519" spans="1:24">
      <c r="A519" s="11">
        <v>518</v>
      </c>
      <c r="B519" s="11" t="s">
        <v>2532</v>
      </c>
      <c r="C519" s="11" t="s">
        <v>50</v>
      </c>
      <c r="D519" s="11" t="s">
        <v>17</v>
      </c>
      <c r="E519" s="12">
        <v>41.9</v>
      </c>
      <c r="F519" s="11" t="s">
        <v>26</v>
      </c>
      <c r="G519" s="11" t="str">
        <f t="shared" si="80"/>
        <v>Litres</v>
      </c>
      <c r="H519" s="13">
        <v>529</v>
      </c>
      <c r="I519" s="11" t="s">
        <v>19</v>
      </c>
      <c r="J519" s="12">
        <v>26337</v>
      </c>
      <c r="K519" s="12" t="str">
        <f t="shared" si="76"/>
        <v>Low</v>
      </c>
      <c r="L519" s="11" t="s">
        <v>20</v>
      </c>
      <c r="M519" s="14">
        <v>44961</v>
      </c>
      <c r="N519" s="14" t="str">
        <f t="shared" si="77"/>
        <v>04/02/2023</v>
      </c>
      <c r="O519" s="14" t="str">
        <f t="shared" si="78"/>
        <v>2023</v>
      </c>
      <c r="P519" s="11" t="s">
        <v>1447</v>
      </c>
      <c r="Q519" s="11" t="s">
        <v>112</v>
      </c>
      <c r="R519" s="11">
        <v>19</v>
      </c>
      <c r="S519" s="11" t="str">
        <f t="shared" si="79"/>
        <v>17 + yrs</v>
      </c>
      <c r="T519" s="12">
        <v>135.4</v>
      </c>
      <c r="U519" s="11" t="str">
        <f t="shared" si="72"/>
        <v>(101 - 150)</v>
      </c>
      <c r="V519" s="12">
        <f t="shared" si="73"/>
        <v>12.625298329355608</v>
      </c>
      <c r="W519" s="12">
        <f t="shared" si="74"/>
        <v>49.786389413988658</v>
      </c>
      <c r="X519" s="12">
        <f t="shared" si="75"/>
        <v>0.25595463137996222</v>
      </c>
    </row>
    <row r="520" spans="1:24">
      <c r="A520" s="11">
        <v>519</v>
      </c>
      <c r="B520" s="11" t="s">
        <v>1448</v>
      </c>
      <c r="C520" s="11" t="s">
        <v>32</v>
      </c>
      <c r="D520" s="11" t="s">
        <v>17</v>
      </c>
      <c r="E520" s="12">
        <v>43.3</v>
      </c>
      <c r="F520" s="11" t="s">
        <v>26</v>
      </c>
      <c r="G520" s="11" t="str">
        <f t="shared" si="80"/>
        <v>Litres</v>
      </c>
      <c r="H520" s="13">
        <v>683</v>
      </c>
      <c r="I520" s="11" t="s">
        <v>19</v>
      </c>
      <c r="J520" s="12">
        <v>79458</v>
      </c>
      <c r="K520" s="12" t="str">
        <f t="shared" si="76"/>
        <v>High</v>
      </c>
      <c r="L520" s="11" t="s">
        <v>20</v>
      </c>
      <c r="M520" s="14">
        <v>45546</v>
      </c>
      <c r="N520" s="14" t="str">
        <f t="shared" si="77"/>
        <v>11/09/2024</v>
      </c>
      <c r="O520" s="14" t="str">
        <f t="shared" si="78"/>
        <v>2024</v>
      </c>
      <c r="P520" s="11" t="s">
        <v>736</v>
      </c>
      <c r="Q520" s="11" t="s">
        <v>54</v>
      </c>
      <c r="R520" s="11">
        <v>9</v>
      </c>
      <c r="S520" s="11" t="str">
        <f t="shared" si="79"/>
        <v>9 - 12 yrs</v>
      </c>
      <c r="T520" s="12">
        <v>99.4</v>
      </c>
      <c r="U520" s="11" t="str">
        <f t="shared" si="72"/>
        <v>(51 - 100)</v>
      </c>
      <c r="V520" s="12">
        <f t="shared" si="73"/>
        <v>15.773672055427253</v>
      </c>
      <c r="W520" s="12">
        <f t="shared" si="74"/>
        <v>116.33674963396778</v>
      </c>
      <c r="X520" s="12">
        <f t="shared" si="75"/>
        <v>0.14553440702781845</v>
      </c>
    </row>
    <row r="521" spans="1:24">
      <c r="A521" s="11">
        <v>520</v>
      </c>
      <c r="B521" s="11" t="s">
        <v>1450</v>
      </c>
      <c r="C521" s="11" t="s">
        <v>16</v>
      </c>
      <c r="D521" s="11" t="s">
        <v>114</v>
      </c>
      <c r="E521" s="12">
        <v>84.1</v>
      </c>
      <c r="F521" s="11" t="s">
        <v>41</v>
      </c>
      <c r="G521" s="11" t="str">
        <f t="shared" si="80"/>
        <v>Litres</v>
      </c>
      <c r="H521" s="13">
        <v>521</v>
      </c>
      <c r="I521" s="11" t="s">
        <v>19</v>
      </c>
      <c r="J521" s="12">
        <v>95483</v>
      </c>
      <c r="K521" s="12" t="str">
        <f t="shared" si="76"/>
        <v>Very High</v>
      </c>
      <c r="L521" s="11" t="s">
        <v>20</v>
      </c>
      <c r="M521" s="14">
        <v>45602</v>
      </c>
      <c r="N521" s="14" t="str">
        <f t="shared" si="77"/>
        <v>06/11/2024</v>
      </c>
      <c r="O521" s="14" t="str">
        <f t="shared" si="78"/>
        <v>2024</v>
      </c>
      <c r="P521" s="11" t="s">
        <v>1452</v>
      </c>
      <c r="Q521" s="11" t="s">
        <v>121</v>
      </c>
      <c r="R521" s="11">
        <v>5</v>
      </c>
      <c r="S521" s="11" t="str">
        <f t="shared" si="79"/>
        <v>5 - 8 yrs</v>
      </c>
      <c r="T521" s="12">
        <v>190.9</v>
      </c>
      <c r="U521" s="11" t="str">
        <f t="shared" si="72"/>
        <v>(151 - 200)</v>
      </c>
      <c r="V521" s="12">
        <f t="shared" si="73"/>
        <v>6.1950059453032109</v>
      </c>
      <c r="W521" s="12">
        <f t="shared" si="74"/>
        <v>183.26871401151632</v>
      </c>
      <c r="X521" s="12">
        <f t="shared" si="75"/>
        <v>0.36641074856046069</v>
      </c>
    </row>
    <row r="522" spans="1:24">
      <c r="A522" s="11">
        <v>521</v>
      </c>
      <c r="B522" s="11" t="s">
        <v>1453</v>
      </c>
      <c r="C522" s="11" t="s">
        <v>32</v>
      </c>
      <c r="D522" s="11" t="s">
        <v>114</v>
      </c>
      <c r="E522" s="12">
        <v>12.5</v>
      </c>
      <c r="F522" s="11" t="s">
        <v>62</v>
      </c>
      <c r="G522" s="11" t="str">
        <f t="shared" si="80"/>
        <v>kWh</v>
      </c>
      <c r="H522" s="13">
        <v>658</v>
      </c>
      <c r="I522" s="11" t="s">
        <v>19</v>
      </c>
      <c r="J522" s="12">
        <v>59321</v>
      </c>
      <c r="K522" s="12" t="str">
        <f t="shared" si="76"/>
        <v>Moderate</v>
      </c>
      <c r="L522" s="11" t="s">
        <v>20</v>
      </c>
      <c r="M522" s="14">
        <v>45057</v>
      </c>
      <c r="N522" s="14" t="str">
        <f t="shared" si="77"/>
        <v>11/05/2023</v>
      </c>
      <c r="O522" s="14" t="str">
        <f t="shared" si="78"/>
        <v>2023</v>
      </c>
      <c r="P522" s="11" t="s">
        <v>1455</v>
      </c>
      <c r="Q522" s="11" t="s">
        <v>48</v>
      </c>
      <c r="R522" s="11">
        <v>1</v>
      </c>
      <c r="S522" s="11" t="str">
        <f t="shared" si="79"/>
        <v>0 - 4 yrs</v>
      </c>
      <c r="T522" s="12">
        <v>42.6</v>
      </c>
      <c r="U522" s="11" t="str">
        <f t="shared" si="72"/>
        <v>(0 - 50)</v>
      </c>
      <c r="V522" s="12">
        <f t="shared" si="73"/>
        <v>52.64</v>
      </c>
      <c r="W522" s="12">
        <f t="shared" si="74"/>
        <v>90.153495440729486</v>
      </c>
      <c r="X522" s="12">
        <f t="shared" si="75"/>
        <v>6.4741641337386024E-2</v>
      </c>
    </row>
    <row r="523" spans="1:24">
      <c r="A523" s="11">
        <v>522</v>
      </c>
      <c r="B523" s="11" t="s">
        <v>2533</v>
      </c>
      <c r="C523" s="11" t="s">
        <v>32</v>
      </c>
      <c r="D523" s="11" t="s">
        <v>17</v>
      </c>
      <c r="E523" s="12">
        <v>43.1</v>
      </c>
      <c r="F523" s="11" t="s">
        <v>26</v>
      </c>
      <c r="G523" s="11" t="str">
        <f t="shared" si="80"/>
        <v>Litres</v>
      </c>
      <c r="H523" s="13">
        <v>650</v>
      </c>
      <c r="I523" s="11" t="s">
        <v>19</v>
      </c>
      <c r="J523" s="12">
        <v>115589</v>
      </c>
      <c r="K523" s="12" t="str">
        <f t="shared" si="76"/>
        <v>Extreme</v>
      </c>
      <c r="L523" s="11" t="s">
        <v>20</v>
      </c>
      <c r="M523" s="14">
        <v>45057</v>
      </c>
      <c r="N523" s="14" t="str">
        <f t="shared" si="77"/>
        <v>11/05/2023</v>
      </c>
      <c r="O523" s="14" t="str">
        <f t="shared" si="78"/>
        <v>2023</v>
      </c>
      <c r="P523" s="11" t="s">
        <v>1458</v>
      </c>
      <c r="Q523" s="11" t="s">
        <v>69</v>
      </c>
      <c r="R523" s="11">
        <v>2</v>
      </c>
      <c r="S523" s="11" t="str">
        <f t="shared" si="79"/>
        <v>0 - 4 yrs</v>
      </c>
      <c r="T523" s="12">
        <v>109.3</v>
      </c>
      <c r="U523" s="11" t="str">
        <f t="shared" si="72"/>
        <v>(101 - 150)</v>
      </c>
      <c r="V523" s="12">
        <f t="shared" si="73"/>
        <v>15.081206496519721</v>
      </c>
      <c r="W523" s="12">
        <f t="shared" si="74"/>
        <v>177.82923076923078</v>
      </c>
      <c r="X523" s="12">
        <f t="shared" si="75"/>
        <v>0.16815384615384615</v>
      </c>
    </row>
    <row r="524" spans="1:24">
      <c r="A524" s="11">
        <v>523</v>
      </c>
      <c r="B524" s="11" t="s">
        <v>1459</v>
      </c>
      <c r="C524" s="11" t="s">
        <v>50</v>
      </c>
      <c r="D524" s="11" t="s">
        <v>17</v>
      </c>
      <c r="E524" s="12">
        <v>33.9</v>
      </c>
      <c r="F524" s="11" t="s">
        <v>2643</v>
      </c>
      <c r="G524" s="11" t="str">
        <f t="shared" si="80"/>
        <v>Litres</v>
      </c>
      <c r="H524" s="13">
        <v>683</v>
      </c>
      <c r="I524" s="11" t="s">
        <v>19</v>
      </c>
      <c r="J524" s="12">
        <v>7444</v>
      </c>
      <c r="K524" s="12" t="str">
        <f t="shared" si="76"/>
        <v>Very Low</v>
      </c>
      <c r="L524" s="11" t="s">
        <v>20</v>
      </c>
      <c r="M524" s="14">
        <v>45659</v>
      </c>
      <c r="N524" s="14" t="str">
        <f t="shared" si="77"/>
        <v>02/01/2025</v>
      </c>
      <c r="O524" s="14" t="str">
        <f t="shared" si="78"/>
        <v>2025</v>
      </c>
      <c r="P524" s="11" t="s">
        <v>698</v>
      </c>
      <c r="Q524" s="11" t="s">
        <v>59</v>
      </c>
      <c r="R524" s="11">
        <v>17</v>
      </c>
      <c r="S524" s="11" t="str">
        <f t="shared" si="79"/>
        <v>17 + yrs</v>
      </c>
      <c r="T524" s="12">
        <v>75.3</v>
      </c>
      <c r="U524" s="11" t="str">
        <f t="shared" si="72"/>
        <v>(51 - 100)</v>
      </c>
      <c r="V524" s="12">
        <f t="shared" si="73"/>
        <v>20.147492625368731</v>
      </c>
      <c r="W524" s="12">
        <f t="shared" si="74"/>
        <v>10.898975109809664</v>
      </c>
      <c r="X524" s="12">
        <f t="shared" si="75"/>
        <v>0.11024890190336749</v>
      </c>
    </row>
    <row r="525" spans="1:24">
      <c r="A525" s="11">
        <v>524</v>
      </c>
      <c r="B525" s="11" t="s">
        <v>1461</v>
      </c>
      <c r="C525" s="11" t="s">
        <v>50</v>
      </c>
      <c r="D525" s="11" t="s">
        <v>114</v>
      </c>
      <c r="E525" s="12">
        <v>42.4</v>
      </c>
      <c r="F525" s="11" t="s">
        <v>41</v>
      </c>
      <c r="G525" s="11" t="str">
        <f t="shared" si="80"/>
        <v>Litres</v>
      </c>
      <c r="H525" s="13">
        <v>137</v>
      </c>
      <c r="I525" s="11" t="s">
        <v>19</v>
      </c>
      <c r="J525" s="12">
        <v>7224</v>
      </c>
      <c r="K525" s="12" t="str">
        <f t="shared" si="76"/>
        <v>Very Low</v>
      </c>
      <c r="L525" s="11" t="s">
        <v>20</v>
      </c>
      <c r="M525" s="14">
        <v>45424</v>
      </c>
      <c r="N525" s="14" t="str">
        <f t="shared" si="77"/>
        <v>12/05/2024</v>
      </c>
      <c r="O525" s="14" t="str">
        <f t="shared" si="78"/>
        <v>2024</v>
      </c>
      <c r="P525" s="11" t="s">
        <v>452</v>
      </c>
      <c r="Q525" s="11" t="s">
        <v>441</v>
      </c>
      <c r="R525" s="11">
        <v>4</v>
      </c>
      <c r="S525" s="11" t="str">
        <f t="shared" si="79"/>
        <v>0 - 4 yrs</v>
      </c>
      <c r="T525" s="12">
        <v>129.80000000000001</v>
      </c>
      <c r="U525" s="11" t="str">
        <f t="shared" si="72"/>
        <v>(101 - 150)</v>
      </c>
      <c r="V525" s="12">
        <f t="shared" si="73"/>
        <v>3.2311320754716983</v>
      </c>
      <c r="W525" s="12">
        <f t="shared" si="74"/>
        <v>52.729927007299267</v>
      </c>
      <c r="X525" s="12">
        <f t="shared" si="75"/>
        <v>0.94744525547445269</v>
      </c>
    </row>
    <row r="526" spans="1:24">
      <c r="A526" s="11">
        <v>525</v>
      </c>
      <c r="B526" s="11" t="s">
        <v>1463</v>
      </c>
      <c r="C526" s="11" t="s">
        <v>16</v>
      </c>
      <c r="D526" s="11" t="s">
        <v>17</v>
      </c>
      <c r="E526" s="12">
        <v>50.2</v>
      </c>
      <c r="F526" s="11" t="s">
        <v>26</v>
      </c>
      <c r="G526" s="11" t="str">
        <f t="shared" si="80"/>
        <v>Litres</v>
      </c>
      <c r="H526" s="13">
        <v>641</v>
      </c>
      <c r="I526" s="11" t="s">
        <v>19</v>
      </c>
      <c r="J526" s="12">
        <v>40245</v>
      </c>
      <c r="K526" s="12" t="str">
        <f t="shared" si="76"/>
        <v>Medium</v>
      </c>
      <c r="L526" s="11" t="s">
        <v>20</v>
      </c>
      <c r="M526" s="14">
        <v>45008</v>
      </c>
      <c r="N526" s="14" t="str">
        <f t="shared" si="77"/>
        <v>23/03/2023</v>
      </c>
      <c r="O526" s="14" t="str">
        <f t="shared" si="78"/>
        <v>2023</v>
      </c>
      <c r="P526" s="11" t="s">
        <v>1465</v>
      </c>
      <c r="Q526" s="11" t="s">
        <v>441</v>
      </c>
      <c r="R526" s="11">
        <v>20</v>
      </c>
      <c r="S526" s="11" t="str">
        <f t="shared" si="79"/>
        <v>17 + yrs</v>
      </c>
      <c r="T526" s="12">
        <v>139.4</v>
      </c>
      <c r="U526" s="11" t="str">
        <f t="shared" si="72"/>
        <v>(101 - 150)</v>
      </c>
      <c r="V526" s="12">
        <f t="shared" si="73"/>
        <v>12.768924302788843</v>
      </c>
      <c r="W526" s="12">
        <f t="shared" si="74"/>
        <v>62.784711388455541</v>
      </c>
      <c r="X526" s="12">
        <f t="shared" si="75"/>
        <v>0.21747269890795631</v>
      </c>
    </row>
    <row r="527" spans="1:24">
      <c r="A527" s="11">
        <v>526</v>
      </c>
      <c r="B527" s="11" t="s">
        <v>864</v>
      </c>
      <c r="C527" s="11" t="s">
        <v>39</v>
      </c>
      <c r="D527" s="11" t="s">
        <v>33</v>
      </c>
      <c r="E527" s="12">
        <v>40.700000000000003</v>
      </c>
      <c r="F527" s="11" t="s">
        <v>26</v>
      </c>
      <c r="G527" s="11" t="str">
        <f t="shared" si="80"/>
        <v>Litres</v>
      </c>
      <c r="H527" s="13">
        <v>388</v>
      </c>
      <c r="I527" s="11" t="s">
        <v>19</v>
      </c>
      <c r="J527" s="12">
        <v>49609</v>
      </c>
      <c r="K527" s="12" t="str">
        <f t="shared" si="76"/>
        <v>Medium</v>
      </c>
      <c r="L527" s="11" t="s">
        <v>20</v>
      </c>
      <c r="M527" s="14">
        <v>44943</v>
      </c>
      <c r="N527" s="14" t="str">
        <f t="shared" si="77"/>
        <v>17/01/2023</v>
      </c>
      <c r="O527" s="14" t="str">
        <f t="shared" si="78"/>
        <v>2023</v>
      </c>
      <c r="P527" s="11" t="s">
        <v>1467</v>
      </c>
      <c r="Q527" s="11" t="s">
        <v>121</v>
      </c>
      <c r="R527" s="11">
        <v>13</v>
      </c>
      <c r="S527" s="11" t="str">
        <f t="shared" si="79"/>
        <v>13 - 16 yrs</v>
      </c>
      <c r="T527" s="12">
        <v>112.3</v>
      </c>
      <c r="U527" s="11" t="str">
        <f t="shared" si="72"/>
        <v>(101 - 150)</v>
      </c>
      <c r="V527" s="12">
        <f t="shared" si="73"/>
        <v>9.5331695331695325</v>
      </c>
      <c r="W527" s="12">
        <f t="shared" si="74"/>
        <v>127.85824742268041</v>
      </c>
      <c r="X527" s="12">
        <f t="shared" si="75"/>
        <v>0.28943298969072162</v>
      </c>
    </row>
    <row r="528" spans="1:24">
      <c r="A528" s="11">
        <v>527</v>
      </c>
      <c r="B528" s="11" t="s">
        <v>217</v>
      </c>
      <c r="C528" s="11" t="s">
        <v>50</v>
      </c>
      <c r="D528" s="11" t="s">
        <v>17</v>
      </c>
      <c r="E528" s="12">
        <v>55.1</v>
      </c>
      <c r="F528" s="11" t="s">
        <v>26</v>
      </c>
      <c r="G528" s="11" t="str">
        <f t="shared" si="80"/>
        <v>Litres</v>
      </c>
      <c r="H528" s="13">
        <v>347</v>
      </c>
      <c r="I528" s="11" t="s">
        <v>19</v>
      </c>
      <c r="J528" s="12">
        <v>48025</v>
      </c>
      <c r="K528" s="12" t="str">
        <f t="shared" si="76"/>
        <v>Medium</v>
      </c>
      <c r="L528" s="11" t="s">
        <v>20</v>
      </c>
      <c r="M528" s="14">
        <v>45646</v>
      </c>
      <c r="N528" s="14" t="str">
        <f t="shared" si="77"/>
        <v>20/12/2024</v>
      </c>
      <c r="O528" s="14" t="str">
        <f t="shared" si="78"/>
        <v>2024</v>
      </c>
      <c r="P528" s="11" t="s">
        <v>618</v>
      </c>
      <c r="Q528" s="11" t="s">
        <v>2648</v>
      </c>
      <c r="R528" s="11">
        <v>1</v>
      </c>
      <c r="S528" s="11" t="str">
        <f t="shared" si="79"/>
        <v>0 - 4 yrs</v>
      </c>
      <c r="T528" s="12">
        <v>180</v>
      </c>
      <c r="U528" s="11" t="str">
        <f t="shared" si="72"/>
        <v>(151 - 200)</v>
      </c>
      <c r="V528" s="12">
        <f t="shared" si="73"/>
        <v>6.297640653357532</v>
      </c>
      <c r="W528" s="12">
        <f t="shared" si="74"/>
        <v>138.40057636887607</v>
      </c>
      <c r="X528" s="12">
        <f t="shared" si="75"/>
        <v>0.51873198847262247</v>
      </c>
    </row>
    <row r="529" spans="1:24">
      <c r="A529" s="11">
        <v>528</v>
      </c>
      <c r="B529" s="11" t="s">
        <v>2534</v>
      </c>
      <c r="C529" s="11" t="s">
        <v>16</v>
      </c>
      <c r="D529" s="11" t="s">
        <v>17</v>
      </c>
      <c r="E529" s="12">
        <v>17.100000000000001</v>
      </c>
      <c r="F529" s="11" t="s">
        <v>41</v>
      </c>
      <c r="G529" s="11" t="str">
        <f t="shared" si="80"/>
        <v>Litres</v>
      </c>
      <c r="H529" s="13">
        <v>190</v>
      </c>
      <c r="I529" s="11" t="s">
        <v>19</v>
      </c>
      <c r="J529" s="12">
        <v>4446</v>
      </c>
      <c r="K529" s="12" t="str">
        <f t="shared" si="76"/>
        <v>Very Low</v>
      </c>
      <c r="L529" s="11" t="s">
        <v>20</v>
      </c>
      <c r="M529" s="14">
        <v>45072</v>
      </c>
      <c r="N529" s="14" t="str">
        <f t="shared" si="77"/>
        <v>26/05/2023</v>
      </c>
      <c r="O529" s="14" t="str">
        <f t="shared" si="78"/>
        <v>2023</v>
      </c>
      <c r="P529" s="11" t="s">
        <v>1471</v>
      </c>
      <c r="Q529" s="11" t="s">
        <v>117</v>
      </c>
      <c r="R529" s="11">
        <v>6</v>
      </c>
      <c r="S529" s="11" t="str">
        <f t="shared" si="79"/>
        <v>5 - 8 yrs</v>
      </c>
      <c r="T529" s="12">
        <v>45.8</v>
      </c>
      <c r="U529" s="11" t="str">
        <f t="shared" si="72"/>
        <v>(0 - 50)</v>
      </c>
      <c r="V529" s="12">
        <f t="shared" si="73"/>
        <v>11.111111111111111</v>
      </c>
      <c r="W529" s="12">
        <f t="shared" si="74"/>
        <v>23.4</v>
      </c>
      <c r="X529" s="12">
        <f t="shared" si="75"/>
        <v>0.24105263157894735</v>
      </c>
    </row>
    <row r="530" spans="1:24">
      <c r="A530" s="11">
        <v>529</v>
      </c>
      <c r="B530" s="11" t="s">
        <v>1472</v>
      </c>
      <c r="C530" s="11" t="s">
        <v>39</v>
      </c>
      <c r="D530" s="11" t="s">
        <v>33</v>
      </c>
      <c r="E530" s="12">
        <v>65.5</v>
      </c>
      <c r="F530" s="11" t="s">
        <v>56</v>
      </c>
      <c r="G530" s="11" t="str">
        <f t="shared" si="80"/>
        <v>Litres</v>
      </c>
      <c r="H530" s="13">
        <v>550</v>
      </c>
      <c r="I530" s="11" t="s">
        <v>19</v>
      </c>
      <c r="J530" s="12">
        <v>59970</v>
      </c>
      <c r="K530" s="12" t="str">
        <f t="shared" si="76"/>
        <v>Moderate</v>
      </c>
      <c r="L530" s="11" t="s">
        <v>20</v>
      </c>
      <c r="M530" s="14">
        <v>45521</v>
      </c>
      <c r="N530" s="14" t="str">
        <f t="shared" si="77"/>
        <v>17/08/2024</v>
      </c>
      <c r="O530" s="14" t="str">
        <f t="shared" si="78"/>
        <v>2024</v>
      </c>
      <c r="P530" s="11" t="s">
        <v>1473</v>
      </c>
      <c r="Q530" s="11" t="s">
        <v>2648</v>
      </c>
      <c r="R530" s="11">
        <v>11</v>
      </c>
      <c r="S530" s="11" t="str">
        <f t="shared" si="79"/>
        <v>9 - 12 yrs</v>
      </c>
      <c r="T530" s="12">
        <v>185.8</v>
      </c>
      <c r="U530" s="11" t="str">
        <f t="shared" si="72"/>
        <v>(151 - 200)</v>
      </c>
      <c r="V530" s="12">
        <f t="shared" si="73"/>
        <v>8.3969465648854964</v>
      </c>
      <c r="W530" s="12">
        <f t="shared" si="74"/>
        <v>109.03636363636363</v>
      </c>
      <c r="X530" s="12">
        <f t="shared" si="75"/>
        <v>0.33781818181818185</v>
      </c>
    </row>
    <row r="531" spans="1:24">
      <c r="A531" s="11">
        <v>530</v>
      </c>
      <c r="B531" s="11" t="s">
        <v>1474</v>
      </c>
      <c r="C531" s="11" t="s">
        <v>39</v>
      </c>
      <c r="D531" s="11" t="s">
        <v>61</v>
      </c>
      <c r="E531" s="12">
        <v>10</v>
      </c>
      <c r="F531" s="11" t="s">
        <v>62</v>
      </c>
      <c r="G531" s="11" t="str">
        <f t="shared" si="80"/>
        <v>kWh</v>
      </c>
      <c r="H531" s="13">
        <v>148</v>
      </c>
      <c r="I531" s="11" t="s">
        <v>19</v>
      </c>
      <c r="J531" s="12">
        <v>68366</v>
      </c>
      <c r="K531" s="12" t="str">
        <f t="shared" si="76"/>
        <v>Moderate</v>
      </c>
      <c r="L531" s="11" t="s">
        <v>20</v>
      </c>
      <c r="M531" s="14">
        <v>45870</v>
      </c>
      <c r="N531" s="14" t="str">
        <f t="shared" si="77"/>
        <v>01/08/2025</v>
      </c>
      <c r="O531" s="14" t="str">
        <f t="shared" si="78"/>
        <v>2025</v>
      </c>
      <c r="P531" s="11" t="s">
        <v>1475</v>
      </c>
      <c r="Q531" s="11" t="s">
        <v>121</v>
      </c>
      <c r="R531" s="11">
        <v>7</v>
      </c>
      <c r="S531" s="11" t="str">
        <f t="shared" si="79"/>
        <v>5 - 8 yrs</v>
      </c>
      <c r="T531" s="12">
        <v>0</v>
      </c>
      <c r="U531" s="11" t="str">
        <f t="shared" si="72"/>
        <v>(0 - 50)</v>
      </c>
      <c r="V531" s="12">
        <f t="shared" si="73"/>
        <v>14.8</v>
      </c>
      <c r="W531" s="12">
        <f t="shared" si="74"/>
        <v>461.93243243243245</v>
      </c>
      <c r="X531" s="12">
        <f t="shared" si="75"/>
        <v>0</v>
      </c>
    </row>
    <row r="532" spans="1:24">
      <c r="A532" s="11">
        <v>531</v>
      </c>
      <c r="B532" s="11" t="s">
        <v>1476</v>
      </c>
      <c r="C532" s="11" t="s">
        <v>16</v>
      </c>
      <c r="D532" s="11" t="s">
        <v>33</v>
      </c>
      <c r="E532" s="12">
        <v>7.8</v>
      </c>
      <c r="F532" s="11" t="s">
        <v>26</v>
      </c>
      <c r="G532" s="11" t="str">
        <f t="shared" si="80"/>
        <v>Litres</v>
      </c>
      <c r="H532" s="13">
        <v>218</v>
      </c>
      <c r="I532" s="11" t="s">
        <v>19</v>
      </c>
      <c r="J532" s="12">
        <v>103938</v>
      </c>
      <c r="K532" s="12" t="str">
        <f t="shared" si="76"/>
        <v>Very High</v>
      </c>
      <c r="L532" s="11" t="s">
        <v>20</v>
      </c>
      <c r="M532" s="14">
        <v>45839</v>
      </c>
      <c r="N532" s="14" t="str">
        <f t="shared" si="77"/>
        <v>01/07/2025</v>
      </c>
      <c r="O532" s="14" t="str">
        <f t="shared" si="78"/>
        <v>2025</v>
      </c>
      <c r="P532" s="11" t="s">
        <v>956</v>
      </c>
      <c r="Q532" s="11" t="s">
        <v>86</v>
      </c>
      <c r="R532" s="11">
        <v>16</v>
      </c>
      <c r="S532" s="11" t="str">
        <f t="shared" si="79"/>
        <v>13 - 16 yrs</v>
      </c>
      <c r="T532" s="12">
        <v>23.7</v>
      </c>
      <c r="U532" s="11" t="str">
        <f t="shared" si="72"/>
        <v>(0 - 50)</v>
      </c>
      <c r="V532" s="12">
        <f t="shared" si="73"/>
        <v>27.948717948717949</v>
      </c>
      <c r="W532" s="12">
        <f t="shared" si="74"/>
        <v>476.77981651376149</v>
      </c>
      <c r="X532" s="12">
        <f t="shared" si="75"/>
        <v>0.10871559633027522</v>
      </c>
    </row>
    <row r="533" spans="1:24">
      <c r="A533" s="11">
        <v>532</v>
      </c>
      <c r="B533" s="11" t="s">
        <v>1478</v>
      </c>
      <c r="C533" s="11" t="s">
        <v>39</v>
      </c>
      <c r="D533" s="11" t="s">
        <v>61</v>
      </c>
      <c r="E533" s="12">
        <v>10</v>
      </c>
      <c r="F533" s="11" t="s">
        <v>56</v>
      </c>
      <c r="G533" s="11" t="str">
        <f t="shared" si="80"/>
        <v>Litres</v>
      </c>
      <c r="H533" s="13">
        <v>210</v>
      </c>
      <c r="I533" s="11" t="s">
        <v>19</v>
      </c>
      <c r="J533" s="12">
        <v>94146</v>
      </c>
      <c r="K533" s="12" t="str">
        <f t="shared" si="76"/>
        <v>Very High</v>
      </c>
      <c r="L533" s="11" t="s">
        <v>20</v>
      </c>
      <c r="M533" s="14">
        <v>45438</v>
      </c>
      <c r="N533" s="14" t="str">
        <f t="shared" si="77"/>
        <v>26/05/2024</v>
      </c>
      <c r="O533" s="14" t="str">
        <f t="shared" si="78"/>
        <v>2024</v>
      </c>
      <c r="P533" s="11" t="s">
        <v>639</v>
      </c>
      <c r="Q533" s="11" t="s">
        <v>441</v>
      </c>
      <c r="R533" s="11">
        <v>6</v>
      </c>
      <c r="S533" s="11" t="str">
        <f t="shared" si="79"/>
        <v>5 - 8 yrs</v>
      </c>
      <c r="T533" s="12">
        <v>0</v>
      </c>
      <c r="U533" s="11" t="str">
        <f t="shared" si="72"/>
        <v>(0 - 50)</v>
      </c>
      <c r="V533" s="12">
        <f t="shared" si="73"/>
        <v>21</v>
      </c>
      <c r="W533" s="12">
        <f t="shared" si="74"/>
        <v>448.31428571428569</v>
      </c>
      <c r="X533" s="12">
        <f t="shared" si="75"/>
        <v>0</v>
      </c>
    </row>
    <row r="534" spans="1:24">
      <c r="A534" s="11">
        <v>533</v>
      </c>
      <c r="B534" s="11" t="s">
        <v>2535</v>
      </c>
      <c r="C534" s="11" t="s">
        <v>39</v>
      </c>
      <c r="D534" s="11" t="s">
        <v>17</v>
      </c>
      <c r="E534" s="12">
        <v>84.7</v>
      </c>
      <c r="F534" s="11" t="s">
        <v>26</v>
      </c>
      <c r="G534" s="11" t="str">
        <f t="shared" si="80"/>
        <v>Litres</v>
      </c>
      <c r="H534" s="13">
        <v>124</v>
      </c>
      <c r="I534" s="11" t="s">
        <v>19</v>
      </c>
      <c r="J534" s="12">
        <v>108337</v>
      </c>
      <c r="K534" s="12" t="str">
        <f t="shared" si="76"/>
        <v>Extreme</v>
      </c>
      <c r="L534" s="11" t="s">
        <v>20</v>
      </c>
      <c r="M534" s="14">
        <v>45214</v>
      </c>
      <c r="N534" s="14" t="str">
        <f t="shared" si="77"/>
        <v>15/10/2023</v>
      </c>
      <c r="O534" s="14" t="str">
        <f t="shared" si="78"/>
        <v>2023</v>
      </c>
      <c r="P534" s="11" t="s">
        <v>1482</v>
      </c>
      <c r="Q534" s="11" t="s">
        <v>441</v>
      </c>
      <c r="R534" s="11">
        <v>12</v>
      </c>
      <c r="S534" s="11" t="str">
        <f t="shared" si="79"/>
        <v>9 - 12 yrs</v>
      </c>
      <c r="T534" s="12">
        <v>264.60000000000002</v>
      </c>
      <c r="U534" s="11" t="str">
        <f t="shared" si="72"/>
        <v>(251 - 300)</v>
      </c>
      <c r="V534" s="12">
        <f t="shared" si="73"/>
        <v>1.4639905548996457</v>
      </c>
      <c r="W534" s="12">
        <f t="shared" si="74"/>
        <v>873.68548387096769</v>
      </c>
      <c r="X534" s="12">
        <f t="shared" si="75"/>
        <v>2.1338709677419359</v>
      </c>
    </row>
    <row r="535" spans="1:24">
      <c r="A535" s="11">
        <v>534</v>
      </c>
      <c r="B535" s="11" t="s">
        <v>1483</v>
      </c>
      <c r="C535" s="11" t="s">
        <v>16</v>
      </c>
      <c r="D535" s="11" t="s">
        <v>17</v>
      </c>
      <c r="E535" s="12">
        <v>31.2</v>
      </c>
      <c r="F535" s="11" t="s">
        <v>56</v>
      </c>
      <c r="G535" s="11" t="str">
        <f t="shared" si="80"/>
        <v>Litres</v>
      </c>
      <c r="H535" s="13">
        <v>162</v>
      </c>
      <c r="I535" s="11" t="s">
        <v>19</v>
      </c>
      <c r="J535" s="12">
        <v>95982</v>
      </c>
      <c r="K535" s="12" t="str">
        <f t="shared" si="76"/>
        <v>Very High</v>
      </c>
      <c r="L535" s="11" t="s">
        <v>20</v>
      </c>
      <c r="M535" s="14">
        <v>45906</v>
      </c>
      <c r="N535" s="14" t="str">
        <f t="shared" si="77"/>
        <v>06/09/2025</v>
      </c>
      <c r="O535" s="14" t="str">
        <f t="shared" si="78"/>
        <v>2025</v>
      </c>
      <c r="P535" s="11" t="s">
        <v>1485</v>
      </c>
      <c r="Q535" s="11" t="s">
        <v>54</v>
      </c>
      <c r="R535" s="11">
        <v>20</v>
      </c>
      <c r="S535" s="11" t="str">
        <f t="shared" si="79"/>
        <v>17 + yrs</v>
      </c>
      <c r="T535" s="12">
        <v>80.599999999999994</v>
      </c>
      <c r="U535" s="11" t="str">
        <f t="shared" si="72"/>
        <v>(51 - 100)</v>
      </c>
      <c r="V535" s="12">
        <f t="shared" si="73"/>
        <v>5.1923076923076925</v>
      </c>
      <c r="W535" s="12">
        <f t="shared" si="74"/>
        <v>592.48148148148152</v>
      </c>
      <c r="X535" s="12">
        <f t="shared" si="75"/>
        <v>0.49753086419753084</v>
      </c>
    </row>
    <row r="536" spans="1:24">
      <c r="A536" s="11">
        <v>535</v>
      </c>
      <c r="B536" s="11" t="s">
        <v>1486</v>
      </c>
      <c r="C536" s="11" t="s">
        <v>50</v>
      </c>
      <c r="D536" s="11" t="s">
        <v>61</v>
      </c>
      <c r="E536" s="12">
        <v>10</v>
      </c>
      <c r="F536" s="11" t="s">
        <v>2643</v>
      </c>
      <c r="G536" s="11" t="str">
        <f t="shared" si="80"/>
        <v>Litres</v>
      </c>
      <c r="H536" s="13">
        <v>521</v>
      </c>
      <c r="I536" s="11" t="s">
        <v>19</v>
      </c>
      <c r="J536" s="12">
        <v>101722</v>
      </c>
      <c r="K536" s="12" t="str">
        <f t="shared" si="76"/>
        <v>Very High</v>
      </c>
      <c r="L536" s="11" t="s">
        <v>20</v>
      </c>
      <c r="M536" s="14">
        <v>45187</v>
      </c>
      <c r="N536" s="14" t="str">
        <f t="shared" si="77"/>
        <v>18/09/2023</v>
      </c>
      <c r="O536" s="14" t="str">
        <f t="shared" si="78"/>
        <v>2023</v>
      </c>
      <c r="P536" s="11" t="s">
        <v>1488</v>
      </c>
      <c r="Q536" s="11" t="s">
        <v>69</v>
      </c>
      <c r="R536" s="11">
        <v>15</v>
      </c>
      <c r="S536" s="11" t="str">
        <f t="shared" si="79"/>
        <v>13 - 16 yrs</v>
      </c>
      <c r="T536" s="12">
        <v>0</v>
      </c>
      <c r="U536" s="11" t="str">
        <f t="shared" si="72"/>
        <v>(0 - 50)</v>
      </c>
      <c r="V536" s="12">
        <f t="shared" si="73"/>
        <v>52.1</v>
      </c>
      <c r="W536" s="12">
        <f t="shared" si="74"/>
        <v>195.24376199616123</v>
      </c>
      <c r="X536" s="12">
        <f t="shared" si="75"/>
        <v>0</v>
      </c>
    </row>
    <row r="537" spans="1:24">
      <c r="A537" s="11">
        <v>536</v>
      </c>
      <c r="B537" s="11" t="s">
        <v>2536</v>
      </c>
      <c r="C537" s="11" t="s">
        <v>16</v>
      </c>
      <c r="D537" s="11" t="s">
        <v>114</v>
      </c>
      <c r="E537" s="12">
        <v>68.7</v>
      </c>
      <c r="F537" s="11" t="s">
        <v>2643</v>
      </c>
      <c r="G537" s="11" t="str">
        <f t="shared" si="80"/>
        <v>Litres</v>
      </c>
      <c r="H537" s="13">
        <v>116</v>
      </c>
      <c r="I537" s="11" t="s">
        <v>19</v>
      </c>
      <c r="J537" s="12">
        <v>36602</v>
      </c>
      <c r="K537" s="12" t="str">
        <f t="shared" si="76"/>
        <v>Medium</v>
      </c>
      <c r="L537" s="11" t="s">
        <v>20</v>
      </c>
      <c r="M537" s="14">
        <v>45057</v>
      </c>
      <c r="N537" s="14" t="str">
        <f t="shared" si="77"/>
        <v>11/05/2023</v>
      </c>
      <c r="O537" s="14" t="str">
        <f t="shared" si="78"/>
        <v>2023</v>
      </c>
      <c r="P537" s="11" t="s">
        <v>1490</v>
      </c>
      <c r="Q537" s="11" t="s">
        <v>441</v>
      </c>
      <c r="R537" s="11">
        <v>3</v>
      </c>
      <c r="S537" s="11" t="str">
        <f t="shared" si="79"/>
        <v>0 - 4 yrs</v>
      </c>
      <c r="T537" s="12">
        <v>187.4</v>
      </c>
      <c r="U537" s="11" t="str">
        <f t="shared" si="72"/>
        <v>(151 - 200)</v>
      </c>
      <c r="V537" s="12">
        <f t="shared" si="73"/>
        <v>1.6885007278020379</v>
      </c>
      <c r="W537" s="12">
        <f t="shared" si="74"/>
        <v>315.5344827586207</v>
      </c>
      <c r="X537" s="12">
        <f t="shared" si="75"/>
        <v>1.6155172413793104</v>
      </c>
    </row>
    <row r="538" spans="1:24">
      <c r="A538" s="11">
        <v>537</v>
      </c>
      <c r="B538" s="11" t="s">
        <v>1491</v>
      </c>
      <c r="C538" s="11" t="s">
        <v>16</v>
      </c>
      <c r="D538" s="11" t="s">
        <v>33</v>
      </c>
      <c r="E538" s="12">
        <v>46.5</v>
      </c>
      <c r="F538" s="11" t="s">
        <v>26</v>
      </c>
      <c r="G538" s="11" t="str">
        <f t="shared" si="80"/>
        <v>Litres</v>
      </c>
      <c r="H538" s="13">
        <v>519</v>
      </c>
      <c r="I538" s="11" t="s">
        <v>19</v>
      </c>
      <c r="J538" s="12">
        <v>40500</v>
      </c>
      <c r="K538" s="12" t="str">
        <f t="shared" si="76"/>
        <v>Medium</v>
      </c>
      <c r="L538" s="11" t="s">
        <v>20</v>
      </c>
      <c r="M538" s="14">
        <v>45577</v>
      </c>
      <c r="N538" s="14" t="str">
        <f t="shared" si="77"/>
        <v>12/10/2024</v>
      </c>
      <c r="O538" s="14" t="str">
        <f t="shared" si="78"/>
        <v>2024</v>
      </c>
      <c r="P538" s="11" t="s">
        <v>1493</v>
      </c>
      <c r="Q538" s="11" t="s">
        <v>59</v>
      </c>
      <c r="R538" s="11">
        <v>10</v>
      </c>
      <c r="S538" s="11" t="str">
        <f t="shared" si="79"/>
        <v>9 - 12 yrs</v>
      </c>
      <c r="T538" s="12">
        <v>121.4</v>
      </c>
      <c r="U538" s="11" t="str">
        <f t="shared" si="72"/>
        <v>(101 - 150)</v>
      </c>
      <c r="V538" s="12">
        <f t="shared" si="73"/>
        <v>11.161290322580646</v>
      </c>
      <c r="W538" s="12">
        <f t="shared" si="74"/>
        <v>78.034682080924853</v>
      </c>
      <c r="X538" s="12">
        <f t="shared" si="75"/>
        <v>0.23391136801541426</v>
      </c>
    </row>
    <row r="539" spans="1:24">
      <c r="A539" s="11">
        <v>538</v>
      </c>
      <c r="B539" s="11" t="s">
        <v>1494</v>
      </c>
      <c r="C539" s="11" t="s">
        <v>39</v>
      </c>
      <c r="D539" s="11" t="s">
        <v>61</v>
      </c>
      <c r="E539" s="12">
        <v>10</v>
      </c>
      <c r="F539" s="11" t="s">
        <v>2643</v>
      </c>
      <c r="G539" s="11" t="str">
        <f t="shared" si="80"/>
        <v>Litres</v>
      </c>
      <c r="H539" s="13">
        <v>472</v>
      </c>
      <c r="I539" s="11" t="s">
        <v>19</v>
      </c>
      <c r="J539" s="12">
        <v>23929</v>
      </c>
      <c r="K539" s="12" t="str">
        <f t="shared" si="76"/>
        <v>Low</v>
      </c>
      <c r="L539" s="11" t="s">
        <v>20</v>
      </c>
      <c r="M539" s="14">
        <v>45798</v>
      </c>
      <c r="N539" s="14" t="str">
        <f t="shared" si="77"/>
        <v>21/05/2025</v>
      </c>
      <c r="O539" s="14" t="str">
        <f t="shared" si="78"/>
        <v>2025</v>
      </c>
      <c r="P539" s="11" t="s">
        <v>1134</v>
      </c>
      <c r="Q539" s="11" t="s">
        <v>2648</v>
      </c>
      <c r="R539" s="11">
        <v>13</v>
      </c>
      <c r="S539" s="11" t="str">
        <f t="shared" si="79"/>
        <v>13 - 16 yrs</v>
      </c>
      <c r="T539" s="12">
        <v>0</v>
      </c>
      <c r="U539" s="11" t="str">
        <f t="shared" si="72"/>
        <v>(0 - 50)</v>
      </c>
      <c r="V539" s="12">
        <f t="shared" si="73"/>
        <v>47.2</v>
      </c>
      <c r="W539" s="12">
        <f t="shared" si="74"/>
        <v>50.697033898305087</v>
      </c>
      <c r="X539" s="12">
        <f t="shared" si="75"/>
        <v>0</v>
      </c>
    </row>
    <row r="540" spans="1:24">
      <c r="A540" s="11">
        <v>539</v>
      </c>
      <c r="B540" s="11" t="s">
        <v>2537</v>
      </c>
      <c r="C540" s="11" t="s">
        <v>50</v>
      </c>
      <c r="D540" s="11" t="s">
        <v>33</v>
      </c>
      <c r="E540" s="12">
        <v>17.2</v>
      </c>
      <c r="F540" s="11" t="s">
        <v>41</v>
      </c>
      <c r="G540" s="11" t="str">
        <f t="shared" si="80"/>
        <v>Litres</v>
      </c>
      <c r="H540" s="13">
        <v>42</v>
      </c>
      <c r="I540" s="11" t="s">
        <v>19</v>
      </c>
      <c r="J540" s="12">
        <v>4962</v>
      </c>
      <c r="K540" s="12" t="str">
        <f t="shared" si="76"/>
        <v>Very Low</v>
      </c>
      <c r="L540" s="11" t="s">
        <v>20</v>
      </c>
      <c r="M540" s="14">
        <v>45602</v>
      </c>
      <c r="N540" s="14" t="str">
        <f t="shared" si="77"/>
        <v>06/11/2024</v>
      </c>
      <c r="O540" s="14" t="str">
        <f t="shared" si="78"/>
        <v>2024</v>
      </c>
      <c r="P540" s="11" t="s">
        <v>1497</v>
      </c>
      <c r="Q540" s="11" t="s">
        <v>69</v>
      </c>
      <c r="R540" s="11">
        <v>16</v>
      </c>
      <c r="S540" s="11" t="str">
        <f t="shared" si="79"/>
        <v>13 - 16 yrs</v>
      </c>
      <c r="T540" s="12">
        <v>55.6</v>
      </c>
      <c r="U540" s="11" t="str">
        <f t="shared" si="72"/>
        <v>(51 - 100)</v>
      </c>
      <c r="V540" s="12">
        <f t="shared" si="73"/>
        <v>2.441860465116279</v>
      </c>
      <c r="W540" s="12">
        <f t="shared" si="74"/>
        <v>118.14285714285714</v>
      </c>
      <c r="X540" s="12">
        <f t="shared" si="75"/>
        <v>1.3238095238095238</v>
      </c>
    </row>
    <row r="541" spans="1:24">
      <c r="A541" s="11">
        <v>540</v>
      </c>
      <c r="B541" s="11" t="s">
        <v>610</v>
      </c>
      <c r="C541" s="11" t="s">
        <v>39</v>
      </c>
      <c r="D541" s="11" t="s">
        <v>61</v>
      </c>
      <c r="E541" s="12">
        <v>10</v>
      </c>
      <c r="F541" s="11" t="s">
        <v>41</v>
      </c>
      <c r="G541" s="11" t="str">
        <f t="shared" si="80"/>
        <v>Litres</v>
      </c>
      <c r="H541" s="13">
        <v>587</v>
      </c>
      <c r="I541" s="11" t="s">
        <v>19</v>
      </c>
      <c r="J541" s="12">
        <v>83254</v>
      </c>
      <c r="K541" s="12" t="str">
        <f t="shared" si="76"/>
        <v>High</v>
      </c>
      <c r="L541" s="11" t="s">
        <v>20</v>
      </c>
      <c r="M541" s="14">
        <v>44959</v>
      </c>
      <c r="N541" s="14" t="str">
        <f t="shared" si="77"/>
        <v>02/02/2023</v>
      </c>
      <c r="O541" s="14" t="str">
        <f t="shared" si="78"/>
        <v>2023</v>
      </c>
      <c r="P541" s="11" t="s">
        <v>1499</v>
      </c>
      <c r="Q541" s="11" t="s">
        <v>69</v>
      </c>
      <c r="R541" s="11">
        <v>3</v>
      </c>
      <c r="S541" s="11" t="str">
        <f t="shared" si="79"/>
        <v>0 - 4 yrs</v>
      </c>
      <c r="T541" s="12">
        <v>0</v>
      </c>
      <c r="U541" s="11" t="str">
        <f t="shared" si="72"/>
        <v>(0 - 50)</v>
      </c>
      <c r="V541" s="12">
        <f t="shared" si="73"/>
        <v>58.7</v>
      </c>
      <c r="W541" s="12">
        <f t="shared" si="74"/>
        <v>141.82964224872231</v>
      </c>
      <c r="X541" s="12">
        <f t="shared" si="75"/>
        <v>0</v>
      </c>
    </row>
    <row r="542" spans="1:24">
      <c r="A542" s="11">
        <v>541</v>
      </c>
      <c r="B542" s="11" t="s">
        <v>1500</v>
      </c>
      <c r="C542" s="11" t="s">
        <v>32</v>
      </c>
      <c r="D542" s="11" t="s">
        <v>17</v>
      </c>
      <c r="E542" s="12">
        <v>40.799999999999997</v>
      </c>
      <c r="F542" s="11" t="s">
        <v>56</v>
      </c>
      <c r="G542" s="11" t="str">
        <f t="shared" si="80"/>
        <v>Litres</v>
      </c>
      <c r="H542" s="13">
        <v>622</v>
      </c>
      <c r="I542" s="11" t="s">
        <v>19</v>
      </c>
      <c r="J542" s="12">
        <v>74788</v>
      </c>
      <c r="K542" s="12" t="str">
        <f t="shared" si="76"/>
        <v>High</v>
      </c>
      <c r="L542" s="11" t="s">
        <v>20</v>
      </c>
      <c r="M542" s="14">
        <v>45962</v>
      </c>
      <c r="N542" s="14" t="str">
        <f t="shared" si="77"/>
        <v>01/11/2025</v>
      </c>
      <c r="O542" s="14" t="str">
        <f t="shared" si="78"/>
        <v>2025</v>
      </c>
      <c r="P542" s="11" t="s">
        <v>1502</v>
      </c>
      <c r="Q542" s="11" t="s">
        <v>54</v>
      </c>
      <c r="R542" s="11">
        <v>12</v>
      </c>
      <c r="S542" s="11" t="str">
        <f t="shared" si="79"/>
        <v>9 - 12 yrs</v>
      </c>
      <c r="T542" s="12">
        <v>127.1</v>
      </c>
      <c r="U542" s="11" t="str">
        <f t="shared" si="72"/>
        <v>(101 - 150)</v>
      </c>
      <c r="V542" s="12">
        <f t="shared" si="73"/>
        <v>15.245098039215687</v>
      </c>
      <c r="W542" s="12">
        <f t="shared" si="74"/>
        <v>120.2379421221865</v>
      </c>
      <c r="X542" s="12">
        <f t="shared" si="75"/>
        <v>0.20434083601286174</v>
      </c>
    </row>
    <row r="543" spans="1:24">
      <c r="A543" s="11">
        <v>542</v>
      </c>
      <c r="B543" s="11" t="s">
        <v>2538</v>
      </c>
      <c r="C543" s="11" t="s">
        <v>39</v>
      </c>
      <c r="D543" s="11" t="s">
        <v>33</v>
      </c>
      <c r="E543" s="12">
        <v>75.8</v>
      </c>
      <c r="F543" s="11" t="s">
        <v>41</v>
      </c>
      <c r="G543" s="11" t="str">
        <f t="shared" si="80"/>
        <v>Litres</v>
      </c>
      <c r="H543" s="13">
        <v>203</v>
      </c>
      <c r="I543" s="11" t="s">
        <v>19</v>
      </c>
      <c r="J543" s="12">
        <v>93534</v>
      </c>
      <c r="K543" s="12" t="str">
        <f t="shared" si="76"/>
        <v>Very High</v>
      </c>
      <c r="L543" s="11" t="s">
        <v>20</v>
      </c>
      <c r="M543" s="14">
        <v>45375</v>
      </c>
      <c r="N543" s="14" t="str">
        <f t="shared" si="77"/>
        <v>24/03/2024</v>
      </c>
      <c r="O543" s="14" t="str">
        <f t="shared" si="78"/>
        <v>2024</v>
      </c>
      <c r="P543" s="11" t="s">
        <v>1505</v>
      </c>
      <c r="Q543" s="11" t="s">
        <v>121</v>
      </c>
      <c r="R543" s="11">
        <v>20</v>
      </c>
      <c r="S543" s="11" t="str">
        <f t="shared" si="79"/>
        <v>17 + yrs</v>
      </c>
      <c r="T543" s="12">
        <v>173</v>
      </c>
      <c r="U543" s="11" t="str">
        <f t="shared" si="72"/>
        <v>(151 - 200)</v>
      </c>
      <c r="V543" s="12">
        <f t="shared" si="73"/>
        <v>2.6781002638522429</v>
      </c>
      <c r="W543" s="12">
        <f t="shared" si="74"/>
        <v>460.75862068965517</v>
      </c>
      <c r="X543" s="12">
        <f t="shared" si="75"/>
        <v>0.85221674876847286</v>
      </c>
    </row>
    <row r="544" spans="1:24">
      <c r="A544" s="11">
        <v>543</v>
      </c>
      <c r="B544" s="11" t="s">
        <v>531</v>
      </c>
      <c r="C544" s="11" t="s">
        <v>50</v>
      </c>
      <c r="D544" s="11" t="s">
        <v>17</v>
      </c>
      <c r="E544" s="12">
        <v>82.7</v>
      </c>
      <c r="F544" s="11" t="s">
        <v>56</v>
      </c>
      <c r="G544" s="11" t="str">
        <f t="shared" si="80"/>
        <v>Litres</v>
      </c>
      <c r="H544" s="13">
        <v>164</v>
      </c>
      <c r="I544" s="11" t="s">
        <v>19</v>
      </c>
      <c r="J544" s="12">
        <v>12035</v>
      </c>
      <c r="K544" s="12" t="str">
        <f t="shared" si="76"/>
        <v>Very Low</v>
      </c>
      <c r="L544" s="11" t="s">
        <v>20</v>
      </c>
      <c r="M544" s="14">
        <v>45243</v>
      </c>
      <c r="N544" s="14" t="str">
        <f t="shared" si="77"/>
        <v>13/11/2023</v>
      </c>
      <c r="O544" s="14" t="str">
        <f t="shared" si="78"/>
        <v>2023</v>
      </c>
      <c r="P544" s="11" t="s">
        <v>830</v>
      </c>
      <c r="Q544" s="11" t="s">
        <v>59</v>
      </c>
      <c r="R544" s="11">
        <v>3</v>
      </c>
      <c r="S544" s="11" t="str">
        <f t="shared" si="79"/>
        <v>0 - 4 yrs</v>
      </c>
      <c r="T544" s="12">
        <v>174</v>
      </c>
      <c r="U544" s="11" t="str">
        <f t="shared" si="72"/>
        <v>(151 - 200)</v>
      </c>
      <c r="V544" s="12">
        <f t="shared" si="73"/>
        <v>1.9830713422007253</v>
      </c>
      <c r="W544" s="12">
        <f t="shared" si="74"/>
        <v>73.384146341463421</v>
      </c>
      <c r="X544" s="12">
        <f t="shared" si="75"/>
        <v>1.0609756097560976</v>
      </c>
    </row>
    <row r="545" spans="1:24">
      <c r="A545" s="11">
        <v>544</v>
      </c>
      <c r="B545" s="11" t="s">
        <v>2504</v>
      </c>
      <c r="C545" s="11" t="s">
        <v>50</v>
      </c>
      <c r="D545" s="11" t="s">
        <v>33</v>
      </c>
      <c r="E545" s="12">
        <v>6.6</v>
      </c>
      <c r="F545" s="11" t="s">
        <v>2643</v>
      </c>
      <c r="G545" s="11" t="str">
        <f t="shared" si="80"/>
        <v>Litres</v>
      </c>
      <c r="H545" s="13">
        <v>32</v>
      </c>
      <c r="I545" s="11" t="s">
        <v>19</v>
      </c>
      <c r="J545" s="12">
        <v>65499</v>
      </c>
      <c r="K545" s="12" t="str">
        <f t="shared" si="76"/>
        <v>Moderate</v>
      </c>
      <c r="L545" s="11" t="s">
        <v>20</v>
      </c>
      <c r="M545" s="14">
        <v>45301</v>
      </c>
      <c r="N545" s="14" t="str">
        <f t="shared" si="77"/>
        <v>10/01/2024</v>
      </c>
      <c r="O545" s="14" t="str">
        <f t="shared" si="78"/>
        <v>2024</v>
      </c>
      <c r="P545" s="11" t="s">
        <v>1507</v>
      </c>
      <c r="Q545" s="11" t="s">
        <v>112</v>
      </c>
      <c r="R545" s="11">
        <v>14</v>
      </c>
      <c r="S545" s="11" t="str">
        <f t="shared" si="79"/>
        <v>13 - 16 yrs</v>
      </c>
      <c r="T545" s="12">
        <v>22.6</v>
      </c>
      <c r="U545" s="11" t="str">
        <f t="shared" ref="U545:U608" si="81">IF(T545&lt;=50,"(0 - 50)",IF(T545&lt;=100,"(51 - 100)",IF(T545&lt;=150,"(101 - 150)",IF(T545&lt;=200,"(151 - 200)",IF(T545&lt;=250,"(201 - 250)",IF(T545&lt;=300,"(251 - 300)","(301 - 350)"))))))</f>
        <v>(0 - 50)</v>
      </c>
      <c r="V545" s="12">
        <f t="shared" ref="V545:V608" si="82">H545/E545</f>
        <v>4.8484848484848486</v>
      </c>
      <c r="W545" s="12">
        <f t="shared" ref="W545:W608" si="83">J545/H545</f>
        <v>2046.84375</v>
      </c>
      <c r="X545" s="12">
        <f t="shared" ref="X545:X608" si="84">T545/H545</f>
        <v>0.70625000000000004</v>
      </c>
    </row>
    <row r="546" spans="1:24">
      <c r="A546" s="11">
        <v>545</v>
      </c>
      <c r="B546" s="11" t="s">
        <v>1508</v>
      </c>
      <c r="C546" s="11" t="s">
        <v>39</v>
      </c>
      <c r="D546" s="11" t="s">
        <v>17</v>
      </c>
      <c r="E546" s="12">
        <v>87.7</v>
      </c>
      <c r="F546" s="11" t="s">
        <v>62</v>
      </c>
      <c r="G546" s="11" t="str">
        <f t="shared" si="80"/>
        <v>kWh</v>
      </c>
      <c r="H546" s="13">
        <v>373</v>
      </c>
      <c r="I546" s="11" t="s">
        <v>19</v>
      </c>
      <c r="J546" s="12">
        <v>6559</v>
      </c>
      <c r="K546" s="12" t="str">
        <f t="shared" si="76"/>
        <v>Very Low</v>
      </c>
      <c r="L546" s="11" t="s">
        <v>20</v>
      </c>
      <c r="M546" s="14">
        <v>45546</v>
      </c>
      <c r="N546" s="14" t="str">
        <f t="shared" si="77"/>
        <v>11/09/2024</v>
      </c>
      <c r="O546" s="14" t="str">
        <f t="shared" si="78"/>
        <v>2024</v>
      </c>
      <c r="P546" s="11" t="s">
        <v>1510</v>
      </c>
      <c r="Q546" s="11" t="s">
        <v>117</v>
      </c>
      <c r="R546" s="11">
        <v>4</v>
      </c>
      <c r="S546" s="11" t="str">
        <f t="shared" si="79"/>
        <v>0 - 4 yrs</v>
      </c>
      <c r="T546" s="12">
        <v>290.2</v>
      </c>
      <c r="U546" s="11" t="str">
        <f t="shared" si="81"/>
        <v>(251 - 300)</v>
      </c>
      <c r="V546" s="12">
        <f t="shared" si="82"/>
        <v>4.2531356898517672</v>
      </c>
      <c r="W546" s="12">
        <f t="shared" si="83"/>
        <v>17.584450402144771</v>
      </c>
      <c r="X546" s="12">
        <f t="shared" si="84"/>
        <v>0.77801608579088466</v>
      </c>
    </row>
    <row r="547" spans="1:24">
      <c r="A547" s="11">
        <v>546</v>
      </c>
      <c r="B547" s="11" t="s">
        <v>1511</v>
      </c>
      <c r="C547" s="11" t="s">
        <v>50</v>
      </c>
      <c r="D547" s="11" t="s">
        <v>61</v>
      </c>
      <c r="E547" s="12">
        <v>10</v>
      </c>
      <c r="F547" s="11" t="s">
        <v>2643</v>
      </c>
      <c r="G547" s="11" t="str">
        <f t="shared" si="80"/>
        <v>Litres</v>
      </c>
      <c r="H547" s="13">
        <v>273</v>
      </c>
      <c r="I547" s="11" t="s">
        <v>19</v>
      </c>
      <c r="J547" s="12">
        <v>118954</v>
      </c>
      <c r="K547" s="12" t="str">
        <f t="shared" si="76"/>
        <v>Extreme</v>
      </c>
      <c r="L547" s="11" t="s">
        <v>20</v>
      </c>
      <c r="M547" s="14">
        <v>45431</v>
      </c>
      <c r="N547" s="14" t="str">
        <f t="shared" si="77"/>
        <v>19/05/2024</v>
      </c>
      <c r="O547" s="14" t="str">
        <f t="shared" si="78"/>
        <v>2024</v>
      </c>
      <c r="P547" s="11" t="s">
        <v>1513</v>
      </c>
      <c r="Q547" s="11" t="s">
        <v>117</v>
      </c>
      <c r="R547" s="11">
        <v>6</v>
      </c>
      <c r="S547" s="11" t="str">
        <f t="shared" si="79"/>
        <v>5 - 8 yrs</v>
      </c>
      <c r="T547" s="12">
        <v>0</v>
      </c>
      <c r="U547" s="11" t="str">
        <f t="shared" si="81"/>
        <v>(0 - 50)</v>
      </c>
      <c r="V547" s="12">
        <f t="shared" si="82"/>
        <v>27.3</v>
      </c>
      <c r="W547" s="12">
        <f t="shared" si="83"/>
        <v>435.72893772893775</v>
      </c>
      <c r="X547" s="12">
        <f t="shared" si="84"/>
        <v>0</v>
      </c>
    </row>
    <row r="548" spans="1:24">
      <c r="A548" s="11">
        <v>547</v>
      </c>
      <c r="B548" s="11" t="s">
        <v>2539</v>
      </c>
      <c r="C548" s="11" t="s">
        <v>50</v>
      </c>
      <c r="D548" s="11" t="s">
        <v>33</v>
      </c>
      <c r="E548" s="12">
        <v>14.2</v>
      </c>
      <c r="F548" s="11" t="s">
        <v>62</v>
      </c>
      <c r="G548" s="11" t="str">
        <f t="shared" si="80"/>
        <v>kWh</v>
      </c>
      <c r="H548" s="13">
        <v>189</v>
      </c>
      <c r="I548" s="11" t="s">
        <v>19</v>
      </c>
      <c r="J548" s="12">
        <v>89186</v>
      </c>
      <c r="K548" s="12" t="str">
        <f t="shared" si="76"/>
        <v>High</v>
      </c>
      <c r="L548" s="11" t="s">
        <v>20</v>
      </c>
      <c r="M548" s="14">
        <v>45089</v>
      </c>
      <c r="N548" s="14" t="str">
        <f t="shared" si="77"/>
        <v>12/06/2023</v>
      </c>
      <c r="O548" s="14" t="str">
        <f t="shared" si="78"/>
        <v>2023</v>
      </c>
      <c r="P548" s="11" t="s">
        <v>1028</v>
      </c>
      <c r="Q548" s="11" t="s">
        <v>86</v>
      </c>
      <c r="R548" s="11">
        <v>18</v>
      </c>
      <c r="S548" s="11" t="str">
        <f t="shared" si="79"/>
        <v>17 + yrs</v>
      </c>
      <c r="T548" s="12">
        <v>31.2</v>
      </c>
      <c r="U548" s="11" t="str">
        <f t="shared" si="81"/>
        <v>(0 - 50)</v>
      </c>
      <c r="V548" s="12">
        <f t="shared" si="82"/>
        <v>13.309859154929578</v>
      </c>
      <c r="W548" s="12">
        <f t="shared" si="83"/>
        <v>471.88359788359787</v>
      </c>
      <c r="X548" s="12">
        <f t="shared" si="84"/>
        <v>0.16507936507936508</v>
      </c>
    </row>
    <row r="549" spans="1:24">
      <c r="A549" s="11">
        <v>548</v>
      </c>
      <c r="B549" s="11" t="s">
        <v>2540</v>
      </c>
      <c r="C549" s="11" t="s">
        <v>39</v>
      </c>
      <c r="D549" s="11" t="s">
        <v>33</v>
      </c>
      <c r="E549" s="12">
        <v>18.8</v>
      </c>
      <c r="F549" s="11" t="s">
        <v>62</v>
      </c>
      <c r="G549" s="11" t="str">
        <f t="shared" si="80"/>
        <v>kWh</v>
      </c>
      <c r="H549" s="13">
        <v>233</v>
      </c>
      <c r="I549" s="11" t="s">
        <v>19</v>
      </c>
      <c r="J549" s="12">
        <v>43395</v>
      </c>
      <c r="K549" s="12" t="str">
        <f t="shared" si="76"/>
        <v>Medium</v>
      </c>
      <c r="L549" s="11" t="s">
        <v>20</v>
      </c>
      <c r="M549" s="14">
        <v>45744</v>
      </c>
      <c r="N549" s="14" t="str">
        <f t="shared" si="77"/>
        <v>28/03/2025</v>
      </c>
      <c r="O549" s="14" t="str">
        <f t="shared" si="78"/>
        <v>2025</v>
      </c>
      <c r="P549" s="11" t="s">
        <v>866</v>
      </c>
      <c r="Q549" s="11" t="s">
        <v>2648</v>
      </c>
      <c r="R549" s="11">
        <v>9</v>
      </c>
      <c r="S549" s="11" t="str">
        <f t="shared" si="79"/>
        <v>9 - 12 yrs</v>
      </c>
      <c r="T549" s="12">
        <v>65</v>
      </c>
      <c r="U549" s="11" t="str">
        <f t="shared" si="81"/>
        <v>(51 - 100)</v>
      </c>
      <c r="V549" s="12">
        <f t="shared" si="82"/>
        <v>12.393617021276595</v>
      </c>
      <c r="W549" s="12">
        <f t="shared" si="83"/>
        <v>186.24463519313304</v>
      </c>
      <c r="X549" s="12">
        <f t="shared" si="84"/>
        <v>0.27896995708154504</v>
      </c>
    </row>
    <row r="550" spans="1:24">
      <c r="A550" s="11">
        <v>549</v>
      </c>
      <c r="B550" s="11" t="s">
        <v>2541</v>
      </c>
      <c r="C550" s="11" t="s">
        <v>16</v>
      </c>
      <c r="D550" s="11" t="s">
        <v>33</v>
      </c>
      <c r="E550" s="12">
        <v>97.3</v>
      </c>
      <c r="F550" s="11" t="s">
        <v>62</v>
      </c>
      <c r="G550" s="11" t="str">
        <f t="shared" si="80"/>
        <v>kWh</v>
      </c>
      <c r="H550" s="13">
        <v>258</v>
      </c>
      <c r="I550" s="11" t="s">
        <v>19</v>
      </c>
      <c r="J550" s="12">
        <v>10015</v>
      </c>
      <c r="K550" s="12" t="str">
        <f t="shared" ref="K550:K613" si="85">IF(J550&lt;18000,"Very Low",IF(J550&lt;36000,"Low",IF(J550&lt;54000,"Medium",IF(J550&lt;72000,"Moderate",IF(J550&lt;90000,"High",IF(J550&lt;108000,"Very High","Extreme"))))))</f>
        <v>Very Low</v>
      </c>
      <c r="L550" s="11" t="s">
        <v>20</v>
      </c>
      <c r="M550" s="14">
        <v>45324</v>
      </c>
      <c r="N550" s="14" t="str">
        <f t="shared" ref="N550:N613" si="86">TEXT(M550,"dd/mm/yyyy")</f>
        <v>02/02/2024</v>
      </c>
      <c r="O550" s="14" t="str">
        <f t="shared" ref="O550:O613" si="87">TEXT(M550,"yyyy")</f>
        <v>2024</v>
      </c>
      <c r="P550" s="11" t="s">
        <v>390</v>
      </c>
      <c r="Q550" s="11" t="s">
        <v>2648</v>
      </c>
      <c r="R550" s="11">
        <v>18</v>
      </c>
      <c r="S550" s="11" t="str">
        <f t="shared" ref="S550:S613" si="88">IF(R550&lt;=4,"0 - 4 yrs",IF(R550&lt;=8,"5 - 8 yrs",IF(R550&lt;=12,"9 - 12 yrs",IF(R550&lt;=16,"13 - 16 yrs","17 + yrs"))))</f>
        <v>17 + yrs</v>
      </c>
      <c r="T550" s="12">
        <v>306.10000000000002</v>
      </c>
      <c r="U550" s="11" t="str">
        <f t="shared" si="81"/>
        <v>(301 - 350)</v>
      </c>
      <c r="V550" s="12">
        <f t="shared" si="82"/>
        <v>2.6515930113052417</v>
      </c>
      <c r="W550" s="12">
        <f t="shared" si="83"/>
        <v>38.81782945736434</v>
      </c>
      <c r="X550" s="12">
        <f t="shared" si="84"/>
        <v>1.1864341085271319</v>
      </c>
    </row>
    <row r="551" spans="1:24">
      <c r="A551" s="11">
        <v>550</v>
      </c>
      <c r="B551" s="11" t="s">
        <v>1520</v>
      </c>
      <c r="C551" s="11" t="s">
        <v>39</v>
      </c>
      <c r="D551" s="11" t="s">
        <v>33</v>
      </c>
      <c r="E551" s="12">
        <v>33.700000000000003</v>
      </c>
      <c r="F551" s="11" t="s">
        <v>62</v>
      </c>
      <c r="G551" s="11" t="str">
        <f t="shared" si="80"/>
        <v>kWh</v>
      </c>
      <c r="H551" s="13">
        <v>403</v>
      </c>
      <c r="I551" s="11" t="s">
        <v>19</v>
      </c>
      <c r="J551" s="12">
        <v>89095</v>
      </c>
      <c r="K551" s="12" t="str">
        <f t="shared" si="85"/>
        <v>High</v>
      </c>
      <c r="L551" s="11" t="s">
        <v>20</v>
      </c>
      <c r="M551" s="14">
        <v>45635</v>
      </c>
      <c r="N551" s="14" t="str">
        <f t="shared" si="86"/>
        <v>09/12/2024</v>
      </c>
      <c r="O551" s="14" t="str">
        <f t="shared" si="87"/>
        <v>2024</v>
      </c>
      <c r="P551" s="11" t="s">
        <v>1373</v>
      </c>
      <c r="Q551" s="11" t="s">
        <v>441</v>
      </c>
      <c r="R551" s="11">
        <v>3</v>
      </c>
      <c r="S551" s="11" t="str">
        <f t="shared" si="88"/>
        <v>0 - 4 yrs</v>
      </c>
      <c r="T551" s="12">
        <v>81.2</v>
      </c>
      <c r="U551" s="11" t="str">
        <f t="shared" si="81"/>
        <v>(51 - 100)</v>
      </c>
      <c r="V551" s="12">
        <f t="shared" si="82"/>
        <v>11.958456973293767</v>
      </c>
      <c r="W551" s="12">
        <f t="shared" si="83"/>
        <v>221.07940446650124</v>
      </c>
      <c r="X551" s="12">
        <f t="shared" si="84"/>
        <v>0.20148883374689827</v>
      </c>
    </row>
    <row r="552" spans="1:24">
      <c r="A552" s="11">
        <v>551</v>
      </c>
      <c r="B552" s="11" t="s">
        <v>864</v>
      </c>
      <c r="C552" s="11" t="s">
        <v>50</v>
      </c>
      <c r="D552" s="11" t="s">
        <v>33</v>
      </c>
      <c r="E552" s="12">
        <v>80.7</v>
      </c>
      <c r="F552" s="11" t="s">
        <v>41</v>
      </c>
      <c r="G552" s="11" t="str">
        <f t="shared" si="80"/>
        <v>Litres</v>
      </c>
      <c r="H552" s="13">
        <v>338</v>
      </c>
      <c r="I552" s="11" t="s">
        <v>19</v>
      </c>
      <c r="J552" s="12">
        <v>30368</v>
      </c>
      <c r="K552" s="12" t="str">
        <f t="shared" si="85"/>
        <v>Low</v>
      </c>
      <c r="L552" s="11" t="s">
        <v>20</v>
      </c>
      <c r="M552" s="14">
        <v>45432</v>
      </c>
      <c r="N552" s="14" t="str">
        <f t="shared" si="86"/>
        <v>20/05/2024</v>
      </c>
      <c r="O552" s="14" t="str">
        <f t="shared" si="87"/>
        <v>2024</v>
      </c>
      <c r="P552" s="11" t="s">
        <v>1523</v>
      </c>
      <c r="Q552" s="11" t="s">
        <v>121</v>
      </c>
      <c r="R552" s="11">
        <v>19</v>
      </c>
      <c r="S552" s="11" t="str">
        <f t="shared" si="88"/>
        <v>17 + yrs</v>
      </c>
      <c r="T552" s="12">
        <v>269.10000000000002</v>
      </c>
      <c r="U552" s="11" t="str">
        <f t="shared" si="81"/>
        <v>(251 - 300)</v>
      </c>
      <c r="V552" s="12">
        <f t="shared" si="82"/>
        <v>4.1883519206939281</v>
      </c>
      <c r="W552" s="12">
        <f t="shared" si="83"/>
        <v>89.84615384615384</v>
      </c>
      <c r="X552" s="12">
        <f t="shared" si="84"/>
        <v>0.79615384615384621</v>
      </c>
    </row>
    <row r="553" spans="1:24">
      <c r="A553" s="11">
        <v>552</v>
      </c>
      <c r="B553" s="11" t="s">
        <v>381</v>
      </c>
      <c r="C553" s="11" t="s">
        <v>39</v>
      </c>
      <c r="D553" s="11" t="s">
        <v>114</v>
      </c>
      <c r="E553" s="12">
        <v>82.5</v>
      </c>
      <c r="F553" s="11" t="s">
        <v>26</v>
      </c>
      <c r="G553" s="11" t="str">
        <f t="shared" si="80"/>
        <v>Litres</v>
      </c>
      <c r="H553" s="13">
        <v>87</v>
      </c>
      <c r="I553" s="11" t="s">
        <v>19</v>
      </c>
      <c r="J553" s="12">
        <v>40924</v>
      </c>
      <c r="K553" s="12" t="str">
        <f t="shared" si="85"/>
        <v>Medium</v>
      </c>
      <c r="L553" s="11" t="s">
        <v>20</v>
      </c>
      <c r="M553" s="14">
        <v>45124</v>
      </c>
      <c r="N553" s="14" t="str">
        <f t="shared" si="86"/>
        <v>17/07/2023</v>
      </c>
      <c r="O553" s="14" t="str">
        <f t="shared" si="87"/>
        <v>2023</v>
      </c>
      <c r="P553" s="11" t="s">
        <v>1143</v>
      </c>
      <c r="Q553" s="11" t="s">
        <v>59</v>
      </c>
      <c r="R553" s="11">
        <v>14</v>
      </c>
      <c r="S553" s="11" t="str">
        <f t="shared" si="88"/>
        <v>13 - 16 yrs</v>
      </c>
      <c r="T553" s="12">
        <v>256.3</v>
      </c>
      <c r="U553" s="11" t="str">
        <f t="shared" si="81"/>
        <v>(251 - 300)</v>
      </c>
      <c r="V553" s="12">
        <f t="shared" si="82"/>
        <v>1.0545454545454545</v>
      </c>
      <c r="W553" s="12">
        <f t="shared" si="83"/>
        <v>470.39080459770116</v>
      </c>
      <c r="X553" s="12">
        <f t="shared" si="84"/>
        <v>2.9459770114942532</v>
      </c>
    </row>
    <row r="554" spans="1:24">
      <c r="A554" s="11">
        <v>553</v>
      </c>
      <c r="B554" s="11" t="s">
        <v>1525</v>
      </c>
      <c r="C554" s="11" t="s">
        <v>16</v>
      </c>
      <c r="D554" s="11" t="s">
        <v>33</v>
      </c>
      <c r="E554" s="12">
        <v>99.5</v>
      </c>
      <c r="F554" s="11" t="s">
        <v>62</v>
      </c>
      <c r="G554" s="11" t="str">
        <f t="shared" si="80"/>
        <v>kWh</v>
      </c>
      <c r="H554" s="13">
        <v>582</v>
      </c>
      <c r="I554" s="11" t="s">
        <v>19</v>
      </c>
      <c r="J554" s="12">
        <v>114528</v>
      </c>
      <c r="K554" s="12" t="str">
        <f t="shared" si="85"/>
        <v>Extreme</v>
      </c>
      <c r="L554" s="11" t="s">
        <v>20</v>
      </c>
      <c r="M554" s="14">
        <v>44982</v>
      </c>
      <c r="N554" s="14" t="str">
        <f t="shared" si="86"/>
        <v>25/02/2023</v>
      </c>
      <c r="O554" s="14" t="str">
        <f t="shared" si="87"/>
        <v>2023</v>
      </c>
      <c r="P554" s="11" t="s">
        <v>1527</v>
      </c>
      <c r="Q554" s="11" t="s">
        <v>112</v>
      </c>
      <c r="R554" s="11">
        <v>15</v>
      </c>
      <c r="S554" s="11" t="str">
        <f t="shared" si="88"/>
        <v>13 - 16 yrs</v>
      </c>
      <c r="T554" s="12">
        <v>306.2</v>
      </c>
      <c r="U554" s="11" t="str">
        <f t="shared" si="81"/>
        <v>(301 - 350)</v>
      </c>
      <c r="V554" s="12">
        <f t="shared" si="82"/>
        <v>5.8492462311557789</v>
      </c>
      <c r="W554" s="12">
        <f t="shared" si="83"/>
        <v>196.78350515463919</v>
      </c>
      <c r="X554" s="12">
        <f t="shared" si="84"/>
        <v>0.52611683848797253</v>
      </c>
    </row>
    <row r="555" spans="1:24">
      <c r="A555" s="11">
        <v>554</v>
      </c>
      <c r="B555" s="11" t="s">
        <v>2542</v>
      </c>
      <c r="C555" s="11" t="s">
        <v>16</v>
      </c>
      <c r="D555" s="11" t="s">
        <v>114</v>
      </c>
      <c r="E555" s="12">
        <v>70.8</v>
      </c>
      <c r="F555" s="11" t="s">
        <v>26</v>
      </c>
      <c r="G555" s="11" t="str">
        <f t="shared" si="80"/>
        <v>Litres</v>
      </c>
      <c r="H555" s="13">
        <v>112</v>
      </c>
      <c r="I555" s="11" t="s">
        <v>19</v>
      </c>
      <c r="J555" s="12">
        <v>16943</v>
      </c>
      <c r="K555" s="12" t="str">
        <f t="shared" si="85"/>
        <v>Very Low</v>
      </c>
      <c r="L555" s="11" t="s">
        <v>20</v>
      </c>
      <c r="M555" s="14">
        <v>45074</v>
      </c>
      <c r="N555" s="14" t="str">
        <f t="shared" si="86"/>
        <v>28/05/2023</v>
      </c>
      <c r="O555" s="14" t="str">
        <f t="shared" si="87"/>
        <v>2023</v>
      </c>
      <c r="P555" s="11" t="s">
        <v>1173</v>
      </c>
      <c r="Q555" s="11" t="s">
        <v>69</v>
      </c>
      <c r="R555" s="11">
        <v>12</v>
      </c>
      <c r="S555" s="11" t="str">
        <f t="shared" si="88"/>
        <v>9 - 12 yrs</v>
      </c>
      <c r="T555" s="12">
        <v>214.3</v>
      </c>
      <c r="U555" s="11" t="str">
        <f t="shared" si="81"/>
        <v>(201 - 250)</v>
      </c>
      <c r="V555" s="12">
        <f t="shared" si="82"/>
        <v>1.5819209039548023</v>
      </c>
      <c r="W555" s="12">
        <f t="shared" si="83"/>
        <v>151.27678571428572</v>
      </c>
      <c r="X555" s="12">
        <f t="shared" si="84"/>
        <v>1.9133928571428573</v>
      </c>
    </row>
    <row r="556" spans="1:24">
      <c r="A556" s="11">
        <v>555</v>
      </c>
      <c r="B556" s="11" t="s">
        <v>1530</v>
      </c>
      <c r="C556" s="11" t="s">
        <v>50</v>
      </c>
      <c r="D556" s="11" t="s">
        <v>17</v>
      </c>
      <c r="E556" s="12">
        <v>53.5</v>
      </c>
      <c r="F556" s="11" t="s">
        <v>2643</v>
      </c>
      <c r="G556" s="11" t="str">
        <f t="shared" si="80"/>
        <v>Litres</v>
      </c>
      <c r="H556" s="13">
        <v>443</v>
      </c>
      <c r="I556" s="11" t="s">
        <v>19</v>
      </c>
      <c r="J556" s="12">
        <v>81563</v>
      </c>
      <c r="K556" s="12" t="str">
        <f t="shared" si="85"/>
        <v>High</v>
      </c>
      <c r="L556" s="11" t="s">
        <v>20</v>
      </c>
      <c r="M556" s="14">
        <v>45870</v>
      </c>
      <c r="N556" s="14" t="str">
        <f t="shared" si="86"/>
        <v>01/08/2025</v>
      </c>
      <c r="O556" s="14" t="str">
        <f t="shared" si="87"/>
        <v>2025</v>
      </c>
      <c r="P556" s="11" t="s">
        <v>1531</v>
      </c>
      <c r="Q556" s="11" t="s">
        <v>54</v>
      </c>
      <c r="R556" s="11">
        <v>9</v>
      </c>
      <c r="S556" s="11" t="str">
        <f t="shared" si="88"/>
        <v>9 - 12 yrs</v>
      </c>
      <c r="T556" s="12">
        <v>138.5</v>
      </c>
      <c r="U556" s="11" t="str">
        <f t="shared" si="81"/>
        <v>(101 - 150)</v>
      </c>
      <c r="V556" s="12">
        <f t="shared" si="82"/>
        <v>8.2803738317757016</v>
      </c>
      <c r="W556" s="12">
        <f t="shared" si="83"/>
        <v>184.11512415349887</v>
      </c>
      <c r="X556" s="12">
        <f t="shared" si="84"/>
        <v>0.31264108352144471</v>
      </c>
    </row>
    <row r="557" spans="1:24">
      <c r="A557" s="11">
        <v>556</v>
      </c>
      <c r="B557" s="11" t="s">
        <v>1532</v>
      </c>
      <c r="C557" s="11" t="s">
        <v>50</v>
      </c>
      <c r="D557" s="11" t="s">
        <v>114</v>
      </c>
      <c r="E557" s="12">
        <v>3.4</v>
      </c>
      <c r="F557" s="11" t="s">
        <v>62</v>
      </c>
      <c r="G557" s="11" t="str">
        <f t="shared" si="80"/>
        <v>kWh</v>
      </c>
      <c r="H557" s="13">
        <v>90</v>
      </c>
      <c r="I557" s="11" t="s">
        <v>19</v>
      </c>
      <c r="J557" s="12">
        <v>56696</v>
      </c>
      <c r="K557" s="12" t="str">
        <f t="shared" si="85"/>
        <v>Moderate</v>
      </c>
      <c r="L557" s="11" t="s">
        <v>20</v>
      </c>
      <c r="M557" s="14">
        <v>45395</v>
      </c>
      <c r="N557" s="14" t="str">
        <f t="shared" si="86"/>
        <v>13/04/2024</v>
      </c>
      <c r="O557" s="14" t="str">
        <f t="shared" si="87"/>
        <v>2024</v>
      </c>
      <c r="P557" s="11" t="s">
        <v>1534</v>
      </c>
      <c r="Q557" s="11" t="s">
        <v>54</v>
      </c>
      <c r="R557" s="11">
        <v>20</v>
      </c>
      <c r="S557" s="11" t="str">
        <f t="shared" si="88"/>
        <v>17 + yrs</v>
      </c>
      <c r="T557" s="12">
        <v>7.8</v>
      </c>
      <c r="U557" s="11" t="str">
        <f t="shared" si="81"/>
        <v>(0 - 50)</v>
      </c>
      <c r="V557" s="12">
        <f t="shared" si="82"/>
        <v>26.47058823529412</v>
      </c>
      <c r="W557" s="12">
        <f t="shared" si="83"/>
        <v>629.95555555555552</v>
      </c>
      <c r="X557" s="12">
        <f t="shared" si="84"/>
        <v>8.666666666666667E-2</v>
      </c>
    </row>
    <row r="558" spans="1:24">
      <c r="A558" s="11">
        <v>557</v>
      </c>
      <c r="B558" s="11" t="s">
        <v>1048</v>
      </c>
      <c r="C558" s="11" t="s">
        <v>16</v>
      </c>
      <c r="D558" s="11" t="s">
        <v>17</v>
      </c>
      <c r="E558" s="12">
        <v>8</v>
      </c>
      <c r="F558" s="11" t="s">
        <v>56</v>
      </c>
      <c r="G558" s="11" t="str">
        <f t="shared" si="80"/>
        <v>Litres</v>
      </c>
      <c r="H558" s="13">
        <v>100</v>
      </c>
      <c r="I558" s="11" t="s">
        <v>19</v>
      </c>
      <c r="J558" s="12">
        <v>82405</v>
      </c>
      <c r="K558" s="12" t="str">
        <f t="shared" si="85"/>
        <v>High</v>
      </c>
      <c r="L558" s="11" t="s">
        <v>20</v>
      </c>
      <c r="M558" s="14">
        <v>44984</v>
      </c>
      <c r="N558" s="14" t="str">
        <f t="shared" si="86"/>
        <v>27/02/2023</v>
      </c>
      <c r="O558" s="14" t="str">
        <f t="shared" si="87"/>
        <v>2023</v>
      </c>
      <c r="P558" s="11" t="s">
        <v>788</v>
      </c>
      <c r="Q558" s="11" t="s">
        <v>2648</v>
      </c>
      <c r="R558" s="11">
        <v>16</v>
      </c>
      <c r="S558" s="11" t="str">
        <f t="shared" si="88"/>
        <v>13 - 16 yrs</v>
      </c>
      <c r="T558" s="12">
        <v>20.100000000000001</v>
      </c>
      <c r="U558" s="11" t="str">
        <f t="shared" si="81"/>
        <v>(0 - 50)</v>
      </c>
      <c r="V558" s="12">
        <f t="shared" si="82"/>
        <v>12.5</v>
      </c>
      <c r="W558" s="12">
        <f t="shared" si="83"/>
        <v>824.05</v>
      </c>
      <c r="X558" s="12">
        <f t="shared" si="84"/>
        <v>0.20100000000000001</v>
      </c>
    </row>
    <row r="559" spans="1:24">
      <c r="A559" s="11">
        <v>558</v>
      </c>
      <c r="B559" s="11" t="s">
        <v>1536</v>
      </c>
      <c r="C559" s="11" t="s">
        <v>16</v>
      </c>
      <c r="D559" s="11" t="s">
        <v>17</v>
      </c>
      <c r="E559" s="12">
        <v>5.8</v>
      </c>
      <c r="F559" s="11" t="s">
        <v>41</v>
      </c>
      <c r="G559" s="11" t="str">
        <f t="shared" si="80"/>
        <v>Litres</v>
      </c>
      <c r="H559" s="13">
        <v>194</v>
      </c>
      <c r="I559" s="11" t="s">
        <v>19</v>
      </c>
      <c r="J559" s="12">
        <v>111377</v>
      </c>
      <c r="K559" s="12" t="str">
        <f t="shared" si="85"/>
        <v>Extreme</v>
      </c>
      <c r="L559" s="11" t="s">
        <v>20</v>
      </c>
      <c r="M559" s="14">
        <v>45676</v>
      </c>
      <c r="N559" s="14" t="str">
        <f t="shared" si="86"/>
        <v>19/01/2025</v>
      </c>
      <c r="O559" s="14" t="str">
        <f t="shared" si="87"/>
        <v>2025</v>
      </c>
      <c r="P559" s="11" t="s">
        <v>1538</v>
      </c>
      <c r="Q559" s="11" t="s">
        <v>112</v>
      </c>
      <c r="R559" s="11">
        <v>16</v>
      </c>
      <c r="S559" s="11" t="str">
        <f t="shared" si="88"/>
        <v>13 - 16 yrs</v>
      </c>
      <c r="T559" s="12">
        <v>12.5</v>
      </c>
      <c r="U559" s="11" t="str">
        <f t="shared" si="81"/>
        <v>(0 - 50)</v>
      </c>
      <c r="V559" s="12">
        <f t="shared" si="82"/>
        <v>33.448275862068968</v>
      </c>
      <c r="W559" s="12">
        <f t="shared" si="83"/>
        <v>574.10824742268039</v>
      </c>
      <c r="X559" s="12">
        <f t="shared" si="84"/>
        <v>6.4432989690721643E-2</v>
      </c>
    </row>
    <row r="560" spans="1:24">
      <c r="A560" s="11">
        <v>559</v>
      </c>
      <c r="B560" s="11" t="s">
        <v>1539</v>
      </c>
      <c r="C560" s="11" t="s">
        <v>32</v>
      </c>
      <c r="D560" s="11" t="s">
        <v>33</v>
      </c>
      <c r="E560" s="12">
        <v>11.3</v>
      </c>
      <c r="F560" s="11" t="s">
        <v>41</v>
      </c>
      <c r="G560" s="11" t="str">
        <f t="shared" si="80"/>
        <v>Litres</v>
      </c>
      <c r="H560" s="13">
        <v>51</v>
      </c>
      <c r="I560" s="11" t="s">
        <v>19</v>
      </c>
      <c r="J560" s="12">
        <v>98343</v>
      </c>
      <c r="K560" s="12" t="str">
        <f t="shared" si="85"/>
        <v>Very High</v>
      </c>
      <c r="L560" s="11" t="s">
        <v>20</v>
      </c>
      <c r="M560" s="14">
        <v>44954</v>
      </c>
      <c r="N560" s="14" t="str">
        <f t="shared" si="86"/>
        <v>28/01/2023</v>
      </c>
      <c r="O560" s="14" t="str">
        <f t="shared" si="87"/>
        <v>2023</v>
      </c>
      <c r="P560" s="11" t="s">
        <v>1033</v>
      </c>
      <c r="Q560" s="11" t="s">
        <v>48</v>
      </c>
      <c r="R560" s="11">
        <v>16</v>
      </c>
      <c r="S560" s="11" t="str">
        <f t="shared" si="88"/>
        <v>13 - 16 yrs</v>
      </c>
      <c r="T560" s="12">
        <v>29.2</v>
      </c>
      <c r="U560" s="11" t="str">
        <f t="shared" si="81"/>
        <v>(0 - 50)</v>
      </c>
      <c r="V560" s="12">
        <f t="shared" si="82"/>
        <v>4.5132743362831853</v>
      </c>
      <c r="W560" s="12">
        <f t="shared" si="83"/>
        <v>1928.2941176470588</v>
      </c>
      <c r="X560" s="12">
        <f t="shared" si="84"/>
        <v>0.5725490196078431</v>
      </c>
    </row>
    <row r="561" spans="1:24">
      <c r="A561" s="11">
        <v>560</v>
      </c>
      <c r="B561" s="11" t="s">
        <v>1541</v>
      </c>
      <c r="C561" s="11" t="s">
        <v>16</v>
      </c>
      <c r="D561" s="11" t="s">
        <v>61</v>
      </c>
      <c r="E561" s="12">
        <v>10</v>
      </c>
      <c r="F561" s="11" t="s">
        <v>26</v>
      </c>
      <c r="G561" s="11" t="str">
        <f t="shared" si="80"/>
        <v>Litres</v>
      </c>
      <c r="H561" s="13">
        <v>494</v>
      </c>
      <c r="I561" s="11" t="s">
        <v>19</v>
      </c>
      <c r="J561" s="12">
        <v>33691</v>
      </c>
      <c r="K561" s="12" t="str">
        <f t="shared" si="85"/>
        <v>Low</v>
      </c>
      <c r="L561" s="11" t="s">
        <v>20</v>
      </c>
      <c r="M561" s="14">
        <v>45511</v>
      </c>
      <c r="N561" s="14" t="str">
        <f t="shared" si="86"/>
        <v>07/08/2024</v>
      </c>
      <c r="O561" s="14" t="str">
        <f t="shared" si="87"/>
        <v>2024</v>
      </c>
      <c r="P561" s="11" t="s">
        <v>1390</v>
      </c>
      <c r="Q561" s="11" t="s">
        <v>86</v>
      </c>
      <c r="R561" s="11">
        <v>2</v>
      </c>
      <c r="S561" s="11" t="str">
        <f t="shared" si="88"/>
        <v>0 - 4 yrs</v>
      </c>
      <c r="T561" s="12">
        <v>0</v>
      </c>
      <c r="U561" s="11" t="str">
        <f t="shared" si="81"/>
        <v>(0 - 50)</v>
      </c>
      <c r="V561" s="12">
        <f t="shared" si="82"/>
        <v>49.4</v>
      </c>
      <c r="W561" s="12">
        <f t="shared" si="83"/>
        <v>68.200404858299592</v>
      </c>
      <c r="X561" s="12">
        <f t="shared" si="84"/>
        <v>0</v>
      </c>
    </row>
    <row r="562" spans="1:24">
      <c r="A562" s="11">
        <v>561</v>
      </c>
      <c r="B562" s="11" t="s">
        <v>1543</v>
      </c>
      <c r="C562" s="11" t="s">
        <v>16</v>
      </c>
      <c r="D562" s="11" t="s">
        <v>17</v>
      </c>
      <c r="E562" s="12">
        <v>32.799999999999997</v>
      </c>
      <c r="F562" s="11" t="s">
        <v>26</v>
      </c>
      <c r="G562" s="11" t="str">
        <f t="shared" si="80"/>
        <v>Litres</v>
      </c>
      <c r="H562" s="13">
        <v>629</v>
      </c>
      <c r="I562" s="11" t="s">
        <v>19</v>
      </c>
      <c r="J562" s="12">
        <v>31859</v>
      </c>
      <c r="K562" s="12" t="str">
        <f t="shared" si="85"/>
        <v>Low</v>
      </c>
      <c r="L562" s="11" t="s">
        <v>20</v>
      </c>
      <c r="M562" s="14">
        <v>44932</v>
      </c>
      <c r="N562" s="14" t="str">
        <f t="shared" si="86"/>
        <v>06/01/2023</v>
      </c>
      <c r="O562" s="14" t="str">
        <f t="shared" si="87"/>
        <v>2023</v>
      </c>
      <c r="P562" s="11" t="s">
        <v>1545</v>
      </c>
      <c r="Q562" s="11" t="s">
        <v>69</v>
      </c>
      <c r="R562" s="11">
        <v>9</v>
      </c>
      <c r="S562" s="11" t="str">
        <f t="shared" si="88"/>
        <v>9 - 12 yrs</v>
      </c>
      <c r="T562" s="12">
        <v>69.7</v>
      </c>
      <c r="U562" s="11" t="str">
        <f t="shared" si="81"/>
        <v>(51 - 100)</v>
      </c>
      <c r="V562" s="12">
        <f t="shared" si="82"/>
        <v>19.176829268292686</v>
      </c>
      <c r="W562" s="12">
        <f t="shared" si="83"/>
        <v>50.650238473767885</v>
      </c>
      <c r="X562" s="12">
        <f t="shared" si="84"/>
        <v>0.11081081081081082</v>
      </c>
    </row>
    <row r="563" spans="1:24">
      <c r="A563" s="11">
        <v>562</v>
      </c>
      <c r="B563" s="11" t="s">
        <v>1546</v>
      </c>
      <c r="C563" s="11" t="s">
        <v>16</v>
      </c>
      <c r="D563" s="11" t="s">
        <v>33</v>
      </c>
      <c r="E563" s="12">
        <v>45.6</v>
      </c>
      <c r="F563" s="11" t="s">
        <v>2643</v>
      </c>
      <c r="G563" s="11" t="str">
        <f t="shared" si="80"/>
        <v>Litres</v>
      </c>
      <c r="H563" s="13">
        <v>204</v>
      </c>
      <c r="I563" s="11" t="s">
        <v>19</v>
      </c>
      <c r="J563" s="12">
        <v>23116</v>
      </c>
      <c r="K563" s="12" t="str">
        <f t="shared" si="85"/>
        <v>Low</v>
      </c>
      <c r="L563" s="11" t="s">
        <v>20</v>
      </c>
      <c r="M563" s="14">
        <v>44953</v>
      </c>
      <c r="N563" s="14" t="str">
        <f t="shared" si="86"/>
        <v>27/01/2023</v>
      </c>
      <c r="O563" s="14" t="str">
        <f t="shared" si="87"/>
        <v>2023</v>
      </c>
      <c r="P563" s="11" t="s">
        <v>1548</v>
      </c>
      <c r="Q563" s="11" t="s">
        <v>2648</v>
      </c>
      <c r="R563" s="11">
        <v>8</v>
      </c>
      <c r="S563" s="11" t="str">
        <f t="shared" si="88"/>
        <v>5 - 8 yrs</v>
      </c>
      <c r="T563" s="12">
        <v>124.5</v>
      </c>
      <c r="U563" s="11" t="str">
        <f t="shared" si="81"/>
        <v>(101 - 150)</v>
      </c>
      <c r="V563" s="12">
        <f t="shared" si="82"/>
        <v>4.4736842105263159</v>
      </c>
      <c r="W563" s="12">
        <f t="shared" si="83"/>
        <v>113.31372549019608</v>
      </c>
      <c r="X563" s="12">
        <f t="shared" si="84"/>
        <v>0.61029411764705888</v>
      </c>
    </row>
    <row r="564" spans="1:24">
      <c r="A564" s="11">
        <v>563</v>
      </c>
      <c r="B564" s="11" t="s">
        <v>2472</v>
      </c>
      <c r="C564" s="11" t="s">
        <v>32</v>
      </c>
      <c r="D564" s="11" t="s">
        <v>114</v>
      </c>
      <c r="E564" s="12">
        <v>5.6</v>
      </c>
      <c r="F564" s="11" t="s">
        <v>2643</v>
      </c>
      <c r="G564" s="11" t="str">
        <f t="shared" si="80"/>
        <v>Litres</v>
      </c>
      <c r="H564" s="13">
        <v>228</v>
      </c>
      <c r="I564" s="11" t="s">
        <v>19</v>
      </c>
      <c r="J564" s="12">
        <v>26322</v>
      </c>
      <c r="K564" s="12" t="str">
        <f t="shared" si="85"/>
        <v>Low</v>
      </c>
      <c r="L564" s="11" t="s">
        <v>20</v>
      </c>
      <c r="M564" s="14">
        <v>45744</v>
      </c>
      <c r="N564" s="14" t="str">
        <f t="shared" si="86"/>
        <v>28/03/2025</v>
      </c>
      <c r="O564" s="14" t="str">
        <f t="shared" si="87"/>
        <v>2025</v>
      </c>
      <c r="P564" s="11" t="s">
        <v>986</v>
      </c>
      <c r="Q564" s="11" t="s">
        <v>2648</v>
      </c>
      <c r="R564" s="11">
        <v>18</v>
      </c>
      <c r="S564" s="11" t="str">
        <f t="shared" si="88"/>
        <v>17 + yrs</v>
      </c>
      <c r="T564" s="12">
        <v>17.100000000000001</v>
      </c>
      <c r="U564" s="11" t="str">
        <f t="shared" si="81"/>
        <v>(0 - 50)</v>
      </c>
      <c r="V564" s="12">
        <f t="shared" si="82"/>
        <v>40.714285714285715</v>
      </c>
      <c r="W564" s="12">
        <f t="shared" si="83"/>
        <v>115.44736842105263</v>
      </c>
      <c r="X564" s="12">
        <f t="shared" si="84"/>
        <v>7.5000000000000011E-2</v>
      </c>
    </row>
    <row r="565" spans="1:24">
      <c r="A565" s="11">
        <v>564</v>
      </c>
      <c r="B565" s="11" t="s">
        <v>2543</v>
      </c>
      <c r="C565" s="11" t="s">
        <v>16</v>
      </c>
      <c r="D565" s="11" t="s">
        <v>33</v>
      </c>
      <c r="E565" s="12">
        <v>32.4</v>
      </c>
      <c r="F565" s="11" t="s">
        <v>2643</v>
      </c>
      <c r="G565" s="11" t="str">
        <f t="shared" si="80"/>
        <v>Litres</v>
      </c>
      <c r="H565" s="13">
        <v>421</v>
      </c>
      <c r="I565" s="11" t="s">
        <v>19</v>
      </c>
      <c r="J565" s="12">
        <v>46329</v>
      </c>
      <c r="K565" s="12" t="str">
        <f t="shared" si="85"/>
        <v>Medium</v>
      </c>
      <c r="L565" s="11" t="s">
        <v>20</v>
      </c>
      <c r="M565" s="14">
        <v>45467</v>
      </c>
      <c r="N565" s="14" t="str">
        <f t="shared" si="86"/>
        <v>24/06/2024</v>
      </c>
      <c r="O565" s="14" t="str">
        <f t="shared" si="87"/>
        <v>2024</v>
      </c>
      <c r="P565" s="11" t="s">
        <v>449</v>
      </c>
      <c r="Q565" s="11" t="s">
        <v>86</v>
      </c>
      <c r="R565" s="11">
        <v>14</v>
      </c>
      <c r="S565" s="11" t="str">
        <f t="shared" si="88"/>
        <v>13 - 16 yrs</v>
      </c>
      <c r="T565" s="12">
        <v>95</v>
      </c>
      <c r="U565" s="11" t="str">
        <f t="shared" si="81"/>
        <v>(51 - 100)</v>
      </c>
      <c r="V565" s="12">
        <f t="shared" si="82"/>
        <v>12.993827160493828</v>
      </c>
      <c r="W565" s="12">
        <f t="shared" si="83"/>
        <v>110.04513064133016</v>
      </c>
      <c r="X565" s="12">
        <f t="shared" si="84"/>
        <v>0.22565320665083136</v>
      </c>
    </row>
    <row r="566" spans="1:24">
      <c r="A566" s="11">
        <v>565</v>
      </c>
      <c r="B566" s="11" t="s">
        <v>1551</v>
      </c>
      <c r="C566" s="11" t="s">
        <v>16</v>
      </c>
      <c r="D566" s="11" t="s">
        <v>114</v>
      </c>
      <c r="E566" s="12">
        <v>59.9</v>
      </c>
      <c r="F566" s="11" t="s">
        <v>41</v>
      </c>
      <c r="G566" s="11" t="str">
        <f t="shared" si="80"/>
        <v>Litres</v>
      </c>
      <c r="H566" s="13">
        <v>153</v>
      </c>
      <c r="I566" s="11" t="s">
        <v>19</v>
      </c>
      <c r="J566" s="12">
        <v>108395</v>
      </c>
      <c r="K566" s="12" t="str">
        <f t="shared" si="85"/>
        <v>Extreme</v>
      </c>
      <c r="L566" s="11" t="s">
        <v>20</v>
      </c>
      <c r="M566" s="14">
        <v>45808</v>
      </c>
      <c r="N566" s="14" t="str">
        <f t="shared" si="86"/>
        <v>31/05/2025</v>
      </c>
      <c r="O566" s="14" t="str">
        <f t="shared" si="87"/>
        <v>2025</v>
      </c>
      <c r="P566" s="11" t="s">
        <v>1553</v>
      </c>
      <c r="Q566" s="11" t="s">
        <v>86</v>
      </c>
      <c r="R566" s="11">
        <v>11</v>
      </c>
      <c r="S566" s="11" t="str">
        <f t="shared" si="88"/>
        <v>9 - 12 yrs</v>
      </c>
      <c r="T566" s="12">
        <v>174.1</v>
      </c>
      <c r="U566" s="11" t="str">
        <f t="shared" si="81"/>
        <v>(151 - 200)</v>
      </c>
      <c r="V566" s="12">
        <f t="shared" si="82"/>
        <v>2.5542570951585977</v>
      </c>
      <c r="W566" s="12">
        <f t="shared" si="83"/>
        <v>708.46405228758169</v>
      </c>
      <c r="X566" s="12">
        <f t="shared" si="84"/>
        <v>1.1379084967320261</v>
      </c>
    </row>
    <row r="567" spans="1:24">
      <c r="A567" s="11">
        <v>566</v>
      </c>
      <c r="B567" s="11" t="s">
        <v>1554</v>
      </c>
      <c r="C567" s="11" t="s">
        <v>16</v>
      </c>
      <c r="D567" s="11" t="s">
        <v>33</v>
      </c>
      <c r="E567" s="12">
        <v>32.4</v>
      </c>
      <c r="F567" s="11" t="s">
        <v>56</v>
      </c>
      <c r="G567" s="11" t="str">
        <f t="shared" si="80"/>
        <v>Litres</v>
      </c>
      <c r="H567" s="13">
        <v>226</v>
      </c>
      <c r="I567" s="11" t="s">
        <v>19</v>
      </c>
      <c r="J567" s="12">
        <v>98689</v>
      </c>
      <c r="K567" s="12" t="str">
        <f t="shared" si="85"/>
        <v>Very High</v>
      </c>
      <c r="L567" s="11" t="s">
        <v>20</v>
      </c>
      <c r="M567" s="14">
        <v>45608</v>
      </c>
      <c r="N567" s="14" t="str">
        <f t="shared" si="86"/>
        <v>12/11/2024</v>
      </c>
      <c r="O567" s="14" t="str">
        <f t="shared" si="87"/>
        <v>2024</v>
      </c>
      <c r="P567" s="11" t="s">
        <v>675</v>
      </c>
      <c r="Q567" s="11" t="s">
        <v>121</v>
      </c>
      <c r="R567" s="11">
        <v>7</v>
      </c>
      <c r="S567" s="11" t="str">
        <f t="shared" si="88"/>
        <v>5 - 8 yrs</v>
      </c>
      <c r="T567" s="12">
        <v>104.8</v>
      </c>
      <c r="U567" s="11" t="str">
        <f t="shared" si="81"/>
        <v>(101 - 150)</v>
      </c>
      <c r="V567" s="12">
        <f t="shared" si="82"/>
        <v>6.9753086419753085</v>
      </c>
      <c r="W567" s="12">
        <f t="shared" si="83"/>
        <v>436.67699115044246</v>
      </c>
      <c r="X567" s="12">
        <f t="shared" si="84"/>
        <v>0.463716814159292</v>
      </c>
    </row>
    <row r="568" spans="1:24">
      <c r="A568" s="11">
        <v>567</v>
      </c>
      <c r="B568" s="11" t="s">
        <v>2544</v>
      </c>
      <c r="C568" s="11" t="s">
        <v>32</v>
      </c>
      <c r="D568" s="11" t="s">
        <v>114</v>
      </c>
      <c r="E568" s="12">
        <v>17.7</v>
      </c>
      <c r="F568" s="11" t="s">
        <v>41</v>
      </c>
      <c r="G568" s="11" t="str">
        <f t="shared" si="80"/>
        <v>Litres</v>
      </c>
      <c r="H568" s="13">
        <v>123</v>
      </c>
      <c r="I568" s="11" t="s">
        <v>19</v>
      </c>
      <c r="J568" s="12">
        <v>111451</v>
      </c>
      <c r="K568" s="12" t="str">
        <f t="shared" si="85"/>
        <v>Extreme</v>
      </c>
      <c r="L568" s="11" t="s">
        <v>20</v>
      </c>
      <c r="M568" s="14">
        <v>45230</v>
      </c>
      <c r="N568" s="14" t="str">
        <f t="shared" si="86"/>
        <v>31/10/2023</v>
      </c>
      <c r="O568" s="14" t="str">
        <f t="shared" si="87"/>
        <v>2023</v>
      </c>
      <c r="P568" s="11" t="s">
        <v>1557</v>
      </c>
      <c r="Q568" s="11" t="s">
        <v>59</v>
      </c>
      <c r="R568" s="11">
        <v>4</v>
      </c>
      <c r="S568" s="11" t="str">
        <f t="shared" si="88"/>
        <v>0 - 4 yrs</v>
      </c>
      <c r="T568" s="12">
        <v>45.2</v>
      </c>
      <c r="U568" s="11" t="str">
        <f t="shared" si="81"/>
        <v>(0 - 50)</v>
      </c>
      <c r="V568" s="12">
        <f t="shared" si="82"/>
        <v>6.9491525423728815</v>
      </c>
      <c r="W568" s="12">
        <f t="shared" si="83"/>
        <v>906.10569105691059</v>
      </c>
      <c r="X568" s="12">
        <f t="shared" si="84"/>
        <v>0.36747967479674798</v>
      </c>
    </row>
    <row r="569" spans="1:24">
      <c r="A569" s="11">
        <v>568</v>
      </c>
      <c r="B569" s="11" t="s">
        <v>1558</v>
      </c>
      <c r="C569" s="11" t="s">
        <v>50</v>
      </c>
      <c r="D569" s="11" t="s">
        <v>61</v>
      </c>
      <c r="E569" s="12">
        <v>10</v>
      </c>
      <c r="F569" s="11" t="s">
        <v>56</v>
      </c>
      <c r="G569" s="11" t="str">
        <f t="shared" si="80"/>
        <v>Litres</v>
      </c>
      <c r="H569" s="13">
        <v>557</v>
      </c>
      <c r="I569" s="11" t="s">
        <v>19</v>
      </c>
      <c r="J569" s="12">
        <v>116162</v>
      </c>
      <c r="K569" s="12" t="str">
        <f t="shared" si="85"/>
        <v>Extreme</v>
      </c>
      <c r="L569" s="11" t="s">
        <v>20</v>
      </c>
      <c r="M569" s="14">
        <v>45742</v>
      </c>
      <c r="N569" s="14" t="str">
        <f t="shared" si="86"/>
        <v>26/03/2025</v>
      </c>
      <c r="O569" s="14" t="str">
        <f t="shared" si="87"/>
        <v>2025</v>
      </c>
      <c r="P569" s="11" t="s">
        <v>1560</v>
      </c>
      <c r="Q569" s="11" t="s">
        <v>59</v>
      </c>
      <c r="R569" s="11">
        <v>16</v>
      </c>
      <c r="S569" s="11" t="str">
        <f t="shared" si="88"/>
        <v>13 - 16 yrs</v>
      </c>
      <c r="T569" s="12">
        <v>0</v>
      </c>
      <c r="U569" s="11" t="str">
        <f t="shared" si="81"/>
        <v>(0 - 50)</v>
      </c>
      <c r="V569" s="12">
        <f t="shared" si="82"/>
        <v>55.7</v>
      </c>
      <c r="W569" s="12">
        <f t="shared" si="83"/>
        <v>208.54937163375223</v>
      </c>
      <c r="X569" s="12">
        <f t="shared" si="84"/>
        <v>0</v>
      </c>
    </row>
    <row r="570" spans="1:24">
      <c r="A570" s="11">
        <v>569</v>
      </c>
      <c r="B570" s="11" t="s">
        <v>2545</v>
      </c>
      <c r="C570" s="11" t="s">
        <v>16</v>
      </c>
      <c r="D570" s="11" t="s">
        <v>17</v>
      </c>
      <c r="E570" s="12">
        <v>32.6</v>
      </c>
      <c r="F570" s="11" t="s">
        <v>2643</v>
      </c>
      <c r="G570" s="11" t="str">
        <f t="shared" si="80"/>
        <v>Litres</v>
      </c>
      <c r="H570" s="13">
        <v>593</v>
      </c>
      <c r="I570" s="11" t="s">
        <v>19</v>
      </c>
      <c r="J570" s="12">
        <v>45027</v>
      </c>
      <c r="K570" s="12" t="str">
        <f t="shared" si="85"/>
        <v>Medium</v>
      </c>
      <c r="L570" s="11" t="s">
        <v>20</v>
      </c>
      <c r="M570" s="14">
        <v>44962</v>
      </c>
      <c r="N570" s="14" t="str">
        <f t="shared" si="86"/>
        <v>05/02/2023</v>
      </c>
      <c r="O570" s="14" t="str">
        <f t="shared" si="87"/>
        <v>2023</v>
      </c>
      <c r="P570" s="11" t="s">
        <v>1126</v>
      </c>
      <c r="Q570" s="11" t="s">
        <v>2648</v>
      </c>
      <c r="R570" s="11">
        <v>13</v>
      </c>
      <c r="S570" s="11" t="str">
        <f t="shared" si="88"/>
        <v>13 - 16 yrs</v>
      </c>
      <c r="T570" s="12">
        <v>106.1</v>
      </c>
      <c r="U570" s="11" t="str">
        <f t="shared" si="81"/>
        <v>(101 - 150)</v>
      </c>
      <c r="V570" s="12">
        <f t="shared" si="82"/>
        <v>18.190184049079754</v>
      </c>
      <c r="W570" s="12">
        <f t="shared" si="83"/>
        <v>75.930860033726816</v>
      </c>
      <c r="X570" s="12">
        <f t="shared" si="84"/>
        <v>0.17892074198988195</v>
      </c>
    </row>
    <row r="571" spans="1:24">
      <c r="A571" s="11">
        <v>570</v>
      </c>
      <c r="B571" s="11" t="s">
        <v>1563</v>
      </c>
      <c r="C571" s="11" t="s">
        <v>50</v>
      </c>
      <c r="D571" s="11" t="s">
        <v>114</v>
      </c>
      <c r="E571" s="12">
        <v>15.9</v>
      </c>
      <c r="F571" s="11" t="s">
        <v>56</v>
      </c>
      <c r="G571" s="11" t="str">
        <f t="shared" si="80"/>
        <v>Litres</v>
      </c>
      <c r="H571" s="13">
        <v>540</v>
      </c>
      <c r="I571" s="11" t="s">
        <v>19</v>
      </c>
      <c r="J571" s="12">
        <v>91557</v>
      </c>
      <c r="K571" s="12" t="str">
        <f t="shared" si="85"/>
        <v>Very High</v>
      </c>
      <c r="L571" s="11" t="s">
        <v>20</v>
      </c>
      <c r="M571" s="14">
        <v>45318</v>
      </c>
      <c r="N571" s="14" t="str">
        <f t="shared" si="86"/>
        <v>27/01/2024</v>
      </c>
      <c r="O571" s="14" t="str">
        <f t="shared" si="87"/>
        <v>2024</v>
      </c>
      <c r="P571" s="11" t="s">
        <v>636</v>
      </c>
      <c r="Q571" s="11" t="s">
        <v>48</v>
      </c>
      <c r="R571" s="11">
        <v>4</v>
      </c>
      <c r="S571" s="11" t="str">
        <f t="shared" si="88"/>
        <v>0 - 4 yrs</v>
      </c>
      <c r="T571" s="12">
        <v>42.1</v>
      </c>
      <c r="U571" s="11" t="str">
        <f t="shared" si="81"/>
        <v>(0 - 50)</v>
      </c>
      <c r="V571" s="12">
        <f t="shared" si="82"/>
        <v>33.962264150943398</v>
      </c>
      <c r="W571" s="12">
        <f t="shared" si="83"/>
        <v>169.55</v>
      </c>
      <c r="X571" s="12">
        <f t="shared" si="84"/>
        <v>7.796296296296297E-2</v>
      </c>
    </row>
    <row r="572" spans="1:24">
      <c r="A572" s="11">
        <v>571</v>
      </c>
      <c r="B572" s="11" t="s">
        <v>1565</v>
      </c>
      <c r="C572" s="11" t="s">
        <v>32</v>
      </c>
      <c r="D572" s="11" t="s">
        <v>61</v>
      </c>
      <c r="E572" s="12">
        <v>10</v>
      </c>
      <c r="F572" s="11" t="s">
        <v>26</v>
      </c>
      <c r="G572" s="11" t="str">
        <f t="shared" si="80"/>
        <v>Litres</v>
      </c>
      <c r="H572" s="13">
        <v>358</v>
      </c>
      <c r="I572" s="11" t="s">
        <v>19</v>
      </c>
      <c r="J572" s="12">
        <v>94137</v>
      </c>
      <c r="K572" s="12" t="str">
        <f t="shared" si="85"/>
        <v>Very High</v>
      </c>
      <c r="L572" s="11" t="s">
        <v>20</v>
      </c>
      <c r="M572" s="14">
        <v>45171</v>
      </c>
      <c r="N572" s="14" t="str">
        <f t="shared" si="86"/>
        <v>02/09/2023</v>
      </c>
      <c r="O572" s="14" t="str">
        <f t="shared" si="87"/>
        <v>2023</v>
      </c>
      <c r="P572" s="11" t="s">
        <v>1277</v>
      </c>
      <c r="Q572" s="11" t="s">
        <v>121</v>
      </c>
      <c r="R572" s="11">
        <v>5</v>
      </c>
      <c r="S572" s="11" t="str">
        <f t="shared" si="88"/>
        <v>5 - 8 yrs</v>
      </c>
      <c r="T572" s="12">
        <v>0</v>
      </c>
      <c r="U572" s="11" t="str">
        <f t="shared" si="81"/>
        <v>(0 - 50)</v>
      </c>
      <c r="V572" s="12">
        <f t="shared" si="82"/>
        <v>35.799999999999997</v>
      </c>
      <c r="W572" s="12">
        <f t="shared" si="83"/>
        <v>262.95251396648047</v>
      </c>
      <c r="X572" s="12">
        <f t="shared" si="84"/>
        <v>0</v>
      </c>
    </row>
    <row r="573" spans="1:24">
      <c r="A573" s="11">
        <v>572</v>
      </c>
      <c r="B573" s="11" t="s">
        <v>161</v>
      </c>
      <c r="C573" s="11" t="s">
        <v>39</v>
      </c>
      <c r="D573" s="11" t="s">
        <v>17</v>
      </c>
      <c r="E573" s="12">
        <v>85.3</v>
      </c>
      <c r="F573" s="11" t="s">
        <v>26</v>
      </c>
      <c r="G573" s="11" t="str">
        <f t="shared" si="80"/>
        <v>Litres</v>
      </c>
      <c r="H573" s="13">
        <v>183</v>
      </c>
      <c r="I573" s="11" t="s">
        <v>19</v>
      </c>
      <c r="J573" s="12">
        <v>50422</v>
      </c>
      <c r="K573" s="12" t="str">
        <f t="shared" si="85"/>
        <v>Medium</v>
      </c>
      <c r="L573" s="11" t="s">
        <v>20</v>
      </c>
      <c r="M573" s="14">
        <v>45003</v>
      </c>
      <c r="N573" s="14" t="str">
        <f t="shared" si="86"/>
        <v>18/03/2023</v>
      </c>
      <c r="O573" s="14" t="str">
        <f t="shared" si="87"/>
        <v>2023</v>
      </c>
      <c r="P573" s="11" t="s">
        <v>524</v>
      </c>
      <c r="Q573" s="11" t="s">
        <v>441</v>
      </c>
      <c r="R573" s="11">
        <v>3</v>
      </c>
      <c r="S573" s="11" t="str">
        <f t="shared" si="88"/>
        <v>0 - 4 yrs</v>
      </c>
      <c r="T573" s="12">
        <v>286.5</v>
      </c>
      <c r="U573" s="11" t="str">
        <f t="shared" si="81"/>
        <v>(251 - 300)</v>
      </c>
      <c r="V573" s="12">
        <f t="shared" si="82"/>
        <v>2.1453692848769053</v>
      </c>
      <c r="W573" s="12">
        <f t="shared" si="83"/>
        <v>275.53005464480873</v>
      </c>
      <c r="X573" s="12">
        <f t="shared" si="84"/>
        <v>1.5655737704918034</v>
      </c>
    </row>
    <row r="574" spans="1:24">
      <c r="A574" s="11">
        <v>573</v>
      </c>
      <c r="B574" s="11" t="s">
        <v>1567</v>
      </c>
      <c r="C574" s="11" t="s">
        <v>39</v>
      </c>
      <c r="D574" s="11" t="s">
        <v>33</v>
      </c>
      <c r="E574" s="12">
        <v>83</v>
      </c>
      <c r="F574" s="11" t="s">
        <v>26</v>
      </c>
      <c r="G574" s="11" t="str">
        <f t="shared" si="80"/>
        <v>Litres</v>
      </c>
      <c r="H574" s="13">
        <v>240</v>
      </c>
      <c r="I574" s="11" t="s">
        <v>19</v>
      </c>
      <c r="J574" s="12">
        <v>37634</v>
      </c>
      <c r="K574" s="12" t="str">
        <f t="shared" si="85"/>
        <v>Medium</v>
      </c>
      <c r="L574" s="11" t="s">
        <v>20</v>
      </c>
      <c r="M574" s="14">
        <v>45381</v>
      </c>
      <c r="N574" s="14" t="str">
        <f t="shared" si="86"/>
        <v>30/03/2024</v>
      </c>
      <c r="O574" s="14" t="str">
        <f t="shared" si="87"/>
        <v>2024</v>
      </c>
      <c r="P574" s="11" t="s">
        <v>959</v>
      </c>
      <c r="Q574" s="11" t="s">
        <v>117</v>
      </c>
      <c r="R574" s="11">
        <v>12</v>
      </c>
      <c r="S574" s="11" t="str">
        <f t="shared" si="88"/>
        <v>9 - 12 yrs</v>
      </c>
      <c r="T574" s="12">
        <v>280</v>
      </c>
      <c r="U574" s="11" t="str">
        <f t="shared" si="81"/>
        <v>(251 - 300)</v>
      </c>
      <c r="V574" s="12">
        <f t="shared" si="82"/>
        <v>2.8915662650602409</v>
      </c>
      <c r="W574" s="12">
        <f t="shared" si="83"/>
        <v>156.80833333333334</v>
      </c>
      <c r="X574" s="12">
        <f t="shared" si="84"/>
        <v>1.1666666666666667</v>
      </c>
    </row>
    <row r="575" spans="1:24">
      <c r="A575" s="11">
        <v>574</v>
      </c>
      <c r="B575" s="11" t="s">
        <v>1171</v>
      </c>
      <c r="C575" s="11" t="s">
        <v>39</v>
      </c>
      <c r="D575" s="11" t="s">
        <v>114</v>
      </c>
      <c r="E575" s="12">
        <v>54.2</v>
      </c>
      <c r="F575" s="11" t="s">
        <v>62</v>
      </c>
      <c r="G575" s="11" t="str">
        <f t="shared" si="80"/>
        <v>kWh</v>
      </c>
      <c r="H575" s="13">
        <v>274</v>
      </c>
      <c r="I575" s="11" t="s">
        <v>19</v>
      </c>
      <c r="J575" s="12">
        <v>68098</v>
      </c>
      <c r="K575" s="12" t="str">
        <f t="shared" si="85"/>
        <v>Moderate</v>
      </c>
      <c r="L575" s="11" t="s">
        <v>20</v>
      </c>
      <c r="M575" s="14">
        <v>45153</v>
      </c>
      <c r="N575" s="14" t="str">
        <f t="shared" si="86"/>
        <v>15/08/2023</v>
      </c>
      <c r="O575" s="14" t="str">
        <f t="shared" si="87"/>
        <v>2023</v>
      </c>
      <c r="P575" s="11" t="s">
        <v>1447</v>
      </c>
      <c r="Q575" s="11" t="s">
        <v>69</v>
      </c>
      <c r="R575" s="11">
        <v>13</v>
      </c>
      <c r="S575" s="11" t="str">
        <f t="shared" si="88"/>
        <v>13 - 16 yrs</v>
      </c>
      <c r="T575" s="12">
        <v>141</v>
      </c>
      <c r="U575" s="11" t="str">
        <f t="shared" si="81"/>
        <v>(101 - 150)</v>
      </c>
      <c r="V575" s="12">
        <f t="shared" si="82"/>
        <v>5.0553505535055345</v>
      </c>
      <c r="W575" s="12">
        <f t="shared" si="83"/>
        <v>248.53284671532847</v>
      </c>
      <c r="X575" s="12">
        <f t="shared" si="84"/>
        <v>0.51459854014598538</v>
      </c>
    </row>
    <row r="576" spans="1:24">
      <c r="A576" s="11">
        <v>575</v>
      </c>
      <c r="B576" s="11" t="s">
        <v>2546</v>
      </c>
      <c r="C576" s="11" t="s">
        <v>50</v>
      </c>
      <c r="D576" s="11" t="s">
        <v>17</v>
      </c>
      <c r="E576" s="12">
        <v>48.6</v>
      </c>
      <c r="F576" s="11" t="s">
        <v>41</v>
      </c>
      <c r="G576" s="11" t="str">
        <f t="shared" si="80"/>
        <v>Litres</v>
      </c>
      <c r="H576" s="13">
        <v>330</v>
      </c>
      <c r="I576" s="11" t="s">
        <v>19</v>
      </c>
      <c r="J576" s="12">
        <v>22709</v>
      </c>
      <c r="K576" s="12" t="str">
        <f t="shared" si="85"/>
        <v>Low</v>
      </c>
      <c r="L576" s="11" t="s">
        <v>20</v>
      </c>
      <c r="M576" s="14">
        <v>45577</v>
      </c>
      <c r="N576" s="14" t="str">
        <f t="shared" si="86"/>
        <v>12/10/2024</v>
      </c>
      <c r="O576" s="14" t="str">
        <f t="shared" si="87"/>
        <v>2024</v>
      </c>
      <c r="P576" s="11" t="s">
        <v>695</v>
      </c>
      <c r="Q576" s="11" t="s">
        <v>121</v>
      </c>
      <c r="R576" s="11">
        <v>7</v>
      </c>
      <c r="S576" s="11" t="str">
        <f t="shared" si="88"/>
        <v>5 - 8 yrs</v>
      </c>
      <c r="T576" s="12">
        <v>141.30000000000001</v>
      </c>
      <c r="U576" s="11" t="str">
        <f t="shared" si="81"/>
        <v>(101 - 150)</v>
      </c>
      <c r="V576" s="12">
        <f t="shared" si="82"/>
        <v>6.7901234567901234</v>
      </c>
      <c r="W576" s="12">
        <f t="shared" si="83"/>
        <v>68.815151515151513</v>
      </c>
      <c r="X576" s="12">
        <f t="shared" si="84"/>
        <v>0.42818181818181822</v>
      </c>
    </row>
    <row r="577" spans="1:24">
      <c r="A577" s="11">
        <v>576</v>
      </c>
      <c r="B577" s="11" t="s">
        <v>1571</v>
      </c>
      <c r="C577" s="11" t="s">
        <v>50</v>
      </c>
      <c r="D577" s="11" t="s">
        <v>61</v>
      </c>
      <c r="E577" s="12">
        <v>10</v>
      </c>
      <c r="F577" s="11" t="s">
        <v>56</v>
      </c>
      <c r="G577" s="11" t="str">
        <f t="shared" si="80"/>
        <v>Litres</v>
      </c>
      <c r="H577" s="13">
        <v>687</v>
      </c>
      <c r="I577" s="11" t="s">
        <v>19</v>
      </c>
      <c r="J577" s="12">
        <v>12766</v>
      </c>
      <c r="K577" s="12" t="str">
        <f t="shared" si="85"/>
        <v>Very Low</v>
      </c>
      <c r="L577" s="11" t="s">
        <v>20</v>
      </c>
      <c r="M577" s="14">
        <v>45709</v>
      </c>
      <c r="N577" s="14" t="str">
        <f t="shared" si="86"/>
        <v>21/02/2025</v>
      </c>
      <c r="O577" s="14" t="str">
        <f t="shared" si="87"/>
        <v>2025</v>
      </c>
      <c r="P577" s="11" t="s">
        <v>1573</v>
      </c>
      <c r="Q577" s="11" t="s">
        <v>86</v>
      </c>
      <c r="R577" s="11">
        <v>18</v>
      </c>
      <c r="S577" s="11" t="str">
        <f t="shared" si="88"/>
        <v>17 + yrs</v>
      </c>
      <c r="T577" s="12">
        <v>0</v>
      </c>
      <c r="U577" s="11" t="str">
        <f t="shared" si="81"/>
        <v>(0 - 50)</v>
      </c>
      <c r="V577" s="12">
        <f t="shared" si="82"/>
        <v>68.7</v>
      </c>
      <c r="W577" s="12">
        <f t="shared" si="83"/>
        <v>18.582241630276563</v>
      </c>
      <c r="X577" s="12">
        <f t="shared" si="84"/>
        <v>0</v>
      </c>
    </row>
    <row r="578" spans="1:24">
      <c r="A578" s="11">
        <v>577</v>
      </c>
      <c r="B578" s="11" t="s">
        <v>1574</v>
      </c>
      <c r="C578" s="11" t="s">
        <v>16</v>
      </c>
      <c r="D578" s="11" t="s">
        <v>17</v>
      </c>
      <c r="E578" s="12">
        <v>99.4</v>
      </c>
      <c r="F578" s="11" t="s">
        <v>26</v>
      </c>
      <c r="G578" s="11" t="str">
        <f t="shared" ref="G578:G641" si="89">IF(OR(F578="L",F578="ltrs",F578="liters"),"Litres",F578)</f>
        <v>Litres</v>
      </c>
      <c r="H578" s="13">
        <v>516</v>
      </c>
      <c r="I578" s="11" t="s">
        <v>19</v>
      </c>
      <c r="J578" s="12">
        <v>34168</v>
      </c>
      <c r="K578" s="12" t="str">
        <f t="shared" si="85"/>
        <v>Low</v>
      </c>
      <c r="L578" s="11" t="s">
        <v>20</v>
      </c>
      <c r="M578" s="14">
        <v>45802</v>
      </c>
      <c r="N578" s="14" t="str">
        <f t="shared" si="86"/>
        <v>25/05/2025</v>
      </c>
      <c r="O578" s="14" t="str">
        <f t="shared" si="87"/>
        <v>2025</v>
      </c>
      <c r="P578" s="11" t="s">
        <v>1576</v>
      </c>
      <c r="Q578" s="11" t="s">
        <v>86</v>
      </c>
      <c r="R578" s="11">
        <v>14</v>
      </c>
      <c r="S578" s="11" t="str">
        <f t="shared" si="88"/>
        <v>13 - 16 yrs</v>
      </c>
      <c r="T578" s="12">
        <v>237.7</v>
      </c>
      <c r="U578" s="11" t="str">
        <f t="shared" si="81"/>
        <v>(201 - 250)</v>
      </c>
      <c r="V578" s="12">
        <f t="shared" si="82"/>
        <v>5.1911468812877262</v>
      </c>
      <c r="W578" s="12">
        <f t="shared" si="83"/>
        <v>66.217054263565885</v>
      </c>
      <c r="X578" s="12">
        <f t="shared" si="84"/>
        <v>0.46065891472868215</v>
      </c>
    </row>
    <row r="579" spans="1:24">
      <c r="A579" s="11">
        <v>578</v>
      </c>
      <c r="B579" s="11" t="s">
        <v>1577</v>
      </c>
      <c r="C579" s="11" t="s">
        <v>16</v>
      </c>
      <c r="D579" s="11" t="s">
        <v>17</v>
      </c>
      <c r="E579" s="12">
        <v>65.599999999999994</v>
      </c>
      <c r="F579" s="11" t="s">
        <v>62</v>
      </c>
      <c r="G579" s="11" t="str">
        <f t="shared" si="89"/>
        <v>kWh</v>
      </c>
      <c r="H579" s="13">
        <v>58</v>
      </c>
      <c r="I579" s="11" t="s">
        <v>19</v>
      </c>
      <c r="J579" s="12">
        <v>93363</v>
      </c>
      <c r="K579" s="12" t="str">
        <f t="shared" si="85"/>
        <v>Very High</v>
      </c>
      <c r="L579" s="11" t="s">
        <v>20</v>
      </c>
      <c r="M579" s="14">
        <v>45229</v>
      </c>
      <c r="N579" s="14" t="str">
        <f t="shared" si="86"/>
        <v>30/10/2023</v>
      </c>
      <c r="O579" s="14" t="str">
        <f t="shared" si="87"/>
        <v>2023</v>
      </c>
      <c r="P579" s="11" t="s">
        <v>1254</v>
      </c>
      <c r="Q579" s="11" t="s">
        <v>117</v>
      </c>
      <c r="R579" s="11">
        <v>11</v>
      </c>
      <c r="S579" s="11" t="str">
        <f t="shared" si="88"/>
        <v>9 - 12 yrs</v>
      </c>
      <c r="T579" s="12">
        <v>193.5</v>
      </c>
      <c r="U579" s="11" t="str">
        <f t="shared" si="81"/>
        <v>(151 - 200)</v>
      </c>
      <c r="V579" s="12">
        <f t="shared" si="82"/>
        <v>0.88414634146341475</v>
      </c>
      <c r="W579" s="12">
        <f t="shared" si="83"/>
        <v>1609.7068965517242</v>
      </c>
      <c r="X579" s="12">
        <f t="shared" si="84"/>
        <v>3.3362068965517242</v>
      </c>
    </row>
    <row r="580" spans="1:24">
      <c r="A580" s="11">
        <v>579</v>
      </c>
      <c r="B580" s="11" t="s">
        <v>2547</v>
      </c>
      <c r="C580" s="11" t="s">
        <v>50</v>
      </c>
      <c r="D580" s="11" t="s">
        <v>17</v>
      </c>
      <c r="E580" s="12">
        <v>61.8</v>
      </c>
      <c r="F580" s="11" t="s">
        <v>56</v>
      </c>
      <c r="G580" s="11" t="str">
        <f t="shared" si="89"/>
        <v>Litres</v>
      </c>
      <c r="H580" s="13">
        <v>324</v>
      </c>
      <c r="I580" s="11" t="s">
        <v>19</v>
      </c>
      <c r="J580" s="12">
        <v>59727</v>
      </c>
      <c r="K580" s="12" t="str">
        <f t="shared" si="85"/>
        <v>Moderate</v>
      </c>
      <c r="L580" s="11" t="s">
        <v>20</v>
      </c>
      <c r="M580" s="14">
        <v>45051</v>
      </c>
      <c r="N580" s="14" t="str">
        <f t="shared" si="86"/>
        <v>05/05/2023</v>
      </c>
      <c r="O580" s="14" t="str">
        <f t="shared" si="87"/>
        <v>2023</v>
      </c>
      <c r="P580" s="11" t="s">
        <v>1581</v>
      </c>
      <c r="Q580" s="11" t="s">
        <v>117</v>
      </c>
      <c r="R580" s="11">
        <v>11</v>
      </c>
      <c r="S580" s="11" t="str">
        <f t="shared" si="88"/>
        <v>9 - 12 yrs</v>
      </c>
      <c r="T580" s="12">
        <v>201.7</v>
      </c>
      <c r="U580" s="11" t="str">
        <f t="shared" si="81"/>
        <v>(201 - 250)</v>
      </c>
      <c r="V580" s="12">
        <f t="shared" si="82"/>
        <v>5.2427184466019421</v>
      </c>
      <c r="W580" s="12">
        <f t="shared" si="83"/>
        <v>184.34259259259258</v>
      </c>
      <c r="X580" s="12">
        <f t="shared" si="84"/>
        <v>0.62253086419753079</v>
      </c>
    </row>
    <row r="581" spans="1:24">
      <c r="A581" s="11">
        <v>580</v>
      </c>
      <c r="B581" s="11" t="s">
        <v>2548</v>
      </c>
      <c r="C581" s="11" t="s">
        <v>39</v>
      </c>
      <c r="D581" s="11" t="s">
        <v>17</v>
      </c>
      <c r="E581" s="12">
        <v>41.5</v>
      </c>
      <c r="F581" s="11" t="s">
        <v>62</v>
      </c>
      <c r="G581" s="11" t="str">
        <f t="shared" si="89"/>
        <v>kWh</v>
      </c>
      <c r="H581" s="13">
        <v>37</v>
      </c>
      <c r="I581" s="11" t="s">
        <v>19</v>
      </c>
      <c r="J581" s="12">
        <v>38742</v>
      </c>
      <c r="K581" s="12" t="str">
        <f t="shared" si="85"/>
        <v>Medium</v>
      </c>
      <c r="L581" s="11" t="s">
        <v>20</v>
      </c>
      <c r="M581" s="14">
        <v>45032</v>
      </c>
      <c r="N581" s="14" t="str">
        <f t="shared" si="86"/>
        <v>16/04/2023</v>
      </c>
      <c r="O581" s="14" t="str">
        <f t="shared" si="87"/>
        <v>2023</v>
      </c>
      <c r="P581" s="11" t="s">
        <v>1584</v>
      </c>
      <c r="Q581" s="11" t="s">
        <v>2648</v>
      </c>
      <c r="R581" s="11">
        <v>7</v>
      </c>
      <c r="S581" s="11" t="str">
        <f t="shared" si="88"/>
        <v>5 - 8 yrs</v>
      </c>
      <c r="T581" s="12">
        <v>132.5</v>
      </c>
      <c r="U581" s="11" t="str">
        <f t="shared" si="81"/>
        <v>(101 - 150)</v>
      </c>
      <c r="V581" s="12">
        <f t="shared" si="82"/>
        <v>0.89156626506024095</v>
      </c>
      <c r="W581" s="12">
        <f t="shared" si="83"/>
        <v>1047.081081081081</v>
      </c>
      <c r="X581" s="12">
        <f t="shared" si="84"/>
        <v>3.5810810810810811</v>
      </c>
    </row>
    <row r="582" spans="1:24">
      <c r="A582" s="11">
        <v>581</v>
      </c>
      <c r="B582" s="11" t="s">
        <v>1585</v>
      </c>
      <c r="C582" s="11" t="s">
        <v>16</v>
      </c>
      <c r="D582" s="11" t="s">
        <v>61</v>
      </c>
      <c r="E582" s="12">
        <v>10</v>
      </c>
      <c r="F582" s="11" t="s">
        <v>62</v>
      </c>
      <c r="G582" s="11" t="str">
        <f t="shared" si="89"/>
        <v>kWh</v>
      </c>
      <c r="H582" s="13">
        <v>534</v>
      </c>
      <c r="I582" s="11" t="s">
        <v>19</v>
      </c>
      <c r="J582" s="12">
        <v>60121</v>
      </c>
      <c r="K582" s="12" t="str">
        <f t="shared" si="85"/>
        <v>Moderate</v>
      </c>
      <c r="L582" s="11" t="s">
        <v>20</v>
      </c>
      <c r="M582" s="14">
        <v>45116</v>
      </c>
      <c r="N582" s="14" t="str">
        <f t="shared" si="86"/>
        <v>09/07/2023</v>
      </c>
      <c r="O582" s="14" t="str">
        <f t="shared" si="87"/>
        <v>2023</v>
      </c>
      <c r="P582" s="11" t="s">
        <v>1587</v>
      </c>
      <c r="Q582" s="11" t="s">
        <v>117</v>
      </c>
      <c r="R582" s="11">
        <v>15</v>
      </c>
      <c r="S582" s="11" t="str">
        <f t="shared" si="88"/>
        <v>13 - 16 yrs</v>
      </c>
      <c r="T582" s="12">
        <v>0</v>
      </c>
      <c r="U582" s="11" t="str">
        <f t="shared" si="81"/>
        <v>(0 - 50)</v>
      </c>
      <c r="V582" s="12">
        <f t="shared" si="82"/>
        <v>53.4</v>
      </c>
      <c r="W582" s="12">
        <f t="shared" si="83"/>
        <v>112.58614232209737</v>
      </c>
      <c r="X582" s="12">
        <f t="shared" si="84"/>
        <v>0</v>
      </c>
    </row>
    <row r="583" spans="1:24">
      <c r="A583" s="11">
        <v>582</v>
      </c>
      <c r="B583" s="11" t="s">
        <v>2549</v>
      </c>
      <c r="C583" s="11" t="s">
        <v>32</v>
      </c>
      <c r="D583" s="11" t="s">
        <v>17</v>
      </c>
      <c r="E583" s="12">
        <v>84.5</v>
      </c>
      <c r="F583" s="11" t="s">
        <v>26</v>
      </c>
      <c r="G583" s="11" t="str">
        <f t="shared" si="89"/>
        <v>Litres</v>
      </c>
      <c r="H583" s="13">
        <v>451</v>
      </c>
      <c r="I583" s="11" t="s">
        <v>19</v>
      </c>
      <c r="J583" s="12">
        <v>44867</v>
      </c>
      <c r="K583" s="12" t="str">
        <f t="shared" si="85"/>
        <v>Medium</v>
      </c>
      <c r="L583" s="11" t="s">
        <v>20</v>
      </c>
      <c r="M583" s="14">
        <v>45605</v>
      </c>
      <c r="N583" s="14" t="str">
        <f t="shared" si="86"/>
        <v>09/11/2024</v>
      </c>
      <c r="O583" s="14" t="str">
        <f t="shared" si="87"/>
        <v>2024</v>
      </c>
      <c r="P583" s="11" t="s">
        <v>764</v>
      </c>
      <c r="Q583" s="11" t="s">
        <v>112</v>
      </c>
      <c r="R583" s="11">
        <v>15</v>
      </c>
      <c r="S583" s="11" t="str">
        <f t="shared" si="88"/>
        <v>13 - 16 yrs</v>
      </c>
      <c r="T583" s="12">
        <v>233</v>
      </c>
      <c r="U583" s="11" t="str">
        <f t="shared" si="81"/>
        <v>(201 - 250)</v>
      </c>
      <c r="V583" s="12">
        <f t="shared" si="82"/>
        <v>5.3372781065088759</v>
      </c>
      <c r="W583" s="12">
        <f t="shared" si="83"/>
        <v>99.483370288248338</v>
      </c>
      <c r="X583" s="12">
        <f t="shared" si="84"/>
        <v>0.51662971175166295</v>
      </c>
    </row>
    <row r="584" spans="1:24">
      <c r="A584" s="11">
        <v>583</v>
      </c>
      <c r="B584" s="11" t="s">
        <v>2550</v>
      </c>
      <c r="C584" s="11" t="s">
        <v>16</v>
      </c>
      <c r="D584" s="11" t="s">
        <v>17</v>
      </c>
      <c r="E584" s="12">
        <v>4.8</v>
      </c>
      <c r="F584" s="11" t="s">
        <v>56</v>
      </c>
      <c r="G584" s="11" t="str">
        <f t="shared" si="89"/>
        <v>Litres</v>
      </c>
      <c r="H584" s="13">
        <v>425</v>
      </c>
      <c r="I584" s="11" t="s">
        <v>19</v>
      </c>
      <c r="J584" s="12">
        <v>14244</v>
      </c>
      <c r="K584" s="12" t="str">
        <f t="shared" si="85"/>
        <v>Very Low</v>
      </c>
      <c r="L584" s="11" t="s">
        <v>20</v>
      </c>
      <c r="M584" s="14">
        <v>45034</v>
      </c>
      <c r="N584" s="14" t="str">
        <f t="shared" si="86"/>
        <v>18/04/2023</v>
      </c>
      <c r="O584" s="14" t="str">
        <f t="shared" si="87"/>
        <v>2023</v>
      </c>
      <c r="P584" s="11" t="s">
        <v>549</v>
      </c>
      <c r="Q584" s="11" t="s">
        <v>59</v>
      </c>
      <c r="R584" s="11">
        <v>14</v>
      </c>
      <c r="S584" s="11" t="str">
        <f t="shared" si="88"/>
        <v>13 - 16 yrs</v>
      </c>
      <c r="T584" s="12">
        <v>16.5</v>
      </c>
      <c r="U584" s="11" t="str">
        <f t="shared" si="81"/>
        <v>(0 - 50)</v>
      </c>
      <c r="V584" s="12">
        <f t="shared" si="82"/>
        <v>88.541666666666671</v>
      </c>
      <c r="W584" s="12">
        <f t="shared" si="83"/>
        <v>33.515294117647059</v>
      </c>
      <c r="X584" s="12">
        <f t="shared" si="84"/>
        <v>3.8823529411764708E-2</v>
      </c>
    </row>
    <row r="585" spans="1:24">
      <c r="A585" s="11">
        <v>584</v>
      </c>
      <c r="B585" s="11" t="s">
        <v>1225</v>
      </c>
      <c r="C585" s="11" t="s">
        <v>32</v>
      </c>
      <c r="D585" s="11" t="s">
        <v>33</v>
      </c>
      <c r="E585" s="12">
        <v>48.2</v>
      </c>
      <c r="F585" s="11" t="s">
        <v>56</v>
      </c>
      <c r="G585" s="11" t="str">
        <f t="shared" si="89"/>
        <v>Litres</v>
      </c>
      <c r="H585" s="13">
        <v>322</v>
      </c>
      <c r="I585" s="11" t="s">
        <v>19</v>
      </c>
      <c r="J585" s="12">
        <v>78281</v>
      </c>
      <c r="K585" s="12" t="str">
        <f t="shared" si="85"/>
        <v>High</v>
      </c>
      <c r="L585" s="11" t="s">
        <v>20</v>
      </c>
      <c r="M585" s="14">
        <v>45361</v>
      </c>
      <c r="N585" s="14" t="str">
        <f t="shared" si="86"/>
        <v>10/03/2024</v>
      </c>
      <c r="O585" s="14" t="str">
        <f t="shared" si="87"/>
        <v>2024</v>
      </c>
      <c r="P585" s="11" t="s">
        <v>1593</v>
      </c>
      <c r="Q585" s="11" t="s">
        <v>59</v>
      </c>
      <c r="R585" s="11">
        <v>7</v>
      </c>
      <c r="S585" s="11" t="str">
        <f t="shared" si="88"/>
        <v>5 - 8 yrs</v>
      </c>
      <c r="T585" s="12">
        <v>115</v>
      </c>
      <c r="U585" s="11" t="str">
        <f t="shared" si="81"/>
        <v>(101 - 150)</v>
      </c>
      <c r="V585" s="12">
        <f t="shared" si="82"/>
        <v>6.6804979253112027</v>
      </c>
      <c r="W585" s="12">
        <f t="shared" si="83"/>
        <v>243.10869565217391</v>
      </c>
      <c r="X585" s="12">
        <f t="shared" si="84"/>
        <v>0.35714285714285715</v>
      </c>
    </row>
    <row r="586" spans="1:24">
      <c r="A586" s="11">
        <v>585</v>
      </c>
      <c r="B586" s="11" t="s">
        <v>1594</v>
      </c>
      <c r="C586" s="11" t="s">
        <v>32</v>
      </c>
      <c r="D586" s="11" t="s">
        <v>17</v>
      </c>
      <c r="E586" s="12">
        <v>90.9</v>
      </c>
      <c r="F586" s="11" t="s">
        <v>2643</v>
      </c>
      <c r="G586" s="11" t="str">
        <f t="shared" si="89"/>
        <v>Litres</v>
      </c>
      <c r="H586" s="13">
        <v>600</v>
      </c>
      <c r="I586" s="11" t="s">
        <v>19</v>
      </c>
      <c r="J586" s="12">
        <v>3323</v>
      </c>
      <c r="K586" s="12" t="str">
        <f t="shared" si="85"/>
        <v>Very Low</v>
      </c>
      <c r="L586" s="11" t="s">
        <v>20</v>
      </c>
      <c r="M586" s="14">
        <v>45694</v>
      </c>
      <c r="N586" s="14" t="str">
        <f t="shared" si="86"/>
        <v>06/02/2025</v>
      </c>
      <c r="O586" s="14" t="str">
        <f t="shared" si="87"/>
        <v>2025</v>
      </c>
      <c r="P586" s="11" t="s">
        <v>1596</v>
      </c>
      <c r="Q586" s="11" t="s">
        <v>48</v>
      </c>
      <c r="R586" s="11">
        <v>18</v>
      </c>
      <c r="S586" s="11" t="str">
        <f t="shared" si="88"/>
        <v>17 + yrs</v>
      </c>
      <c r="T586" s="12">
        <v>264.39999999999998</v>
      </c>
      <c r="U586" s="11" t="str">
        <f t="shared" si="81"/>
        <v>(251 - 300)</v>
      </c>
      <c r="V586" s="12">
        <f t="shared" si="82"/>
        <v>6.6006600660066006</v>
      </c>
      <c r="W586" s="12">
        <f t="shared" si="83"/>
        <v>5.5383333333333331</v>
      </c>
      <c r="X586" s="12">
        <f t="shared" si="84"/>
        <v>0.44066666666666665</v>
      </c>
    </row>
    <row r="587" spans="1:24">
      <c r="A587" s="11">
        <v>586</v>
      </c>
      <c r="B587" s="11" t="s">
        <v>2551</v>
      </c>
      <c r="C587" s="11" t="s">
        <v>39</v>
      </c>
      <c r="D587" s="11" t="s">
        <v>17</v>
      </c>
      <c r="E587" s="12">
        <v>81.599999999999994</v>
      </c>
      <c r="F587" s="11" t="s">
        <v>41</v>
      </c>
      <c r="G587" s="11" t="str">
        <f t="shared" si="89"/>
        <v>Litres</v>
      </c>
      <c r="H587" s="13">
        <v>159</v>
      </c>
      <c r="I587" s="11" t="s">
        <v>19</v>
      </c>
      <c r="J587" s="12">
        <v>22787</v>
      </c>
      <c r="K587" s="12" t="str">
        <f t="shared" si="85"/>
        <v>Low</v>
      </c>
      <c r="L587" s="11" t="s">
        <v>20</v>
      </c>
      <c r="M587" s="14">
        <v>45449</v>
      </c>
      <c r="N587" s="14" t="str">
        <f t="shared" si="86"/>
        <v>06/06/2024</v>
      </c>
      <c r="O587" s="14" t="str">
        <f t="shared" si="87"/>
        <v>2024</v>
      </c>
      <c r="P587" s="11" t="s">
        <v>1599</v>
      </c>
      <c r="Q587" s="11" t="s">
        <v>59</v>
      </c>
      <c r="R587" s="11">
        <v>6</v>
      </c>
      <c r="S587" s="11" t="str">
        <f t="shared" si="88"/>
        <v>5 - 8 yrs</v>
      </c>
      <c r="T587" s="12">
        <v>244.6</v>
      </c>
      <c r="U587" s="11" t="str">
        <f t="shared" si="81"/>
        <v>(201 - 250)</v>
      </c>
      <c r="V587" s="12">
        <f t="shared" si="82"/>
        <v>1.9485294117647061</v>
      </c>
      <c r="W587" s="12">
        <f t="shared" si="83"/>
        <v>143.31446540880503</v>
      </c>
      <c r="X587" s="12">
        <f t="shared" si="84"/>
        <v>1.5383647798742137</v>
      </c>
    </row>
    <row r="588" spans="1:24">
      <c r="A588" s="11">
        <v>587</v>
      </c>
      <c r="B588" s="11" t="s">
        <v>2552</v>
      </c>
      <c r="C588" s="11" t="s">
        <v>16</v>
      </c>
      <c r="D588" s="11" t="s">
        <v>61</v>
      </c>
      <c r="E588" s="12">
        <v>10</v>
      </c>
      <c r="F588" s="11" t="s">
        <v>26</v>
      </c>
      <c r="G588" s="11" t="str">
        <f t="shared" si="89"/>
        <v>Litres</v>
      </c>
      <c r="H588" s="13">
        <v>646</v>
      </c>
      <c r="I588" s="11" t="s">
        <v>19</v>
      </c>
      <c r="J588" s="12">
        <v>74268</v>
      </c>
      <c r="K588" s="12" t="str">
        <f t="shared" si="85"/>
        <v>High</v>
      </c>
      <c r="L588" s="11" t="s">
        <v>20</v>
      </c>
      <c r="M588" s="14">
        <v>45119</v>
      </c>
      <c r="N588" s="14" t="str">
        <f t="shared" si="86"/>
        <v>12/07/2023</v>
      </c>
      <c r="O588" s="14" t="str">
        <f t="shared" si="87"/>
        <v>2023</v>
      </c>
      <c r="P588" s="11" t="s">
        <v>1602</v>
      </c>
      <c r="Q588" s="11" t="s">
        <v>441</v>
      </c>
      <c r="R588" s="11">
        <v>17</v>
      </c>
      <c r="S588" s="11" t="str">
        <f t="shared" si="88"/>
        <v>17 + yrs</v>
      </c>
      <c r="T588" s="12">
        <v>0</v>
      </c>
      <c r="U588" s="11" t="str">
        <f t="shared" si="81"/>
        <v>(0 - 50)</v>
      </c>
      <c r="V588" s="12">
        <f t="shared" si="82"/>
        <v>64.599999999999994</v>
      </c>
      <c r="W588" s="12">
        <f t="shared" si="83"/>
        <v>114.96594427244582</v>
      </c>
      <c r="X588" s="12">
        <f t="shared" si="84"/>
        <v>0</v>
      </c>
    </row>
    <row r="589" spans="1:24">
      <c r="A589" s="11">
        <v>588</v>
      </c>
      <c r="B589" s="11" t="s">
        <v>1603</v>
      </c>
      <c r="C589" s="11" t="s">
        <v>50</v>
      </c>
      <c r="D589" s="11" t="s">
        <v>17</v>
      </c>
      <c r="E589" s="12">
        <v>57.8</v>
      </c>
      <c r="F589" s="11" t="s">
        <v>26</v>
      </c>
      <c r="G589" s="11" t="str">
        <f t="shared" si="89"/>
        <v>Litres</v>
      </c>
      <c r="H589" s="13">
        <v>372</v>
      </c>
      <c r="I589" s="11" t="s">
        <v>19</v>
      </c>
      <c r="J589" s="12">
        <v>119430</v>
      </c>
      <c r="K589" s="12" t="str">
        <f t="shared" si="85"/>
        <v>Extreme</v>
      </c>
      <c r="L589" s="11" t="s">
        <v>20</v>
      </c>
      <c r="M589" s="14">
        <v>45160</v>
      </c>
      <c r="N589" s="14" t="str">
        <f t="shared" si="86"/>
        <v>22/08/2023</v>
      </c>
      <c r="O589" s="14" t="str">
        <f t="shared" si="87"/>
        <v>2023</v>
      </c>
      <c r="P589" s="11" t="s">
        <v>1605</v>
      </c>
      <c r="Q589" s="11" t="s">
        <v>112</v>
      </c>
      <c r="R589" s="11">
        <v>17</v>
      </c>
      <c r="S589" s="11" t="str">
        <f t="shared" si="88"/>
        <v>17 + yrs</v>
      </c>
      <c r="T589" s="12">
        <v>201.6</v>
      </c>
      <c r="U589" s="11" t="str">
        <f t="shared" si="81"/>
        <v>(201 - 250)</v>
      </c>
      <c r="V589" s="12">
        <f t="shared" si="82"/>
        <v>6.4359861591695502</v>
      </c>
      <c r="W589" s="12">
        <f t="shared" si="83"/>
        <v>321.04838709677421</v>
      </c>
      <c r="X589" s="12">
        <f t="shared" si="84"/>
        <v>0.54193548387096768</v>
      </c>
    </row>
    <row r="590" spans="1:24">
      <c r="A590" s="11">
        <v>589</v>
      </c>
      <c r="B590" s="11" t="s">
        <v>1606</v>
      </c>
      <c r="C590" s="11" t="s">
        <v>32</v>
      </c>
      <c r="D590" s="11" t="s">
        <v>61</v>
      </c>
      <c r="E590" s="12">
        <v>10</v>
      </c>
      <c r="F590" s="11" t="s">
        <v>56</v>
      </c>
      <c r="G590" s="11" t="str">
        <f t="shared" si="89"/>
        <v>Litres</v>
      </c>
      <c r="H590" s="13">
        <v>582</v>
      </c>
      <c r="I590" s="11" t="s">
        <v>19</v>
      </c>
      <c r="J590" s="12">
        <v>75993</v>
      </c>
      <c r="K590" s="12" t="str">
        <f t="shared" si="85"/>
        <v>High</v>
      </c>
      <c r="L590" s="11" t="s">
        <v>20</v>
      </c>
      <c r="M590" s="14">
        <v>45663</v>
      </c>
      <c r="N590" s="14" t="str">
        <f t="shared" si="86"/>
        <v>06/01/2025</v>
      </c>
      <c r="O590" s="14" t="str">
        <f t="shared" si="87"/>
        <v>2025</v>
      </c>
      <c r="P590" s="11" t="s">
        <v>413</v>
      </c>
      <c r="Q590" s="11" t="s">
        <v>117</v>
      </c>
      <c r="R590" s="11">
        <v>7</v>
      </c>
      <c r="S590" s="11" t="str">
        <f t="shared" si="88"/>
        <v>5 - 8 yrs</v>
      </c>
      <c r="T590" s="12">
        <v>0</v>
      </c>
      <c r="U590" s="11" t="str">
        <f t="shared" si="81"/>
        <v>(0 - 50)</v>
      </c>
      <c r="V590" s="12">
        <f t="shared" si="82"/>
        <v>58.2</v>
      </c>
      <c r="W590" s="12">
        <f t="shared" si="83"/>
        <v>130.5721649484536</v>
      </c>
      <c r="X590" s="12">
        <f t="shared" si="84"/>
        <v>0</v>
      </c>
    </row>
    <row r="591" spans="1:24">
      <c r="A591" s="11">
        <v>590</v>
      </c>
      <c r="B591" s="11" t="s">
        <v>1365</v>
      </c>
      <c r="C591" s="11" t="s">
        <v>50</v>
      </c>
      <c r="D591" s="11" t="s">
        <v>17</v>
      </c>
      <c r="E591" s="12">
        <v>45</v>
      </c>
      <c r="F591" s="11" t="s">
        <v>62</v>
      </c>
      <c r="G591" s="11" t="str">
        <f t="shared" si="89"/>
        <v>kWh</v>
      </c>
      <c r="H591" s="13">
        <v>485</v>
      </c>
      <c r="I591" s="11" t="s">
        <v>19</v>
      </c>
      <c r="J591" s="12">
        <v>3385</v>
      </c>
      <c r="K591" s="12" t="str">
        <f t="shared" si="85"/>
        <v>Very Low</v>
      </c>
      <c r="L591" s="11" t="s">
        <v>20</v>
      </c>
      <c r="M591" s="14">
        <v>45568</v>
      </c>
      <c r="N591" s="14" t="str">
        <f t="shared" si="86"/>
        <v>03/10/2024</v>
      </c>
      <c r="O591" s="14" t="str">
        <f t="shared" si="87"/>
        <v>2024</v>
      </c>
      <c r="P591" s="11" t="s">
        <v>1609</v>
      </c>
      <c r="Q591" s="11" t="s">
        <v>69</v>
      </c>
      <c r="R591" s="11">
        <v>2</v>
      </c>
      <c r="S591" s="11" t="str">
        <f t="shared" si="88"/>
        <v>0 - 4 yrs</v>
      </c>
      <c r="T591" s="12">
        <v>152.1</v>
      </c>
      <c r="U591" s="11" t="str">
        <f t="shared" si="81"/>
        <v>(151 - 200)</v>
      </c>
      <c r="V591" s="12">
        <f t="shared" si="82"/>
        <v>10.777777777777779</v>
      </c>
      <c r="W591" s="12">
        <f t="shared" si="83"/>
        <v>6.9793814432989691</v>
      </c>
      <c r="X591" s="12">
        <f t="shared" si="84"/>
        <v>0.3136082474226804</v>
      </c>
    </row>
    <row r="592" spans="1:24">
      <c r="A592" s="11">
        <v>591</v>
      </c>
      <c r="B592" s="11" t="s">
        <v>2553</v>
      </c>
      <c r="C592" s="11" t="s">
        <v>39</v>
      </c>
      <c r="D592" s="11" t="s">
        <v>17</v>
      </c>
      <c r="E592" s="12">
        <v>46.1</v>
      </c>
      <c r="F592" s="11" t="s">
        <v>62</v>
      </c>
      <c r="G592" s="11" t="str">
        <f t="shared" si="89"/>
        <v>kWh</v>
      </c>
      <c r="H592" s="13">
        <v>70</v>
      </c>
      <c r="I592" s="11" t="s">
        <v>19</v>
      </c>
      <c r="J592" s="12">
        <v>92887</v>
      </c>
      <c r="K592" s="12" t="str">
        <f t="shared" si="85"/>
        <v>Very High</v>
      </c>
      <c r="L592" s="11" t="s">
        <v>20</v>
      </c>
      <c r="M592" s="14">
        <v>45491</v>
      </c>
      <c r="N592" s="14" t="str">
        <f t="shared" si="86"/>
        <v>18/07/2024</v>
      </c>
      <c r="O592" s="14" t="str">
        <f t="shared" si="87"/>
        <v>2024</v>
      </c>
      <c r="P592" s="11" t="s">
        <v>786</v>
      </c>
      <c r="Q592" s="11" t="s">
        <v>121</v>
      </c>
      <c r="R592" s="11">
        <v>7</v>
      </c>
      <c r="S592" s="11" t="str">
        <f t="shared" si="88"/>
        <v>5 - 8 yrs</v>
      </c>
      <c r="T592" s="12">
        <v>132.69999999999999</v>
      </c>
      <c r="U592" s="11" t="str">
        <f t="shared" si="81"/>
        <v>(101 - 150)</v>
      </c>
      <c r="V592" s="12">
        <f t="shared" si="82"/>
        <v>1.5184381778741864</v>
      </c>
      <c r="W592" s="12">
        <f t="shared" si="83"/>
        <v>1326.9571428571428</v>
      </c>
      <c r="X592" s="12">
        <f t="shared" si="84"/>
        <v>1.8957142857142855</v>
      </c>
    </row>
    <row r="593" spans="1:24">
      <c r="A593" s="11">
        <v>592</v>
      </c>
      <c r="B593" s="11" t="s">
        <v>581</v>
      </c>
      <c r="C593" s="11" t="s">
        <v>39</v>
      </c>
      <c r="D593" s="11" t="s">
        <v>17</v>
      </c>
      <c r="E593" s="12">
        <v>72</v>
      </c>
      <c r="F593" s="11" t="s">
        <v>26</v>
      </c>
      <c r="G593" s="11" t="str">
        <f t="shared" si="89"/>
        <v>Litres</v>
      </c>
      <c r="H593" s="13">
        <v>572</v>
      </c>
      <c r="I593" s="11" t="s">
        <v>19</v>
      </c>
      <c r="J593" s="12">
        <v>71804</v>
      </c>
      <c r="K593" s="12" t="str">
        <f t="shared" si="85"/>
        <v>Moderate</v>
      </c>
      <c r="L593" s="11" t="s">
        <v>20</v>
      </c>
      <c r="M593" s="14">
        <v>45407</v>
      </c>
      <c r="N593" s="14" t="str">
        <f t="shared" si="86"/>
        <v>25/04/2024</v>
      </c>
      <c r="O593" s="14" t="str">
        <f t="shared" si="87"/>
        <v>2024</v>
      </c>
      <c r="P593" s="11" t="s">
        <v>1224</v>
      </c>
      <c r="Q593" s="11" t="s">
        <v>59</v>
      </c>
      <c r="R593" s="11">
        <v>7</v>
      </c>
      <c r="S593" s="11" t="str">
        <f t="shared" si="88"/>
        <v>5 - 8 yrs</v>
      </c>
      <c r="T593" s="12">
        <v>233.4</v>
      </c>
      <c r="U593" s="11" t="str">
        <f t="shared" si="81"/>
        <v>(201 - 250)</v>
      </c>
      <c r="V593" s="12">
        <f t="shared" si="82"/>
        <v>7.9444444444444446</v>
      </c>
      <c r="W593" s="12">
        <f t="shared" si="83"/>
        <v>125.53146853146853</v>
      </c>
      <c r="X593" s="12">
        <f t="shared" si="84"/>
        <v>0.40804195804195803</v>
      </c>
    </row>
    <row r="594" spans="1:24">
      <c r="A594" s="11">
        <v>593</v>
      </c>
      <c r="B594" s="11" t="s">
        <v>1613</v>
      </c>
      <c r="C594" s="11" t="s">
        <v>39</v>
      </c>
      <c r="D594" s="11" t="s">
        <v>17</v>
      </c>
      <c r="E594" s="12">
        <v>5.3</v>
      </c>
      <c r="F594" s="11" t="s">
        <v>56</v>
      </c>
      <c r="G594" s="11" t="str">
        <f t="shared" si="89"/>
        <v>Litres</v>
      </c>
      <c r="H594" s="13">
        <v>201</v>
      </c>
      <c r="I594" s="11" t="s">
        <v>19</v>
      </c>
      <c r="J594" s="12">
        <v>94334</v>
      </c>
      <c r="K594" s="12" t="str">
        <f t="shared" si="85"/>
        <v>Very High</v>
      </c>
      <c r="L594" s="11" t="s">
        <v>20</v>
      </c>
      <c r="M594" s="14">
        <v>45199</v>
      </c>
      <c r="N594" s="14" t="str">
        <f t="shared" si="86"/>
        <v>30/09/2023</v>
      </c>
      <c r="O594" s="14" t="str">
        <f t="shared" si="87"/>
        <v>2023</v>
      </c>
      <c r="P594" s="11" t="s">
        <v>1615</v>
      </c>
      <c r="Q594" s="11" t="s">
        <v>86</v>
      </c>
      <c r="R594" s="11">
        <v>15</v>
      </c>
      <c r="S594" s="11" t="str">
        <f t="shared" si="88"/>
        <v>13 - 16 yrs</v>
      </c>
      <c r="T594" s="12">
        <v>14.4</v>
      </c>
      <c r="U594" s="11" t="str">
        <f t="shared" si="81"/>
        <v>(0 - 50)</v>
      </c>
      <c r="V594" s="12">
        <f t="shared" si="82"/>
        <v>37.924528301886795</v>
      </c>
      <c r="W594" s="12">
        <f t="shared" si="83"/>
        <v>469.32338308457713</v>
      </c>
      <c r="X594" s="12">
        <f t="shared" si="84"/>
        <v>7.1641791044776124E-2</v>
      </c>
    </row>
    <row r="595" spans="1:24">
      <c r="A595" s="11">
        <v>594</v>
      </c>
      <c r="B595" s="11" t="s">
        <v>1616</v>
      </c>
      <c r="C595" s="11" t="s">
        <v>50</v>
      </c>
      <c r="D595" s="11" t="s">
        <v>33</v>
      </c>
      <c r="E595" s="12">
        <v>98.5</v>
      </c>
      <c r="F595" s="11" t="s">
        <v>62</v>
      </c>
      <c r="G595" s="11" t="str">
        <f t="shared" si="89"/>
        <v>kWh</v>
      </c>
      <c r="H595" s="13">
        <v>214</v>
      </c>
      <c r="I595" s="11" t="s">
        <v>19</v>
      </c>
      <c r="J595" s="12">
        <v>16698</v>
      </c>
      <c r="K595" s="12" t="str">
        <f t="shared" si="85"/>
        <v>Very Low</v>
      </c>
      <c r="L595" s="11" t="s">
        <v>20</v>
      </c>
      <c r="M595" s="14">
        <v>44983</v>
      </c>
      <c r="N595" s="14" t="str">
        <f t="shared" si="86"/>
        <v>26/02/2023</v>
      </c>
      <c r="O595" s="14" t="str">
        <f t="shared" si="87"/>
        <v>2023</v>
      </c>
      <c r="P595" s="11" t="s">
        <v>1618</v>
      </c>
      <c r="Q595" s="11" t="s">
        <v>59</v>
      </c>
      <c r="R595" s="11">
        <v>7</v>
      </c>
      <c r="S595" s="11" t="str">
        <f t="shared" si="88"/>
        <v>5 - 8 yrs</v>
      </c>
      <c r="T595" s="12">
        <v>301.60000000000002</v>
      </c>
      <c r="U595" s="11" t="str">
        <f t="shared" si="81"/>
        <v>(301 - 350)</v>
      </c>
      <c r="V595" s="12">
        <f t="shared" si="82"/>
        <v>2.1725888324873095</v>
      </c>
      <c r="W595" s="12">
        <f t="shared" si="83"/>
        <v>78.028037383177576</v>
      </c>
      <c r="X595" s="12">
        <f t="shared" si="84"/>
        <v>1.4093457943925234</v>
      </c>
    </row>
    <row r="596" spans="1:24">
      <c r="A596" s="11">
        <v>595</v>
      </c>
      <c r="B596" s="11" t="s">
        <v>2554</v>
      </c>
      <c r="C596" s="11" t="s">
        <v>32</v>
      </c>
      <c r="D596" s="11" t="s">
        <v>17</v>
      </c>
      <c r="E596" s="12">
        <v>58</v>
      </c>
      <c r="F596" s="11" t="s">
        <v>62</v>
      </c>
      <c r="G596" s="11" t="str">
        <f t="shared" si="89"/>
        <v>kWh</v>
      </c>
      <c r="H596" s="13">
        <v>686</v>
      </c>
      <c r="I596" s="11" t="s">
        <v>19</v>
      </c>
      <c r="J596" s="12">
        <v>87825</v>
      </c>
      <c r="K596" s="12" t="str">
        <f t="shared" si="85"/>
        <v>High</v>
      </c>
      <c r="L596" s="11" t="s">
        <v>20</v>
      </c>
      <c r="M596" s="14">
        <v>45527</v>
      </c>
      <c r="N596" s="14" t="str">
        <f t="shared" si="86"/>
        <v>23/08/2024</v>
      </c>
      <c r="O596" s="14" t="str">
        <f t="shared" si="87"/>
        <v>2024</v>
      </c>
      <c r="P596" s="11" t="s">
        <v>1621</v>
      </c>
      <c r="Q596" s="11" t="s">
        <v>121</v>
      </c>
      <c r="R596" s="11">
        <v>20</v>
      </c>
      <c r="S596" s="11" t="str">
        <f t="shared" si="88"/>
        <v>17 + yrs</v>
      </c>
      <c r="T596" s="12">
        <v>157</v>
      </c>
      <c r="U596" s="11" t="str">
        <f t="shared" si="81"/>
        <v>(151 - 200)</v>
      </c>
      <c r="V596" s="12">
        <f t="shared" si="82"/>
        <v>11.827586206896552</v>
      </c>
      <c r="W596" s="12">
        <f t="shared" si="83"/>
        <v>128.02478134110788</v>
      </c>
      <c r="X596" s="12">
        <f t="shared" si="84"/>
        <v>0.22886297376093295</v>
      </c>
    </row>
    <row r="597" spans="1:24">
      <c r="A597" s="11">
        <v>596</v>
      </c>
      <c r="B597" s="11" t="s">
        <v>1622</v>
      </c>
      <c r="C597" s="11" t="s">
        <v>39</v>
      </c>
      <c r="D597" s="11" t="s">
        <v>33</v>
      </c>
      <c r="E597" s="12">
        <v>46.7</v>
      </c>
      <c r="F597" s="11" t="s">
        <v>62</v>
      </c>
      <c r="G597" s="11" t="str">
        <f t="shared" si="89"/>
        <v>kWh</v>
      </c>
      <c r="H597" s="13">
        <v>244</v>
      </c>
      <c r="I597" s="11" t="s">
        <v>19</v>
      </c>
      <c r="J597" s="12">
        <v>116131</v>
      </c>
      <c r="K597" s="12" t="str">
        <f t="shared" si="85"/>
        <v>Extreme</v>
      </c>
      <c r="L597" s="11" t="s">
        <v>20</v>
      </c>
      <c r="M597" s="14">
        <v>45784</v>
      </c>
      <c r="N597" s="14" t="str">
        <f t="shared" si="86"/>
        <v>07/05/2025</v>
      </c>
      <c r="O597" s="14" t="str">
        <f t="shared" si="87"/>
        <v>2025</v>
      </c>
      <c r="P597" s="11" t="s">
        <v>1624</v>
      </c>
      <c r="Q597" s="11" t="s">
        <v>69</v>
      </c>
      <c r="R597" s="11">
        <v>6</v>
      </c>
      <c r="S597" s="11" t="str">
        <f t="shared" si="88"/>
        <v>5 - 8 yrs</v>
      </c>
      <c r="T597" s="12">
        <v>116.5</v>
      </c>
      <c r="U597" s="11" t="str">
        <f t="shared" si="81"/>
        <v>(101 - 150)</v>
      </c>
      <c r="V597" s="12">
        <f t="shared" si="82"/>
        <v>5.224839400428265</v>
      </c>
      <c r="W597" s="12">
        <f t="shared" si="83"/>
        <v>475.94672131147541</v>
      </c>
      <c r="X597" s="12">
        <f t="shared" si="84"/>
        <v>0.47745901639344263</v>
      </c>
    </row>
    <row r="598" spans="1:24">
      <c r="A598" s="11">
        <v>597</v>
      </c>
      <c r="B598" s="11" t="s">
        <v>598</v>
      </c>
      <c r="C598" s="11" t="s">
        <v>16</v>
      </c>
      <c r="D598" s="11" t="s">
        <v>61</v>
      </c>
      <c r="E598" s="12">
        <v>10</v>
      </c>
      <c r="F598" s="11" t="s">
        <v>62</v>
      </c>
      <c r="G598" s="11" t="str">
        <f t="shared" si="89"/>
        <v>kWh</v>
      </c>
      <c r="H598" s="13">
        <v>497</v>
      </c>
      <c r="I598" s="11" t="s">
        <v>19</v>
      </c>
      <c r="J598" s="12">
        <v>66983</v>
      </c>
      <c r="K598" s="12" t="str">
        <f t="shared" si="85"/>
        <v>Moderate</v>
      </c>
      <c r="L598" s="11" t="s">
        <v>20</v>
      </c>
      <c r="M598" s="14">
        <v>45543</v>
      </c>
      <c r="N598" s="14" t="str">
        <f t="shared" si="86"/>
        <v>08/09/2024</v>
      </c>
      <c r="O598" s="14" t="str">
        <f t="shared" si="87"/>
        <v>2024</v>
      </c>
      <c r="P598" s="11" t="s">
        <v>630</v>
      </c>
      <c r="Q598" s="11" t="s">
        <v>441</v>
      </c>
      <c r="R598" s="11">
        <v>7</v>
      </c>
      <c r="S598" s="11" t="str">
        <f t="shared" si="88"/>
        <v>5 - 8 yrs</v>
      </c>
      <c r="T598" s="12">
        <v>0</v>
      </c>
      <c r="U598" s="11" t="str">
        <f t="shared" si="81"/>
        <v>(0 - 50)</v>
      </c>
      <c r="V598" s="12">
        <f t="shared" si="82"/>
        <v>49.7</v>
      </c>
      <c r="W598" s="12">
        <f t="shared" si="83"/>
        <v>134.77464788732394</v>
      </c>
      <c r="X598" s="12">
        <f t="shared" si="84"/>
        <v>0</v>
      </c>
    </row>
    <row r="599" spans="1:24">
      <c r="A599" s="11">
        <v>598</v>
      </c>
      <c r="B599" s="11" t="s">
        <v>1626</v>
      </c>
      <c r="C599" s="11" t="s">
        <v>32</v>
      </c>
      <c r="D599" s="11" t="s">
        <v>17</v>
      </c>
      <c r="E599" s="12">
        <v>80.8</v>
      </c>
      <c r="F599" s="11" t="s">
        <v>62</v>
      </c>
      <c r="G599" s="11" t="str">
        <f t="shared" si="89"/>
        <v>kWh</v>
      </c>
      <c r="H599" s="13">
        <v>371</v>
      </c>
      <c r="I599" s="11" t="s">
        <v>19</v>
      </c>
      <c r="J599" s="12">
        <v>105726</v>
      </c>
      <c r="K599" s="12" t="str">
        <f t="shared" si="85"/>
        <v>Very High</v>
      </c>
      <c r="L599" s="11" t="s">
        <v>20</v>
      </c>
      <c r="M599" s="14">
        <v>45618</v>
      </c>
      <c r="N599" s="14" t="str">
        <f t="shared" si="86"/>
        <v>22/11/2024</v>
      </c>
      <c r="O599" s="14" t="str">
        <f t="shared" si="87"/>
        <v>2024</v>
      </c>
      <c r="P599" s="11" t="s">
        <v>1593</v>
      </c>
      <c r="Q599" s="11" t="s">
        <v>54</v>
      </c>
      <c r="R599" s="11">
        <v>18</v>
      </c>
      <c r="S599" s="11" t="str">
        <f t="shared" si="88"/>
        <v>17 + yrs</v>
      </c>
      <c r="T599" s="12">
        <v>247</v>
      </c>
      <c r="U599" s="11" t="str">
        <f t="shared" si="81"/>
        <v>(201 - 250)</v>
      </c>
      <c r="V599" s="12">
        <f t="shared" si="82"/>
        <v>4.5915841584158414</v>
      </c>
      <c r="W599" s="12">
        <f t="shared" si="83"/>
        <v>284.97574123989216</v>
      </c>
      <c r="X599" s="12">
        <f t="shared" si="84"/>
        <v>0.66576819407008081</v>
      </c>
    </row>
    <row r="600" spans="1:24">
      <c r="A600" s="11">
        <v>599</v>
      </c>
      <c r="B600" s="11" t="s">
        <v>1628</v>
      </c>
      <c r="C600" s="11" t="s">
        <v>32</v>
      </c>
      <c r="D600" s="11" t="s">
        <v>17</v>
      </c>
      <c r="E600" s="12">
        <v>51.8</v>
      </c>
      <c r="F600" s="11" t="s">
        <v>2643</v>
      </c>
      <c r="G600" s="11" t="str">
        <f t="shared" si="89"/>
        <v>Litres</v>
      </c>
      <c r="H600" s="13">
        <v>122</v>
      </c>
      <c r="I600" s="11" t="s">
        <v>19</v>
      </c>
      <c r="J600" s="12">
        <v>77269</v>
      </c>
      <c r="K600" s="12" t="str">
        <f t="shared" si="85"/>
        <v>High</v>
      </c>
      <c r="L600" s="11" t="s">
        <v>20</v>
      </c>
      <c r="M600" s="14">
        <v>45238</v>
      </c>
      <c r="N600" s="14" t="str">
        <f t="shared" si="86"/>
        <v>08/11/2023</v>
      </c>
      <c r="O600" s="14" t="str">
        <f t="shared" si="87"/>
        <v>2023</v>
      </c>
      <c r="P600" s="11" t="s">
        <v>1630</v>
      </c>
      <c r="Q600" s="11" t="s">
        <v>54</v>
      </c>
      <c r="R600" s="11">
        <v>8</v>
      </c>
      <c r="S600" s="11" t="str">
        <f t="shared" si="88"/>
        <v>5 - 8 yrs</v>
      </c>
      <c r="T600" s="12">
        <v>161.5</v>
      </c>
      <c r="U600" s="11" t="str">
        <f t="shared" si="81"/>
        <v>(151 - 200)</v>
      </c>
      <c r="V600" s="12">
        <f t="shared" si="82"/>
        <v>2.3552123552123554</v>
      </c>
      <c r="W600" s="12">
        <f t="shared" si="83"/>
        <v>633.35245901639348</v>
      </c>
      <c r="X600" s="12">
        <f t="shared" si="84"/>
        <v>1.3237704918032787</v>
      </c>
    </row>
    <row r="601" spans="1:24">
      <c r="A601" s="11">
        <v>600</v>
      </c>
      <c r="B601" s="11" t="s">
        <v>1631</v>
      </c>
      <c r="C601" s="11" t="s">
        <v>16</v>
      </c>
      <c r="D601" s="11" t="s">
        <v>114</v>
      </c>
      <c r="E601" s="12">
        <v>88.3</v>
      </c>
      <c r="F601" s="11" t="s">
        <v>62</v>
      </c>
      <c r="G601" s="11" t="str">
        <f t="shared" si="89"/>
        <v>kWh</v>
      </c>
      <c r="H601" s="13">
        <v>406</v>
      </c>
      <c r="I601" s="11" t="s">
        <v>19</v>
      </c>
      <c r="J601" s="12">
        <v>118000</v>
      </c>
      <c r="K601" s="12" t="str">
        <f t="shared" si="85"/>
        <v>Extreme</v>
      </c>
      <c r="L601" s="11" t="s">
        <v>20</v>
      </c>
      <c r="M601" s="14">
        <v>45439</v>
      </c>
      <c r="N601" s="14" t="str">
        <f t="shared" si="86"/>
        <v>27/05/2024</v>
      </c>
      <c r="O601" s="14" t="str">
        <f t="shared" si="87"/>
        <v>2024</v>
      </c>
      <c r="P601" s="11" t="s">
        <v>592</v>
      </c>
      <c r="Q601" s="11" t="s">
        <v>121</v>
      </c>
      <c r="R601" s="11">
        <v>15</v>
      </c>
      <c r="S601" s="11" t="str">
        <f t="shared" si="88"/>
        <v>13 - 16 yrs</v>
      </c>
      <c r="T601" s="12">
        <v>177.8</v>
      </c>
      <c r="U601" s="11" t="str">
        <f t="shared" si="81"/>
        <v>(151 - 200)</v>
      </c>
      <c r="V601" s="12">
        <f t="shared" si="82"/>
        <v>4.5979614949037373</v>
      </c>
      <c r="W601" s="12">
        <f t="shared" si="83"/>
        <v>290.64039408866995</v>
      </c>
      <c r="X601" s="12">
        <f t="shared" si="84"/>
        <v>0.43793103448275866</v>
      </c>
    </row>
    <row r="602" spans="1:24">
      <c r="A602" s="11">
        <v>601</v>
      </c>
      <c r="B602" s="11" t="s">
        <v>309</v>
      </c>
      <c r="C602" s="11" t="s">
        <v>50</v>
      </c>
      <c r="D602" s="11" t="s">
        <v>33</v>
      </c>
      <c r="E602" s="12">
        <v>64.7</v>
      </c>
      <c r="F602" s="11" t="s">
        <v>41</v>
      </c>
      <c r="G602" s="11" t="str">
        <f t="shared" si="89"/>
        <v>Litres</v>
      </c>
      <c r="H602" s="13">
        <v>236</v>
      </c>
      <c r="I602" s="11" t="s">
        <v>19</v>
      </c>
      <c r="J602" s="12">
        <v>94609</v>
      </c>
      <c r="K602" s="12" t="str">
        <f t="shared" si="85"/>
        <v>Very High</v>
      </c>
      <c r="L602" s="11" t="s">
        <v>20</v>
      </c>
      <c r="M602" s="14">
        <v>45071</v>
      </c>
      <c r="N602" s="14" t="str">
        <f t="shared" si="86"/>
        <v>25/05/2023</v>
      </c>
      <c r="O602" s="14" t="str">
        <f t="shared" si="87"/>
        <v>2023</v>
      </c>
      <c r="P602" s="11" t="s">
        <v>1634</v>
      </c>
      <c r="Q602" s="11" t="s">
        <v>86</v>
      </c>
      <c r="R602" s="11">
        <v>8</v>
      </c>
      <c r="S602" s="11" t="str">
        <f t="shared" si="88"/>
        <v>5 - 8 yrs</v>
      </c>
      <c r="T602" s="12">
        <v>130.1</v>
      </c>
      <c r="U602" s="11" t="str">
        <f t="shared" si="81"/>
        <v>(101 - 150)</v>
      </c>
      <c r="V602" s="12">
        <f t="shared" si="82"/>
        <v>3.6476043276661514</v>
      </c>
      <c r="W602" s="12">
        <f t="shared" si="83"/>
        <v>400.88559322033899</v>
      </c>
      <c r="X602" s="12">
        <f t="shared" si="84"/>
        <v>0.55127118644067796</v>
      </c>
    </row>
    <row r="603" spans="1:24">
      <c r="A603" s="11">
        <v>602</v>
      </c>
      <c r="B603" s="11" t="s">
        <v>2555</v>
      </c>
      <c r="C603" s="11" t="s">
        <v>39</v>
      </c>
      <c r="D603" s="11" t="s">
        <v>17</v>
      </c>
      <c r="E603" s="12">
        <v>86.6</v>
      </c>
      <c r="F603" s="11" t="s">
        <v>41</v>
      </c>
      <c r="G603" s="11" t="str">
        <f t="shared" si="89"/>
        <v>Litres</v>
      </c>
      <c r="H603" s="13">
        <v>142</v>
      </c>
      <c r="I603" s="11" t="s">
        <v>19</v>
      </c>
      <c r="J603" s="12">
        <v>113578</v>
      </c>
      <c r="K603" s="12" t="str">
        <f t="shared" si="85"/>
        <v>Extreme</v>
      </c>
      <c r="L603" s="11" t="s">
        <v>20</v>
      </c>
      <c r="M603" s="14">
        <v>45368</v>
      </c>
      <c r="N603" s="14" t="str">
        <f t="shared" si="86"/>
        <v>17/03/2024</v>
      </c>
      <c r="O603" s="14" t="str">
        <f t="shared" si="87"/>
        <v>2024</v>
      </c>
      <c r="P603" s="11" t="s">
        <v>1637</v>
      </c>
      <c r="Q603" s="11" t="s">
        <v>441</v>
      </c>
      <c r="R603" s="11">
        <v>6</v>
      </c>
      <c r="S603" s="11" t="str">
        <f t="shared" si="88"/>
        <v>5 - 8 yrs</v>
      </c>
      <c r="T603" s="12">
        <v>187.7</v>
      </c>
      <c r="U603" s="11" t="str">
        <f t="shared" si="81"/>
        <v>(151 - 200)</v>
      </c>
      <c r="V603" s="12">
        <f t="shared" si="82"/>
        <v>1.6397228637413397</v>
      </c>
      <c r="W603" s="12">
        <f t="shared" si="83"/>
        <v>799.84507042253517</v>
      </c>
      <c r="X603" s="12">
        <f t="shared" si="84"/>
        <v>1.3218309859154929</v>
      </c>
    </row>
    <row r="604" spans="1:24">
      <c r="A604" s="11">
        <v>603</v>
      </c>
      <c r="B604" s="11" t="s">
        <v>1638</v>
      </c>
      <c r="C604" s="11" t="s">
        <v>50</v>
      </c>
      <c r="D604" s="11" t="s">
        <v>17</v>
      </c>
      <c r="E604" s="12">
        <v>6.1</v>
      </c>
      <c r="F604" s="11" t="s">
        <v>56</v>
      </c>
      <c r="G604" s="11" t="str">
        <f t="shared" si="89"/>
        <v>Litres</v>
      </c>
      <c r="H604" s="13">
        <v>336</v>
      </c>
      <c r="I604" s="11" t="s">
        <v>19</v>
      </c>
      <c r="J604" s="12">
        <v>5483</v>
      </c>
      <c r="K604" s="12" t="str">
        <f t="shared" si="85"/>
        <v>Very Low</v>
      </c>
      <c r="L604" s="11" t="s">
        <v>20</v>
      </c>
      <c r="M604" s="14">
        <v>45398</v>
      </c>
      <c r="N604" s="14" t="str">
        <f t="shared" si="86"/>
        <v>16/04/2024</v>
      </c>
      <c r="O604" s="14" t="str">
        <f t="shared" si="87"/>
        <v>2024</v>
      </c>
      <c r="P604" s="11" t="s">
        <v>786</v>
      </c>
      <c r="Q604" s="11" t="s">
        <v>441</v>
      </c>
      <c r="R604" s="11">
        <v>18</v>
      </c>
      <c r="S604" s="11" t="str">
        <f t="shared" si="88"/>
        <v>17 + yrs</v>
      </c>
      <c r="T604" s="12">
        <v>12.3</v>
      </c>
      <c r="U604" s="11" t="str">
        <f t="shared" si="81"/>
        <v>(0 - 50)</v>
      </c>
      <c r="V604" s="12">
        <f t="shared" si="82"/>
        <v>55.081967213114758</v>
      </c>
      <c r="W604" s="12">
        <f t="shared" si="83"/>
        <v>16.31845238095238</v>
      </c>
      <c r="X604" s="12">
        <f t="shared" si="84"/>
        <v>3.6607142857142859E-2</v>
      </c>
    </row>
    <row r="605" spans="1:24">
      <c r="A605" s="11">
        <v>604</v>
      </c>
      <c r="B605" s="11" t="s">
        <v>1640</v>
      </c>
      <c r="C605" s="11" t="s">
        <v>39</v>
      </c>
      <c r="D605" s="11" t="s">
        <v>33</v>
      </c>
      <c r="E605" s="12">
        <v>78.900000000000006</v>
      </c>
      <c r="F605" s="11" t="s">
        <v>62</v>
      </c>
      <c r="G605" s="11" t="str">
        <f t="shared" si="89"/>
        <v>kWh</v>
      </c>
      <c r="H605" s="13">
        <v>155</v>
      </c>
      <c r="I605" s="11" t="s">
        <v>19</v>
      </c>
      <c r="J605" s="12">
        <v>84200</v>
      </c>
      <c r="K605" s="12" t="str">
        <f t="shared" si="85"/>
        <v>High</v>
      </c>
      <c r="L605" s="11" t="s">
        <v>20</v>
      </c>
      <c r="M605" s="14">
        <v>45696</v>
      </c>
      <c r="N605" s="14" t="str">
        <f t="shared" si="86"/>
        <v>08/02/2025</v>
      </c>
      <c r="O605" s="14" t="str">
        <f t="shared" si="87"/>
        <v>2025</v>
      </c>
      <c r="P605" s="11" t="s">
        <v>476</v>
      </c>
      <c r="Q605" s="11" t="s">
        <v>2648</v>
      </c>
      <c r="R605" s="11">
        <v>1</v>
      </c>
      <c r="S605" s="11" t="str">
        <f t="shared" si="88"/>
        <v>0 - 4 yrs</v>
      </c>
      <c r="T605" s="12">
        <v>192</v>
      </c>
      <c r="U605" s="11" t="str">
        <f t="shared" si="81"/>
        <v>(151 - 200)</v>
      </c>
      <c r="V605" s="12">
        <f t="shared" si="82"/>
        <v>1.9645120405576677</v>
      </c>
      <c r="W605" s="12">
        <f t="shared" si="83"/>
        <v>543.22580645161293</v>
      </c>
      <c r="X605" s="12">
        <f t="shared" si="84"/>
        <v>1.2387096774193549</v>
      </c>
    </row>
    <row r="606" spans="1:24">
      <c r="A606" s="11">
        <v>605</v>
      </c>
      <c r="B606" s="11" t="s">
        <v>2556</v>
      </c>
      <c r="C606" s="11" t="s">
        <v>50</v>
      </c>
      <c r="D606" s="11" t="s">
        <v>61</v>
      </c>
      <c r="E606" s="12">
        <v>10</v>
      </c>
      <c r="F606" s="11" t="s">
        <v>41</v>
      </c>
      <c r="G606" s="11" t="str">
        <f t="shared" si="89"/>
        <v>Litres</v>
      </c>
      <c r="H606" s="13">
        <v>476</v>
      </c>
      <c r="I606" s="11" t="s">
        <v>19</v>
      </c>
      <c r="J606" s="12">
        <v>100137</v>
      </c>
      <c r="K606" s="12" t="str">
        <f t="shared" si="85"/>
        <v>Very High</v>
      </c>
      <c r="L606" s="11" t="s">
        <v>20</v>
      </c>
      <c r="M606" s="14">
        <v>45198</v>
      </c>
      <c r="N606" s="14" t="str">
        <f t="shared" si="86"/>
        <v>29/09/2023</v>
      </c>
      <c r="O606" s="14" t="str">
        <f t="shared" si="87"/>
        <v>2023</v>
      </c>
      <c r="P606" s="11" t="s">
        <v>816</v>
      </c>
      <c r="Q606" s="11" t="s">
        <v>69</v>
      </c>
      <c r="R606" s="11">
        <v>4</v>
      </c>
      <c r="S606" s="11" t="str">
        <f t="shared" si="88"/>
        <v>0 - 4 yrs</v>
      </c>
      <c r="T606" s="12">
        <v>0</v>
      </c>
      <c r="U606" s="11" t="str">
        <f t="shared" si="81"/>
        <v>(0 - 50)</v>
      </c>
      <c r="V606" s="12">
        <f t="shared" si="82"/>
        <v>47.6</v>
      </c>
      <c r="W606" s="12">
        <f t="shared" si="83"/>
        <v>210.37184873949579</v>
      </c>
      <c r="X606" s="12">
        <f t="shared" si="84"/>
        <v>0</v>
      </c>
    </row>
    <row r="607" spans="1:24">
      <c r="A607" s="11">
        <v>606</v>
      </c>
      <c r="B607" s="11" t="s">
        <v>2557</v>
      </c>
      <c r="C607" s="11" t="s">
        <v>16</v>
      </c>
      <c r="D607" s="11" t="s">
        <v>17</v>
      </c>
      <c r="E607" s="12">
        <v>26.2</v>
      </c>
      <c r="F607" s="11" t="s">
        <v>2643</v>
      </c>
      <c r="G607" s="11" t="str">
        <f t="shared" si="89"/>
        <v>Litres</v>
      </c>
      <c r="H607" s="13">
        <v>549</v>
      </c>
      <c r="I607" s="11" t="s">
        <v>19</v>
      </c>
      <c r="J607" s="12">
        <v>117728</v>
      </c>
      <c r="K607" s="12" t="str">
        <f t="shared" si="85"/>
        <v>Extreme</v>
      </c>
      <c r="L607" s="11" t="s">
        <v>20</v>
      </c>
      <c r="M607" s="14">
        <v>45613</v>
      </c>
      <c r="N607" s="14" t="str">
        <f t="shared" si="86"/>
        <v>17/11/2024</v>
      </c>
      <c r="O607" s="14" t="str">
        <f t="shared" si="87"/>
        <v>2024</v>
      </c>
      <c r="P607" s="11" t="s">
        <v>1164</v>
      </c>
      <c r="Q607" s="11" t="s">
        <v>117</v>
      </c>
      <c r="R607" s="11">
        <v>10</v>
      </c>
      <c r="S607" s="11" t="str">
        <f t="shared" si="88"/>
        <v>9 - 12 yrs</v>
      </c>
      <c r="T607" s="12">
        <v>81.7</v>
      </c>
      <c r="U607" s="11" t="str">
        <f t="shared" si="81"/>
        <v>(51 - 100)</v>
      </c>
      <c r="V607" s="12">
        <f t="shared" si="82"/>
        <v>20.954198473282442</v>
      </c>
      <c r="W607" s="12">
        <f t="shared" si="83"/>
        <v>214.44080145719491</v>
      </c>
      <c r="X607" s="12">
        <f t="shared" si="84"/>
        <v>0.14881602914389799</v>
      </c>
    </row>
    <row r="608" spans="1:24">
      <c r="A608" s="11">
        <v>607</v>
      </c>
      <c r="B608" s="11" t="s">
        <v>2558</v>
      </c>
      <c r="C608" s="11" t="s">
        <v>16</v>
      </c>
      <c r="D608" s="11" t="s">
        <v>17</v>
      </c>
      <c r="E608" s="12">
        <v>79.3</v>
      </c>
      <c r="F608" s="11" t="s">
        <v>62</v>
      </c>
      <c r="G608" s="11" t="str">
        <f t="shared" si="89"/>
        <v>kWh</v>
      </c>
      <c r="H608" s="13">
        <v>356</v>
      </c>
      <c r="I608" s="11" t="s">
        <v>19</v>
      </c>
      <c r="J608" s="12">
        <v>36905</v>
      </c>
      <c r="K608" s="12" t="str">
        <f t="shared" si="85"/>
        <v>Medium</v>
      </c>
      <c r="L608" s="11" t="s">
        <v>20</v>
      </c>
      <c r="M608" s="14">
        <v>45274</v>
      </c>
      <c r="N608" s="14" t="str">
        <f t="shared" si="86"/>
        <v>14/12/2023</v>
      </c>
      <c r="O608" s="14" t="str">
        <f t="shared" si="87"/>
        <v>2023</v>
      </c>
      <c r="P608" s="11" t="s">
        <v>542</v>
      </c>
      <c r="Q608" s="11" t="s">
        <v>59</v>
      </c>
      <c r="R608" s="11">
        <v>2</v>
      </c>
      <c r="S608" s="11" t="str">
        <f t="shared" si="88"/>
        <v>0 - 4 yrs</v>
      </c>
      <c r="T608" s="12">
        <v>205.7</v>
      </c>
      <c r="U608" s="11" t="str">
        <f t="shared" si="81"/>
        <v>(201 - 250)</v>
      </c>
      <c r="V608" s="12">
        <f t="shared" si="82"/>
        <v>4.4892812105926865</v>
      </c>
      <c r="W608" s="12">
        <f t="shared" si="83"/>
        <v>103.66573033707866</v>
      </c>
      <c r="X608" s="12">
        <f t="shared" si="84"/>
        <v>0.57780898876404496</v>
      </c>
    </row>
    <row r="609" spans="1:24">
      <c r="A609" s="11">
        <v>608</v>
      </c>
      <c r="B609" s="11" t="s">
        <v>742</v>
      </c>
      <c r="C609" s="11" t="s">
        <v>16</v>
      </c>
      <c r="D609" s="11" t="s">
        <v>17</v>
      </c>
      <c r="E609" s="12">
        <v>66.3</v>
      </c>
      <c r="F609" s="11" t="s">
        <v>56</v>
      </c>
      <c r="G609" s="11" t="str">
        <f t="shared" si="89"/>
        <v>Litres</v>
      </c>
      <c r="H609" s="13">
        <v>342</v>
      </c>
      <c r="I609" s="11" t="s">
        <v>19</v>
      </c>
      <c r="J609" s="12">
        <v>61207</v>
      </c>
      <c r="K609" s="12" t="str">
        <f t="shared" si="85"/>
        <v>Moderate</v>
      </c>
      <c r="L609" s="11" t="s">
        <v>20</v>
      </c>
      <c r="M609" s="14">
        <v>45596</v>
      </c>
      <c r="N609" s="14" t="str">
        <f t="shared" si="86"/>
        <v>31/10/2024</v>
      </c>
      <c r="O609" s="14" t="str">
        <f t="shared" si="87"/>
        <v>2024</v>
      </c>
      <c r="P609" s="11" t="s">
        <v>530</v>
      </c>
      <c r="Q609" s="11" t="s">
        <v>112</v>
      </c>
      <c r="R609" s="11">
        <v>8</v>
      </c>
      <c r="S609" s="11" t="str">
        <f t="shared" si="88"/>
        <v>5 - 8 yrs</v>
      </c>
      <c r="T609" s="12">
        <v>137.9</v>
      </c>
      <c r="U609" s="11" t="str">
        <f t="shared" ref="U609:U672" si="90">IF(T609&lt;=50,"(0 - 50)",IF(T609&lt;=100,"(51 - 100)",IF(T609&lt;=150,"(101 - 150)",IF(T609&lt;=200,"(151 - 200)",IF(T609&lt;=250,"(201 - 250)",IF(T609&lt;=300,"(251 - 300)","(301 - 350)"))))))</f>
        <v>(101 - 150)</v>
      </c>
      <c r="V609" s="12">
        <f t="shared" ref="V609:V672" si="91">H609/E609</f>
        <v>5.1583710407239822</v>
      </c>
      <c r="W609" s="12">
        <f t="shared" ref="W609:W672" si="92">J609/H609</f>
        <v>178.96783625730995</v>
      </c>
      <c r="X609" s="12">
        <f t="shared" ref="X609:X672" si="93">T609/H609</f>
        <v>0.40321637426900586</v>
      </c>
    </row>
    <row r="610" spans="1:24">
      <c r="A610" s="11">
        <v>609</v>
      </c>
      <c r="B610" s="11" t="s">
        <v>1648</v>
      </c>
      <c r="C610" s="11" t="s">
        <v>16</v>
      </c>
      <c r="D610" s="11" t="s">
        <v>61</v>
      </c>
      <c r="E610" s="12">
        <v>10</v>
      </c>
      <c r="F610" s="11" t="s">
        <v>26</v>
      </c>
      <c r="G610" s="11" t="str">
        <f t="shared" si="89"/>
        <v>Litres</v>
      </c>
      <c r="H610" s="13">
        <v>598</v>
      </c>
      <c r="I610" s="11" t="s">
        <v>19</v>
      </c>
      <c r="J610" s="12">
        <v>118127</v>
      </c>
      <c r="K610" s="12" t="str">
        <f t="shared" si="85"/>
        <v>Extreme</v>
      </c>
      <c r="L610" s="11" t="s">
        <v>20</v>
      </c>
      <c r="M610" s="14">
        <v>45001</v>
      </c>
      <c r="N610" s="14" t="str">
        <f t="shared" si="86"/>
        <v>16/03/2023</v>
      </c>
      <c r="O610" s="14" t="str">
        <f t="shared" si="87"/>
        <v>2023</v>
      </c>
      <c r="P610" s="11" t="s">
        <v>1650</v>
      </c>
      <c r="Q610" s="11" t="s">
        <v>112</v>
      </c>
      <c r="R610" s="11">
        <v>18</v>
      </c>
      <c r="S610" s="11" t="str">
        <f t="shared" si="88"/>
        <v>17 + yrs</v>
      </c>
      <c r="T610" s="12">
        <v>0</v>
      </c>
      <c r="U610" s="11" t="str">
        <f t="shared" si="90"/>
        <v>(0 - 50)</v>
      </c>
      <c r="V610" s="12">
        <f t="shared" si="91"/>
        <v>59.8</v>
      </c>
      <c r="W610" s="12">
        <f t="shared" si="92"/>
        <v>197.53678929765886</v>
      </c>
      <c r="X610" s="12">
        <f t="shared" si="93"/>
        <v>0</v>
      </c>
    </row>
    <row r="611" spans="1:24">
      <c r="A611" s="11">
        <v>610</v>
      </c>
      <c r="B611" s="11" t="s">
        <v>2559</v>
      </c>
      <c r="C611" s="11" t="s">
        <v>32</v>
      </c>
      <c r="D611" s="11" t="s">
        <v>17</v>
      </c>
      <c r="E611" s="12">
        <v>71.7</v>
      </c>
      <c r="F611" s="11" t="s">
        <v>26</v>
      </c>
      <c r="G611" s="11" t="str">
        <f t="shared" si="89"/>
        <v>Litres</v>
      </c>
      <c r="H611" s="13">
        <v>611</v>
      </c>
      <c r="I611" s="11" t="s">
        <v>19</v>
      </c>
      <c r="J611" s="12">
        <v>35339</v>
      </c>
      <c r="K611" s="12" t="str">
        <f t="shared" si="85"/>
        <v>Low</v>
      </c>
      <c r="L611" s="11" t="s">
        <v>20</v>
      </c>
      <c r="M611" s="14">
        <v>45413</v>
      </c>
      <c r="N611" s="14" t="str">
        <f t="shared" si="86"/>
        <v>01/05/2024</v>
      </c>
      <c r="O611" s="14" t="str">
        <f t="shared" si="87"/>
        <v>2024</v>
      </c>
      <c r="P611" s="11" t="s">
        <v>875</v>
      </c>
      <c r="Q611" s="11" t="s">
        <v>69</v>
      </c>
      <c r="R611" s="11">
        <v>17</v>
      </c>
      <c r="S611" s="11" t="str">
        <f t="shared" si="88"/>
        <v>17 + yrs</v>
      </c>
      <c r="T611" s="12">
        <v>231.5</v>
      </c>
      <c r="U611" s="11" t="str">
        <f t="shared" si="90"/>
        <v>(201 - 250)</v>
      </c>
      <c r="V611" s="12">
        <f t="shared" si="91"/>
        <v>8.5216178521617856</v>
      </c>
      <c r="W611" s="12">
        <f t="shared" si="92"/>
        <v>57.837970540098198</v>
      </c>
      <c r="X611" s="12">
        <f t="shared" si="93"/>
        <v>0.3788870703764321</v>
      </c>
    </row>
    <row r="612" spans="1:24">
      <c r="A612" s="11">
        <v>611</v>
      </c>
      <c r="B612" s="11" t="s">
        <v>2560</v>
      </c>
      <c r="C612" s="11" t="s">
        <v>16</v>
      </c>
      <c r="D612" s="11" t="s">
        <v>33</v>
      </c>
      <c r="E612" s="12">
        <v>68.099999999999994</v>
      </c>
      <c r="F612" s="11" t="s">
        <v>62</v>
      </c>
      <c r="G612" s="11" t="str">
        <f t="shared" si="89"/>
        <v>kWh</v>
      </c>
      <c r="H612" s="13">
        <v>223</v>
      </c>
      <c r="I612" s="11" t="s">
        <v>19</v>
      </c>
      <c r="J612" s="12">
        <v>39215</v>
      </c>
      <c r="K612" s="12" t="str">
        <f t="shared" si="85"/>
        <v>Medium</v>
      </c>
      <c r="L612" s="11" t="s">
        <v>20</v>
      </c>
      <c r="M612" s="14">
        <v>44983</v>
      </c>
      <c r="N612" s="14" t="str">
        <f t="shared" si="86"/>
        <v>26/02/2023</v>
      </c>
      <c r="O612" s="14" t="str">
        <f t="shared" si="87"/>
        <v>2023</v>
      </c>
      <c r="P612" s="11" t="s">
        <v>1655</v>
      </c>
      <c r="Q612" s="11" t="s">
        <v>54</v>
      </c>
      <c r="R612" s="11">
        <v>11</v>
      </c>
      <c r="S612" s="11" t="str">
        <f t="shared" si="88"/>
        <v>9 - 12 yrs</v>
      </c>
      <c r="T612" s="12">
        <v>231.6</v>
      </c>
      <c r="U612" s="11" t="str">
        <f t="shared" si="90"/>
        <v>(201 - 250)</v>
      </c>
      <c r="V612" s="12">
        <f t="shared" si="91"/>
        <v>3.274596182085169</v>
      </c>
      <c r="W612" s="12">
        <f t="shared" si="92"/>
        <v>175.85201793721973</v>
      </c>
      <c r="X612" s="12">
        <f t="shared" si="93"/>
        <v>1.0385650224215246</v>
      </c>
    </row>
    <row r="613" spans="1:24">
      <c r="A613" s="11">
        <v>612</v>
      </c>
      <c r="B613" s="11" t="s">
        <v>1656</v>
      </c>
      <c r="C613" s="11" t="s">
        <v>50</v>
      </c>
      <c r="D613" s="11" t="s">
        <v>61</v>
      </c>
      <c r="E613" s="12">
        <v>10</v>
      </c>
      <c r="F613" s="11" t="s">
        <v>62</v>
      </c>
      <c r="G613" s="11" t="str">
        <f t="shared" si="89"/>
        <v>kWh</v>
      </c>
      <c r="H613" s="13">
        <v>588</v>
      </c>
      <c r="I613" s="11" t="s">
        <v>19</v>
      </c>
      <c r="J613" s="12">
        <v>3544</v>
      </c>
      <c r="K613" s="12" t="str">
        <f t="shared" si="85"/>
        <v>Very Low</v>
      </c>
      <c r="L613" s="11" t="s">
        <v>20</v>
      </c>
      <c r="M613" s="14">
        <v>45208</v>
      </c>
      <c r="N613" s="14" t="str">
        <f t="shared" si="86"/>
        <v>09/10/2023</v>
      </c>
      <c r="O613" s="14" t="str">
        <f t="shared" si="87"/>
        <v>2023</v>
      </c>
      <c r="P613" s="11" t="s">
        <v>949</v>
      </c>
      <c r="Q613" s="11" t="s">
        <v>54</v>
      </c>
      <c r="R613" s="11">
        <v>11</v>
      </c>
      <c r="S613" s="11" t="str">
        <f t="shared" si="88"/>
        <v>9 - 12 yrs</v>
      </c>
      <c r="T613" s="12">
        <v>0</v>
      </c>
      <c r="U613" s="11" t="str">
        <f t="shared" si="90"/>
        <v>(0 - 50)</v>
      </c>
      <c r="V613" s="12">
        <f t="shared" si="91"/>
        <v>58.8</v>
      </c>
      <c r="W613" s="12">
        <f t="shared" si="92"/>
        <v>6.0272108843537415</v>
      </c>
      <c r="X613" s="12">
        <f t="shared" si="93"/>
        <v>0</v>
      </c>
    </row>
    <row r="614" spans="1:24">
      <c r="A614" s="11">
        <v>613</v>
      </c>
      <c r="B614" s="11" t="s">
        <v>2561</v>
      </c>
      <c r="C614" s="11" t="s">
        <v>16</v>
      </c>
      <c r="D614" s="11" t="s">
        <v>33</v>
      </c>
      <c r="E614" s="12">
        <v>95.5</v>
      </c>
      <c r="F614" s="11" t="s">
        <v>26</v>
      </c>
      <c r="G614" s="11" t="str">
        <f t="shared" si="89"/>
        <v>Litres</v>
      </c>
      <c r="H614" s="13">
        <v>24</v>
      </c>
      <c r="I614" s="11" t="s">
        <v>19</v>
      </c>
      <c r="J614" s="12">
        <v>70926</v>
      </c>
      <c r="K614" s="12" t="str">
        <f t="shared" ref="K614:K677" si="94">IF(J614&lt;18000,"Very Low",IF(J614&lt;36000,"Low",IF(J614&lt;54000,"Medium",IF(J614&lt;72000,"Moderate",IF(J614&lt;90000,"High",IF(J614&lt;108000,"Very High","Extreme"))))))</f>
        <v>Moderate</v>
      </c>
      <c r="L614" s="11" t="s">
        <v>20</v>
      </c>
      <c r="M614" s="14">
        <v>45650</v>
      </c>
      <c r="N614" s="14" t="str">
        <f t="shared" ref="N614:N677" si="95">TEXT(M614,"dd/mm/yyyy")</f>
        <v>24/12/2024</v>
      </c>
      <c r="O614" s="14" t="str">
        <f t="shared" ref="O614:O677" si="96">TEXT(M614,"yyyy")</f>
        <v>2024</v>
      </c>
      <c r="P614" s="11" t="s">
        <v>1660</v>
      </c>
      <c r="Q614" s="11" t="s">
        <v>2648</v>
      </c>
      <c r="R614" s="11">
        <v>9</v>
      </c>
      <c r="S614" s="11" t="str">
        <f t="shared" ref="S614:S677" si="97">IF(R614&lt;=4,"0 - 4 yrs",IF(R614&lt;=8,"5 - 8 yrs",IF(R614&lt;=12,"9 - 12 yrs",IF(R614&lt;=16,"13 - 16 yrs","17 + yrs"))))</f>
        <v>9 - 12 yrs</v>
      </c>
      <c r="T614" s="12">
        <v>276.10000000000002</v>
      </c>
      <c r="U614" s="11" t="str">
        <f t="shared" si="90"/>
        <v>(251 - 300)</v>
      </c>
      <c r="V614" s="12">
        <f t="shared" si="91"/>
        <v>0.2513089005235602</v>
      </c>
      <c r="W614" s="12">
        <f t="shared" si="92"/>
        <v>2955.25</v>
      </c>
      <c r="X614" s="12">
        <f t="shared" si="93"/>
        <v>11.504166666666668</v>
      </c>
    </row>
    <row r="615" spans="1:24">
      <c r="A615" s="11">
        <v>614</v>
      </c>
      <c r="B615" s="11" t="s">
        <v>1661</v>
      </c>
      <c r="C615" s="11" t="s">
        <v>39</v>
      </c>
      <c r="D615" s="11" t="s">
        <v>17</v>
      </c>
      <c r="E615" s="12">
        <v>23.8</v>
      </c>
      <c r="F615" s="11" t="s">
        <v>26</v>
      </c>
      <c r="G615" s="11" t="str">
        <f t="shared" si="89"/>
        <v>Litres</v>
      </c>
      <c r="H615" s="13">
        <v>138</v>
      </c>
      <c r="I615" s="11" t="s">
        <v>19</v>
      </c>
      <c r="J615" s="12">
        <v>77467</v>
      </c>
      <c r="K615" s="12" t="str">
        <f t="shared" si="94"/>
        <v>High</v>
      </c>
      <c r="L615" s="11" t="s">
        <v>20</v>
      </c>
      <c r="M615" s="14">
        <v>45935</v>
      </c>
      <c r="N615" s="14" t="str">
        <f t="shared" si="95"/>
        <v>05/10/2025</v>
      </c>
      <c r="O615" s="14" t="str">
        <f t="shared" si="96"/>
        <v>2025</v>
      </c>
      <c r="P615" s="11" t="s">
        <v>404</v>
      </c>
      <c r="Q615" s="11" t="s">
        <v>117</v>
      </c>
      <c r="R615" s="11">
        <v>3</v>
      </c>
      <c r="S615" s="11" t="str">
        <f t="shared" si="97"/>
        <v>0 - 4 yrs</v>
      </c>
      <c r="T615" s="12">
        <v>78.8</v>
      </c>
      <c r="U615" s="11" t="str">
        <f t="shared" si="90"/>
        <v>(51 - 100)</v>
      </c>
      <c r="V615" s="12">
        <f t="shared" si="91"/>
        <v>5.7983193277310923</v>
      </c>
      <c r="W615" s="12">
        <f t="shared" si="92"/>
        <v>561.35507246376812</v>
      </c>
      <c r="X615" s="12">
        <f t="shared" si="93"/>
        <v>0.57101449275362315</v>
      </c>
    </row>
    <row r="616" spans="1:24">
      <c r="A616" s="11">
        <v>615</v>
      </c>
      <c r="B616" s="11" t="s">
        <v>1663</v>
      </c>
      <c r="C616" s="11" t="s">
        <v>32</v>
      </c>
      <c r="D616" s="11" t="s">
        <v>114</v>
      </c>
      <c r="E616" s="12">
        <v>61.6</v>
      </c>
      <c r="F616" s="11" t="s">
        <v>2643</v>
      </c>
      <c r="G616" s="11" t="str">
        <f t="shared" si="89"/>
        <v>Litres</v>
      </c>
      <c r="H616" s="13">
        <v>569</v>
      </c>
      <c r="I616" s="11" t="s">
        <v>19</v>
      </c>
      <c r="J616" s="12">
        <v>102214</v>
      </c>
      <c r="K616" s="12" t="str">
        <f t="shared" si="94"/>
        <v>Very High</v>
      </c>
      <c r="L616" s="11" t="s">
        <v>20</v>
      </c>
      <c r="M616" s="14">
        <v>45480</v>
      </c>
      <c r="N616" s="14" t="str">
        <f t="shared" si="95"/>
        <v>07/07/2024</v>
      </c>
      <c r="O616" s="14" t="str">
        <f t="shared" si="96"/>
        <v>2024</v>
      </c>
      <c r="P616" s="11" t="s">
        <v>1665</v>
      </c>
      <c r="Q616" s="11" t="s">
        <v>441</v>
      </c>
      <c r="R616" s="11">
        <v>8</v>
      </c>
      <c r="S616" s="11" t="str">
        <f t="shared" si="97"/>
        <v>5 - 8 yrs</v>
      </c>
      <c r="T616" s="12">
        <v>192.4</v>
      </c>
      <c r="U616" s="11" t="str">
        <f t="shared" si="90"/>
        <v>(151 - 200)</v>
      </c>
      <c r="V616" s="12">
        <f t="shared" si="91"/>
        <v>9.2370129870129869</v>
      </c>
      <c r="W616" s="12">
        <f t="shared" si="92"/>
        <v>179.63796133567664</v>
      </c>
      <c r="X616" s="12">
        <f t="shared" si="93"/>
        <v>0.33813708260105452</v>
      </c>
    </row>
    <row r="617" spans="1:24">
      <c r="A617" s="11">
        <v>616</v>
      </c>
      <c r="B617" s="11" t="s">
        <v>1666</v>
      </c>
      <c r="C617" s="11" t="s">
        <v>16</v>
      </c>
      <c r="D617" s="11" t="s">
        <v>114</v>
      </c>
      <c r="E617" s="12">
        <v>43.7</v>
      </c>
      <c r="F617" s="11" t="s">
        <v>56</v>
      </c>
      <c r="G617" s="11" t="str">
        <f t="shared" si="89"/>
        <v>Litres</v>
      </c>
      <c r="H617" s="13">
        <v>293</v>
      </c>
      <c r="I617" s="11" t="s">
        <v>19</v>
      </c>
      <c r="J617" s="12">
        <v>87624</v>
      </c>
      <c r="K617" s="12" t="str">
        <f t="shared" si="94"/>
        <v>High</v>
      </c>
      <c r="L617" s="11" t="s">
        <v>20</v>
      </c>
      <c r="M617" s="14">
        <v>45668</v>
      </c>
      <c r="N617" s="14" t="str">
        <f t="shared" si="95"/>
        <v>11/01/2025</v>
      </c>
      <c r="O617" s="14" t="str">
        <f t="shared" si="96"/>
        <v>2025</v>
      </c>
      <c r="P617" s="11" t="s">
        <v>1355</v>
      </c>
      <c r="Q617" s="11" t="s">
        <v>117</v>
      </c>
      <c r="R617" s="11">
        <v>17</v>
      </c>
      <c r="S617" s="11" t="str">
        <f t="shared" si="97"/>
        <v>17 + yrs</v>
      </c>
      <c r="T617" s="12">
        <v>98.9</v>
      </c>
      <c r="U617" s="11" t="str">
        <f t="shared" si="90"/>
        <v>(51 - 100)</v>
      </c>
      <c r="V617" s="12">
        <f t="shared" si="91"/>
        <v>6.7048054919908466</v>
      </c>
      <c r="W617" s="12">
        <f t="shared" si="92"/>
        <v>299.05802047781572</v>
      </c>
      <c r="X617" s="12">
        <f t="shared" si="93"/>
        <v>0.33754266211604095</v>
      </c>
    </row>
    <row r="618" spans="1:24">
      <c r="A618" s="11">
        <v>617</v>
      </c>
      <c r="B618" s="11" t="s">
        <v>699</v>
      </c>
      <c r="C618" s="11" t="s">
        <v>32</v>
      </c>
      <c r="D618" s="11" t="s">
        <v>61</v>
      </c>
      <c r="E618" s="12">
        <v>10</v>
      </c>
      <c r="F618" s="11" t="s">
        <v>56</v>
      </c>
      <c r="G618" s="11" t="str">
        <f t="shared" si="89"/>
        <v>Litres</v>
      </c>
      <c r="H618" s="13">
        <v>232</v>
      </c>
      <c r="I618" s="11" t="s">
        <v>19</v>
      </c>
      <c r="J618" s="12">
        <v>24741</v>
      </c>
      <c r="K618" s="12" t="str">
        <f t="shared" si="94"/>
        <v>Low</v>
      </c>
      <c r="L618" s="11" t="s">
        <v>20</v>
      </c>
      <c r="M618" s="14">
        <v>45071</v>
      </c>
      <c r="N618" s="14" t="str">
        <f t="shared" si="95"/>
        <v>25/05/2023</v>
      </c>
      <c r="O618" s="14" t="str">
        <f t="shared" si="96"/>
        <v>2023</v>
      </c>
      <c r="P618" s="11" t="s">
        <v>1669</v>
      </c>
      <c r="Q618" s="11" t="s">
        <v>441</v>
      </c>
      <c r="R618" s="11">
        <v>6</v>
      </c>
      <c r="S618" s="11" t="str">
        <f t="shared" si="97"/>
        <v>5 - 8 yrs</v>
      </c>
      <c r="T618" s="12">
        <v>0</v>
      </c>
      <c r="U618" s="11" t="str">
        <f t="shared" si="90"/>
        <v>(0 - 50)</v>
      </c>
      <c r="V618" s="12">
        <f t="shared" si="91"/>
        <v>23.2</v>
      </c>
      <c r="W618" s="12">
        <f t="shared" si="92"/>
        <v>106.64224137931035</v>
      </c>
      <c r="X618" s="12">
        <f t="shared" si="93"/>
        <v>0</v>
      </c>
    </row>
    <row r="619" spans="1:24">
      <c r="A619" s="11">
        <v>618</v>
      </c>
      <c r="B619" s="11" t="s">
        <v>1670</v>
      </c>
      <c r="C619" s="11" t="s">
        <v>32</v>
      </c>
      <c r="D619" s="11" t="s">
        <v>61</v>
      </c>
      <c r="E619" s="12">
        <v>10</v>
      </c>
      <c r="F619" s="11" t="s">
        <v>41</v>
      </c>
      <c r="G619" s="11" t="str">
        <f t="shared" si="89"/>
        <v>Litres</v>
      </c>
      <c r="H619" s="13">
        <v>313</v>
      </c>
      <c r="I619" s="11" t="s">
        <v>19</v>
      </c>
      <c r="J619" s="12">
        <v>101594</v>
      </c>
      <c r="K619" s="12" t="str">
        <f t="shared" si="94"/>
        <v>Very High</v>
      </c>
      <c r="L619" s="11" t="s">
        <v>20</v>
      </c>
      <c r="M619" s="14">
        <v>45744</v>
      </c>
      <c r="N619" s="14" t="str">
        <f t="shared" si="95"/>
        <v>28/03/2025</v>
      </c>
      <c r="O619" s="14" t="str">
        <f t="shared" si="96"/>
        <v>2025</v>
      </c>
      <c r="P619" s="11" t="s">
        <v>1121</v>
      </c>
      <c r="Q619" s="11" t="s">
        <v>48</v>
      </c>
      <c r="R619" s="11">
        <v>16</v>
      </c>
      <c r="S619" s="11" t="str">
        <f t="shared" si="97"/>
        <v>13 - 16 yrs</v>
      </c>
      <c r="T619" s="12">
        <v>0</v>
      </c>
      <c r="U619" s="11" t="str">
        <f t="shared" si="90"/>
        <v>(0 - 50)</v>
      </c>
      <c r="V619" s="12">
        <f t="shared" si="91"/>
        <v>31.3</v>
      </c>
      <c r="W619" s="12">
        <f t="shared" si="92"/>
        <v>324.58146964856229</v>
      </c>
      <c r="X619" s="12">
        <f t="shared" si="93"/>
        <v>0</v>
      </c>
    </row>
    <row r="620" spans="1:24">
      <c r="A620" s="11">
        <v>619</v>
      </c>
      <c r="B620" s="11" t="s">
        <v>1672</v>
      </c>
      <c r="C620" s="11" t="s">
        <v>32</v>
      </c>
      <c r="D620" s="11" t="s">
        <v>114</v>
      </c>
      <c r="E620" s="12">
        <v>46.7</v>
      </c>
      <c r="F620" s="11" t="s">
        <v>62</v>
      </c>
      <c r="G620" s="11" t="str">
        <f t="shared" si="89"/>
        <v>kWh</v>
      </c>
      <c r="H620" s="13">
        <v>425</v>
      </c>
      <c r="I620" s="11" t="s">
        <v>19</v>
      </c>
      <c r="J620" s="12">
        <v>92251</v>
      </c>
      <c r="K620" s="12" t="str">
        <f t="shared" si="94"/>
        <v>Very High</v>
      </c>
      <c r="L620" s="11" t="s">
        <v>20</v>
      </c>
      <c r="M620" s="14">
        <v>45563</v>
      </c>
      <c r="N620" s="14" t="str">
        <f t="shared" si="95"/>
        <v>28/09/2024</v>
      </c>
      <c r="O620" s="14" t="str">
        <f t="shared" si="96"/>
        <v>2024</v>
      </c>
      <c r="P620" s="11" t="s">
        <v>1674</v>
      </c>
      <c r="Q620" s="11" t="s">
        <v>121</v>
      </c>
      <c r="R620" s="11">
        <v>12</v>
      </c>
      <c r="S620" s="11" t="str">
        <f t="shared" si="97"/>
        <v>9 - 12 yrs</v>
      </c>
      <c r="T620" s="12">
        <v>117.1</v>
      </c>
      <c r="U620" s="11" t="str">
        <f t="shared" si="90"/>
        <v>(101 - 150)</v>
      </c>
      <c r="V620" s="12">
        <f t="shared" si="91"/>
        <v>9.1006423982869382</v>
      </c>
      <c r="W620" s="12">
        <f t="shared" si="92"/>
        <v>217.06117647058824</v>
      </c>
      <c r="X620" s="12">
        <f t="shared" si="93"/>
        <v>0.27552941176470586</v>
      </c>
    </row>
    <row r="621" spans="1:24">
      <c r="A621" s="11">
        <v>620</v>
      </c>
      <c r="B621" s="11" t="s">
        <v>1675</v>
      </c>
      <c r="C621" s="11" t="s">
        <v>16</v>
      </c>
      <c r="D621" s="11" t="s">
        <v>17</v>
      </c>
      <c r="E621" s="12">
        <v>30.6</v>
      </c>
      <c r="F621" s="11" t="s">
        <v>2643</v>
      </c>
      <c r="G621" s="11" t="str">
        <f t="shared" si="89"/>
        <v>Litres</v>
      </c>
      <c r="H621" s="13">
        <v>548</v>
      </c>
      <c r="I621" s="11" t="s">
        <v>19</v>
      </c>
      <c r="J621" s="12">
        <v>35308</v>
      </c>
      <c r="K621" s="12" t="str">
        <f t="shared" si="94"/>
        <v>Low</v>
      </c>
      <c r="L621" s="11" t="s">
        <v>20</v>
      </c>
      <c r="M621" s="14">
        <v>45649</v>
      </c>
      <c r="N621" s="14" t="str">
        <f t="shared" si="95"/>
        <v>23/12/2024</v>
      </c>
      <c r="O621" s="14" t="str">
        <f t="shared" si="96"/>
        <v>2024</v>
      </c>
      <c r="P621" s="11" t="s">
        <v>1422</v>
      </c>
      <c r="Q621" s="11" t="s">
        <v>117</v>
      </c>
      <c r="R621" s="11">
        <v>16</v>
      </c>
      <c r="S621" s="11" t="str">
        <f t="shared" si="97"/>
        <v>13 - 16 yrs</v>
      </c>
      <c r="T621" s="12">
        <v>79.900000000000006</v>
      </c>
      <c r="U621" s="11" t="str">
        <f t="shared" si="90"/>
        <v>(51 - 100)</v>
      </c>
      <c r="V621" s="12">
        <f t="shared" si="91"/>
        <v>17.908496732026144</v>
      </c>
      <c r="W621" s="12">
        <f t="shared" si="92"/>
        <v>64.430656934306569</v>
      </c>
      <c r="X621" s="12">
        <f t="shared" si="93"/>
        <v>0.14580291970802919</v>
      </c>
    </row>
    <row r="622" spans="1:24">
      <c r="A622" s="11">
        <v>621</v>
      </c>
      <c r="B622" s="11" t="s">
        <v>1677</v>
      </c>
      <c r="C622" s="11" t="s">
        <v>32</v>
      </c>
      <c r="D622" s="11" t="s">
        <v>17</v>
      </c>
      <c r="E622" s="12">
        <v>42.6</v>
      </c>
      <c r="F622" s="11" t="s">
        <v>62</v>
      </c>
      <c r="G622" s="11" t="str">
        <f t="shared" si="89"/>
        <v>kWh</v>
      </c>
      <c r="H622" s="13">
        <v>302</v>
      </c>
      <c r="I622" s="11" t="s">
        <v>19</v>
      </c>
      <c r="J622" s="12">
        <v>35190</v>
      </c>
      <c r="K622" s="12" t="str">
        <f t="shared" si="94"/>
        <v>Low</v>
      </c>
      <c r="L622" s="11" t="s">
        <v>20</v>
      </c>
      <c r="M622" s="14">
        <v>45544</v>
      </c>
      <c r="N622" s="14" t="str">
        <f t="shared" si="95"/>
        <v>09/09/2024</v>
      </c>
      <c r="O622" s="14" t="str">
        <f t="shared" si="96"/>
        <v>2024</v>
      </c>
      <c r="P622" s="11" t="s">
        <v>1379</v>
      </c>
      <c r="Q622" s="11" t="s">
        <v>86</v>
      </c>
      <c r="R622" s="11">
        <v>6</v>
      </c>
      <c r="S622" s="11" t="str">
        <f t="shared" si="97"/>
        <v>5 - 8 yrs</v>
      </c>
      <c r="T622" s="12">
        <v>102.6</v>
      </c>
      <c r="U622" s="11" t="str">
        <f t="shared" si="90"/>
        <v>(101 - 150)</v>
      </c>
      <c r="V622" s="12">
        <f t="shared" si="91"/>
        <v>7.089201877934272</v>
      </c>
      <c r="W622" s="12">
        <f t="shared" si="92"/>
        <v>116.52317880794702</v>
      </c>
      <c r="X622" s="12">
        <f t="shared" si="93"/>
        <v>0.33973509933774831</v>
      </c>
    </row>
    <row r="623" spans="1:24">
      <c r="A623" s="11">
        <v>622</v>
      </c>
      <c r="B623" s="11" t="s">
        <v>537</v>
      </c>
      <c r="C623" s="11" t="s">
        <v>16</v>
      </c>
      <c r="D623" s="11" t="s">
        <v>33</v>
      </c>
      <c r="E623" s="12">
        <v>66.900000000000006</v>
      </c>
      <c r="F623" s="11" t="s">
        <v>56</v>
      </c>
      <c r="G623" s="11" t="str">
        <f t="shared" si="89"/>
        <v>Litres</v>
      </c>
      <c r="H623" s="13">
        <v>166</v>
      </c>
      <c r="I623" s="11" t="s">
        <v>19</v>
      </c>
      <c r="J623" s="12">
        <v>2089</v>
      </c>
      <c r="K623" s="12" t="str">
        <f t="shared" si="94"/>
        <v>Very Low</v>
      </c>
      <c r="L623" s="11" t="s">
        <v>20</v>
      </c>
      <c r="M623" s="14">
        <v>45012</v>
      </c>
      <c r="N623" s="14" t="str">
        <f t="shared" si="95"/>
        <v>27/03/2023</v>
      </c>
      <c r="O623" s="14" t="str">
        <f t="shared" si="96"/>
        <v>2023</v>
      </c>
      <c r="P623" s="11" t="s">
        <v>738</v>
      </c>
      <c r="Q623" s="11" t="s">
        <v>117</v>
      </c>
      <c r="R623" s="11">
        <v>4</v>
      </c>
      <c r="S623" s="11" t="str">
        <f t="shared" si="97"/>
        <v>0 - 4 yrs</v>
      </c>
      <c r="T623" s="12">
        <v>178.5</v>
      </c>
      <c r="U623" s="11" t="str">
        <f t="shared" si="90"/>
        <v>(151 - 200)</v>
      </c>
      <c r="V623" s="12">
        <f t="shared" si="91"/>
        <v>2.4813153961136023</v>
      </c>
      <c r="W623" s="12">
        <f t="shared" si="92"/>
        <v>12.58433734939759</v>
      </c>
      <c r="X623" s="12">
        <f t="shared" si="93"/>
        <v>1.0753012048192772</v>
      </c>
    </row>
    <row r="624" spans="1:24">
      <c r="A624" s="11">
        <v>623</v>
      </c>
      <c r="B624" s="11" t="s">
        <v>2562</v>
      </c>
      <c r="C624" s="11" t="s">
        <v>16</v>
      </c>
      <c r="D624" s="11" t="s">
        <v>61</v>
      </c>
      <c r="E624" s="12">
        <v>10</v>
      </c>
      <c r="F624" s="11" t="s">
        <v>2643</v>
      </c>
      <c r="G624" s="11" t="str">
        <f t="shared" si="89"/>
        <v>Litres</v>
      </c>
      <c r="H624" s="13">
        <v>46</v>
      </c>
      <c r="I624" s="11" t="s">
        <v>19</v>
      </c>
      <c r="J624" s="12">
        <v>16634</v>
      </c>
      <c r="K624" s="12" t="str">
        <f t="shared" si="94"/>
        <v>Very Low</v>
      </c>
      <c r="L624" s="11" t="s">
        <v>20</v>
      </c>
      <c r="M624" s="14">
        <v>45444</v>
      </c>
      <c r="N624" s="14" t="str">
        <f t="shared" si="95"/>
        <v>01/06/2024</v>
      </c>
      <c r="O624" s="14" t="str">
        <f t="shared" si="96"/>
        <v>2024</v>
      </c>
      <c r="P624" s="11" t="s">
        <v>1055</v>
      </c>
      <c r="Q624" s="11" t="s">
        <v>441</v>
      </c>
      <c r="R624" s="11">
        <v>12</v>
      </c>
      <c r="S624" s="11" t="str">
        <f t="shared" si="97"/>
        <v>9 - 12 yrs</v>
      </c>
      <c r="T624" s="12">
        <v>0</v>
      </c>
      <c r="U624" s="11" t="str">
        <f t="shared" si="90"/>
        <v>(0 - 50)</v>
      </c>
      <c r="V624" s="12">
        <f t="shared" si="91"/>
        <v>4.5999999999999996</v>
      </c>
      <c r="W624" s="12">
        <f t="shared" si="92"/>
        <v>361.60869565217394</v>
      </c>
      <c r="X624" s="12">
        <f t="shared" si="93"/>
        <v>0</v>
      </c>
    </row>
    <row r="625" spans="1:24">
      <c r="A625" s="11">
        <v>624</v>
      </c>
      <c r="B625" s="11" t="s">
        <v>1681</v>
      </c>
      <c r="C625" s="11" t="s">
        <v>50</v>
      </c>
      <c r="D625" s="11" t="s">
        <v>61</v>
      </c>
      <c r="E625" s="12">
        <v>10</v>
      </c>
      <c r="F625" s="11" t="s">
        <v>41</v>
      </c>
      <c r="G625" s="11" t="str">
        <f t="shared" si="89"/>
        <v>Litres</v>
      </c>
      <c r="H625" s="13">
        <v>371</v>
      </c>
      <c r="I625" s="11" t="s">
        <v>19</v>
      </c>
      <c r="J625" s="12">
        <v>54780</v>
      </c>
      <c r="K625" s="12" t="str">
        <f t="shared" si="94"/>
        <v>Moderate</v>
      </c>
      <c r="L625" s="11" t="s">
        <v>20</v>
      </c>
      <c r="M625" s="14">
        <v>45161</v>
      </c>
      <c r="N625" s="14" t="str">
        <f t="shared" si="95"/>
        <v>23/08/2023</v>
      </c>
      <c r="O625" s="14" t="str">
        <f t="shared" si="96"/>
        <v>2023</v>
      </c>
      <c r="P625" s="11" t="s">
        <v>1545</v>
      </c>
      <c r="Q625" s="11" t="s">
        <v>48</v>
      </c>
      <c r="R625" s="11">
        <v>11</v>
      </c>
      <c r="S625" s="11" t="str">
        <f t="shared" si="97"/>
        <v>9 - 12 yrs</v>
      </c>
      <c r="T625" s="12">
        <v>0</v>
      </c>
      <c r="U625" s="11" t="str">
        <f t="shared" si="90"/>
        <v>(0 - 50)</v>
      </c>
      <c r="V625" s="12">
        <f t="shared" si="91"/>
        <v>37.1</v>
      </c>
      <c r="W625" s="12">
        <f t="shared" si="92"/>
        <v>147.65498652291106</v>
      </c>
      <c r="X625" s="12">
        <f t="shared" si="93"/>
        <v>0</v>
      </c>
    </row>
    <row r="626" spans="1:24">
      <c r="A626" s="11">
        <v>625</v>
      </c>
      <c r="B626" s="11" t="s">
        <v>619</v>
      </c>
      <c r="C626" s="11" t="s">
        <v>32</v>
      </c>
      <c r="D626" s="11" t="s">
        <v>17</v>
      </c>
      <c r="E626" s="12">
        <v>71.3</v>
      </c>
      <c r="F626" s="11" t="s">
        <v>26</v>
      </c>
      <c r="G626" s="11" t="str">
        <f t="shared" si="89"/>
        <v>Litres</v>
      </c>
      <c r="H626" s="13">
        <v>401</v>
      </c>
      <c r="I626" s="11" t="s">
        <v>19</v>
      </c>
      <c r="J626" s="12">
        <v>113184</v>
      </c>
      <c r="K626" s="12" t="str">
        <f t="shared" si="94"/>
        <v>Extreme</v>
      </c>
      <c r="L626" s="11" t="s">
        <v>20</v>
      </c>
      <c r="M626" s="14">
        <v>45326</v>
      </c>
      <c r="N626" s="14" t="str">
        <f t="shared" si="95"/>
        <v>04/02/2024</v>
      </c>
      <c r="O626" s="14" t="str">
        <f t="shared" si="96"/>
        <v>2024</v>
      </c>
      <c r="P626" s="11" t="s">
        <v>1312</v>
      </c>
      <c r="Q626" s="11" t="s">
        <v>48</v>
      </c>
      <c r="R626" s="11">
        <v>13</v>
      </c>
      <c r="S626" s="11" t="str">
        <f t="shared" si="97"/>
        <v>13 - 16 yrs</v>
      </c>
      <c r="T626" s="12">
        <v>210.9</v>
      </c>
      <c r="U626" s="11" t="str">
        <f t="shared" si="90"/>
        <v>(201 - 250)</v>
      </c>
      <c r="V626" s="12">
        <f t="shared" si="91"/>
        <v>5.6241234221598884</v>
      </c>
      <c r="W626" s="12">
        <f t="shared" si="92"/>
        <v>282.25436408977555</v>
      </c>
      <c r="X626" s="12">
        <f t="shared" si="93"/>
        <v>0.5259351620947631</v>
      </c>
    </row>
    <row r="627" spans="1:24">
      <c r="A627" s="11">
        <v>626</v>
      </c>
      <c r="B627" s="11" t="s">
        <v>1683</v>
      </c>
      <c r="C627" s="11" t="s">
        <v>39</v>
      </c>
      <c r="D627" s="11" t="s">
        <v>17</v>
      </c>
      <c r="E627" s="12">
        <v>81.900000000000006</v>
      </c>
      <c r="F627" s="11" t="s">
        <v>56</v>
      </c>
      <c r="G627" s="11" t="str">
        <f t="shared" si="89"/>
        <v>Litres</v>
      </c>
      <c r="H627" s="13">
        <v>159</v>
      </c>
      <c r="I627" s="11" t="s">
        <v>19</v>
      </c>
      <c r="J627" s="12">
        <v>112251</v>
      </c>
      <c r="K627" s="12" t="str">
        <f t="shared" si="94"/>
        <v>Extreme</v>
      </c>
      <c r="L627" s="11" t="s">
        <v>20</v>
      </c>
      <c r="M627" s="14">
        <v>44958</v>
      </c>
      <c r="N627" s="14" t="str">
        <f t="shared" si="95"/>
        <v>01/02/2023</v>
      </c>
      <c r="O627" s="14" t="str">
        <f t="shared" si="96"/>
        <v>2023</v>
      </c>
      <c r="P627" s="11" t="s">
        <v>1685</v>
      </c>
      <c r="Q627" s="11" t="s">
        <v>112</v>
      </c>
      <c r="R627" s="11">
        <v>17</v>
      </c>
      <c r="S627" s="11" t="str">
        <f t="shared" si="97"/>
        <v>17 + yrs</v>
      </c>
      <c r="T627" s="12">
        <v>194.4</v>
      </c>
      <c r="U627" s="11" t="str">
        <f t="shared" si="90"/>
        <v>(151 - 200)</v>
      </c>
      <c r="V627" s="12">
        <f t="shared" si="91"/>
        <v>1.9413919413919412</v>
      </c>
      <c r="W627" s="12">
        <f t="shared" si="92"/>
        <v>705.98113207547169</v>
      </c>
      <c r="X627" s="12">
        <f t="shared" si="93"/>
        <v>1.2226415094339622</v>
      </c>
    </row>
    <row r="628" spans="1:24">
      <c r="A628" s="11">
        <v>627</v>
      </c>
      <c r="B628" s="11" t="s">
        <v>1686</v>
      </c>
      <c r="C628" s="11" t="s">
        <v>16</v>
      </c>
      <c r="D628" s="11" t="s">
        <v>17</v>
      </c>
      <c r="E628" s="12">
        <v>67.099999999999994</v>
      </c>
      <c r="F628" s="11" t="s">
        <v>26</v>
      </c>
      <c r="G628" s="11" t="str">
        <f t="shared" si="89"/>
        <v>Litres</v>
      </c>
      <c r="H628" s="13">
        <v>559</v>
      </c>
      <c r="I628" s="11" t="s">
        <v>19</v>
      </c>
      <c r="J628" s="12">
        <v>88639</v>
      </c>
      <c r="K628" s="12" t="str">
        <f t="shared" si="94"/>
        <v>High</v>
      </c>
      <c r="L628" s="11" t="s">
        <v>20</v>
      </c>
      <c r="M628" s="14">
        <v>45722</v>
      </c>
      <c r="N628" s="14" t="str">
        <f t="shared" si="95"/>
        <v>06/03/2025</v>
      </c>
      <c r="O628" s="14" t="str">
        <f t="shared" si="96"/>
        <v>2025</v>
      </c>
      <c r="P628" s="11" t="s">
        <v>1688</v>
      </c>
      <c r="Q628" s="11" t="s">
        <v>441</v>
      </c>
      <c r="R628" s="11">
        <v>16</v>
      </c>
      <c r="S628" s="11" t="str">
        <f t="shared" si="97"/>
        <v>13 - 16 yrs</v>
      </c>
      <c r="T628" s="12">
        <v>155.30000000000001</v>
      </c>
      <c r="U628" s="11" t="str">
        <f t="shared" si="90"/>
        <v>(151 - 200)</v>
      </c>
      <c r="V628" s="12">
        <f t="shared" si="91"/>
        <v>8.3308494783904621</v>
      </c>
      <c r="W628" s="12">
        <f t="shared" si="92"/>
        <v>158.56708407871199</v>
      </c>
      <c r="X628" s="12">
        <f t="shared" si="93"/>
        <v>0.27781753130590342</v>
      </c>
    </row>
    <row r="629" spans="1:24">
      <c r="A629" s="11">
        <v>628</v>
      </c>
      <c r="B629" s="11" t="s">
        <v>1689</v>
      </c>
      <c r="C629" s="11" t="s">
        <v>32</v>
      </c>
      <c r="D629" s="11" t="s">
        <v>33</v>
      </c>
      <c r="E629" s="12">
        <v>57</v>
      </c>
      <c r="F629" s="11" t="s">
        <v>56</v>
      </c>
      <c r="G629" s="11" t="str">
        <f t="shared" si="89"/>
        <v>Litres</v>
      </c>
      <c r="H629" s="13">
        <v>31</v>
      </c>
      <c r="I629" s="11" t="s">
        <v>19</v>
      </c>
      <c r="J629" s="12">
        <v>62853</v>
      </c>
      <c r="K629" s="12" t="str">
        <f t="shared" si="94"/>
        <v>Moderate</v>
      </c>
      <c r="L629" s="11" t="s">
        <v>20</v>
      </c>
      <c r="M629" s="14">
        <v>45544</v>
      </c>
      <c r="N629" s="14" t="str">
        <f t="shared" si="95"/>
        <v>09/09/2024</v>
      </c>
      <c r="O629" s="14" t="str">
        <f t="shared" si="96"/>
        <v>2024</v>
      </c>
      <c r="P629" s="11" t="s">
        <v>609</v>
      </c>
      <c r="Q629" s="11" t="s">
        <v>2648</v>
      </c>
      <c r="R629" s="11">
        <v>3</v>
      </c>
      <c r="S629" s="11" t="str">
        <f t="shared" si="97"/>
        <v>0 - 4 yrs</v>
      </c>
      <c r="T629" s="12">
        <v>171.6</v>
      </c>
      <c r="U629" s="11" t="str">
        <f t="shared" si="90"/>
        <v>(151 - 200)</v>
      </c>
      <c r="V629" s="12">
        <f t="shared" si="91"/>
        <v>0.54385964912280704</v>
      </c>
      <c r="W629" s="12">
        <f t="shared" si="92"/>
        <v>2027.516129032258</v>
      </c>
      <c r="X629" s="12">
        <f t="shared" si="93"/>
        <v>5.5354838709677416</v>
      </c>
    </row>
    <row r="630" spans="1:24">
      <c r="A630" s="11">
        <v>629</v>
      </c>
      <c r="B630" s="11" t="s">
        <v>1691</v>
      </c>
      <c r="C630" s="11" t="s">
        <v>50</v>
      </c>
      <c r="D630" s="11" t="s">
        <v>33</v>
      </c>
      <c r="E630" s="12">
        <v>81.900000000000006</v>
      </c>
      <c r="F630" s="11" t="s">
        <v>56</v>
      </c>
      <c r="G630" s="11" t="str">
        <f t="shared" si="89"/>
        <v>Litres</v>
      </c>
      <c r="H630" s="13">
        <v>694</v>
      </c>
      <c r="I630" s="11" t="s">
        <v>19</v>
      </c>
      <c r="J630" s="12">
        <v>90133</v>
      </c>
      <c r="K630" s="12" t="str">
        <f t="shared" si="94"/>
        <v>Very High</v>
      </c>
      <c r="L630" s="11" t="s">
        <v>20</v>
      </c>
      <c r="M630" s="14">
        <v>44948</v>
      </c>
      <c r="N630" s="14" t="str">
        <f t="shared" si="95"/>
        <v>22/01/2023</v>
      </c>
      <c r="O630" s="14" t="str">
        <f t="shared" si="96"/>
        <v>2023</v>
      </c>
      <c r="P630" s="11" t="s">
        <v>1340</v>
      </c>
      <c r="Q630" s="11" t="s">
        <v>54</v>
      </c>
      <c r="R630" s="11">
        <v>15</v>
      </c>
      <c r="S630" s="11" t="str">
        <f t="shared" si="97"/>
        <v>13 - 16 yrs</v>
      </c>
      <c r="T630" s="12">
        <v>274.7</v>
      </c>
      <c r="U630" s="11" t="str">
        <f t="shared" si="90"/>
        <v>(251 - 300)</v>
      </c>
      <c r="V630" s="12">
        <f t="shared" si="91"/>
        <v>8.4737484737484738</v>
      </c>
      <c r="W630" s="12">
        <f t="shared" si="92"/>
        <v>129.87463976945244</v>
      </c>
      <c r="X630" s="12">
        <f t="shared" si="93"/>
        <v>0.39582132564841499</v>
      </c>
    </row>
    <row r="631" spans="1:24">
      <c r="A631" s="11">
        <v>630</v>
      </c>
      <c r="B631" s="11" t="s">
        <v>1692</v>
      </c>
      <c r="C631" s="11" t="s">
        <v>32</v>
      </c>
      <c r="D631" s="11" t="s">
        <v>33</v>
      </c>
      <c r="E631" s="12">
        <v>67.900000000000006</v>
      </c>
      <c r="F631" s="11" t="s">
        <v>2643</v>
      </c>
      <c r="G631" s="11" t="str">
        <f t="shared" si="89"/>
        <v>Litres</v>
      </c>
      <c r="H631" s="13">
        <v>676</v>
      </c>
      <c r="I631" s="11" t="s">
        <v>19</v>
      </c>
      <c r="J631" s="12">
        <v>78541</v>
      </c>
      <c r="K631" s="12" t="str">
        <f t="shared" si="94"/>
        <v>High</v>
      </c>
      <c r="L631" s="11" t="s">
        <v>20</v>
      </c>
      <c r="M631" s="14">
        <v>45623</v>
      </c>
      <c r="N631" s="14" t="str">
        <f t="shared" si="95"/>
        <v>27/11/2024</v>
      </c>
      <c r="O631" s="14" t="str">
        <f t="shared" si="96"/>
        <v>2024</v>
      </c>
      <c r="P631" s="11" t="s">
        <v>580</v>
      </c>
      <c r="Q631" s="11" t="s">
        <v>121</v>
      </c>
      <c r="R631" s="11">
        <v>11</v>
      </c>
      <c r="S631" s="11" t="str">
        <f t="shared" si="97"/>
        <v>9 - 12 yrs</v>
      </c>
      <c r="T631" s="12">
        <v>205.7</v>
      </c>
      <c r="U631" s="11" t="str">
        <f t="shared" si="90"/>
        <v>(201 - 250)</v>
      </c>
      <c r="V631" s="12">
        <f t="shared" si="91"/>
        <v>9.9558173784977892</v>
      </c>
      <c r="W631" s="12">
        <f t="shared" si="92"/>
        <v>116.18491124260355</v>
      </c>
      <c r="X631" s="12">
        <f t="shared" si="93"/>
        <v>0.30428994082840233</v>
      </c>
    </row>
    <row r="632" spans="1:24">
      <c r="A632" s="11">
        <v>631</v>
      </c>
      <c r="B632" s="11" t="s">
        <v>1693</v>
      </c>
      <c r="C632" s="11" t="s">
        <v>16</v>
      </c>
      <c r="D632" s="11" t="s">
        <v>17</v>
      </c>
      <c r="E632" s="12">
        <v>46.8</v>
      </c>
      <c r="F632" s="11" t="s">
        <v>41</v>
      </c>
      <c r="G632" s="11" t="str">
        <f t="shared" si="89"/>
        <v>Litres</v>
      </c>
      <c r="H632" s="13">
        <v>535</v>
      </c>
      <c r="I632" s="11" t="s">
        <v>19</v>
      </c>
      <c r="J632" s="12">
        <v>28514</v>
      </c>
      <c r="K632" s="12" t="str">
        <f t="shared" si="94"/>
        <v>Low</v>
      </c>
      <c r="L632" s="11" t="s">
        <v>20</v>
      </c>
      <c r="M632" s="14">
        <v>45369</v>
      </c>
      <c r="N632" s="14" t="str">
        <f t="shared" si="95"/>
        <v>18/03/2024</v>
      </c>
      <c r="O632" s="14" t="str">
        <f t="shared" si="96"/>
        <v>2024</v>
      </c>
      <c r="P632" s="11" t="s">
        <v>1315</v>
      </c>
      <c r="Q632" s="11" t="s">
        <v>441</v>
      </c>
      <c r="R632" s="11">
        <v>10</v>
      </c>
      <c r="S632" s="11" t="str">
        <f t="shared" si="97"/>
        <v>9 - 12 yrs</v>
      </c>
      <c r="T632" s="12">
        <v>143.6</v>
      </c>
      <c r="U632" s="11" t="str">
        <f t="shared" si="90"/>
        <v>(101 - 150)</v>
      </c>
      <c r="V632" s="12">
        <f t="shared" si="91"/>
        <v>11.431623931623932</v>
      </c>
      <c r="W632" s="12">
        <f t="shared" si="92"/>
        <v>53.297196261682245</v>
      </c>
      <c r="X632" s="12">
        <f t="shared" si="93"/>
        <v>0.26841121495327103</v>
      </c>
    </row>
    <row r="633" spans="1:24">
      <c r="A633" s="11">
        <v>632</v>
      </c>
      <c r="B633" s="11" t="s">
        <v>879</v>
      </c>
      <c r="C633" s="11" t="s">
        <v>39</v>
      </c>
      <c r="D633" s="11" t="s">
        <v>33</v>
      </c>
      <c r="E633" s="12">
        <v>23.9</v>
      </c>
      <c r="F633" s="11" t="s">
        <v>2643</v>
      </c>
      <c r="G633" s="11" t="str">
        <f t="shared" si="89"/>
        <v>Litres</v>
      </c>
      <c r="H633" s="13">
        <v>311</v>
      </c>
      <c r="I633" s="11" t="s">
        <v>19</v>
      </c>
      <c r="J633" s="12">
        <v>4941</v>
      </c>
      <c r="K633" s="12" t="str">
        <f t="shared" si="94"/>
        <v>Very Low</v>
      </c>
      <c r="L633" s="11" t="s">
        <v>20</v>
      </c>
      <c r="M633" s="14">
        <v>45347</v>
      </c>
      <c r="N633" s="14" t="str">
        <f t="shared" si="95"/>
        <v>25/02/2024</v>
      </c>
      <c r="O633" s="14" t="str">
        <f t="shared" si="96"/>
        <v>2024</v>
      </c>
      <c r="P633" s="11" t="s">
        <v>764</v>
      </c>
      <c r="Q633" s="11" t="s">
        <v>54</v>
      </c>
      <c r="R633" s="11">
        <v>2</v>
      </c>
      <c r="S633" s="11" t="str">
        <f t="shared" si="97"/>
        <v>0 - 4 yrs</v>
      </c>
      <c r="T633" s="12">
        <v>56.1</v>
      </c>
      <c r="U633" s="11" t="str">
        <f t="shared" si="90"/>
        <v>(51 - 100)</v>
      </c>
      <c r="V633" s="12">
        <f t="shared" si="91"/>
        <v>13.012552301255232</v>
      </c>
      <c r="W633" s="12">
        <f t="shared" si="92"/>
        <v>15.887459807073954</v>
      </c>
      <c r="X633" s="12">
        <f t="shared" si="93"/>
        <v>0.18038585209003216</v>
      </c>
    </row>
    <row r="634" spans="1:24">
      <c r="A634" s="11">
        <v>633</v>
      </c>
      <c r="B634" s="11" t="s">
        <v>1695</v>
      </c>
      <c r="C634" s="11" t="s">
        <v>39</v>
      </c>
      <c r="D634" s="11" t="s">
        <v>17</v>
      </c>
      <c r="E634" s="12">
        <v>71.099999999999994</v>
      </c>
      <c r="F634" s="11" t="s">
        <v>56</v>
      </c>
      <c r="G634" s="11" t="str">
        <f t="shared" si="89"/>
        <v>Litres</v>
      </c>
      <c r="H634" s="13">
        <v>165</v>
      </c>
      <c r="I634" s="11" t="s">
        <v>19</v>
      </c>
      <c r="J634" s="12">
        <v>96078</v>
      </c>
      <c r="K634" s="12" t="str">
        <f t="shared" si="94"/>
        <v>Very High</v>
      </c>
      <c r="L634" s="11" t="s">
        <v>20</v>
      </c>
      <c r="M634" s="14">
        <v>45052</v>
      </c>
      <c r="N634" s="14" t="str">
        <f t="shared" si="95"/>
        <v>06/05/2023</v>
      </c>
      <c r="O634" s="14" t="str">
        <f t="shared" si="96"/>
        <v>2023</v>
      </c>
      <c r="P634" s="11" t="s">
        <v>1697</v>
      </c>
      <c r="Q634" s="11" t="s">
        <v>48</v>
      </c>
      <c r="R634" s="11">
        <v>2</v>
      </c>
      <c r="S634" s="11" t="str">
        <f t="shared" si="97"/>
        <v>0 - 4 yrs</v>
      </c>
      <c r="T634" s="12">
        <v>244.4</v>
      </c>
      <c r="U634" s="11" t="str">
        <f t="shared" si="90"/>
        <v>(201 - 250)</v>
      </c>
      <c r="V634" s="12">
        <f t="shared" si="91"/>
        <v>2.3206751054852321</v>
      </c>
      <c r="W634" s="12">
        <f t="shared" si="92"/>
        <v>582.29090909090905</v>
      </c>
      <c r="X634" s="12">
        <f t="shared" si="93"/>
        <v>1.4812121212121212</v>
      </c>
    </row>
    <row r="635" spans="1:24">
      <c r="A635" s="11">
        <v>634</v>
      </c>
      <c r="B635" s="11" t="s">
        <v>1698</v>
      </c>
      <c r="C635" s="11" t="s">
        <v>16</v>
      </c>
      <c r="D635" s="11" t="s">
        <v>61</v>
      </c>
      <c r="E635" s="12">
        <v>10</v>
      </c>
      <c r="F635" s="11" t="s">
        <v>2643</v>
      </c>
      <c r="G635" s="11" t="str">
        <f t="shared" si="89"/>
        <v>Litres</v>
      </c>
      <c r="H635" s="13">
        <v>235</v>
      </c>
      <c r="I635" s="11" t="s">
        <v>19</v>
      </c>
      <c r="J635" s="12">
        <v>99461</v>
      </c>
      <c r="K635" s="12" t="str">
        <f t="shared" si="94"/>
        <v>Very High</v>
      </c>
      <c r="L635" s="11" t="s">
        <v>20</v>
      </c>
      <c r="M635" s="14">
        <v>45703</v>
      </c>
      <c r="N635" s="14" t="str">
        <f t="shared" si="95"/>
        <v>15/02/2025</v>
      </c>
      <c r="O635" s="14" t="str">
        <f t="shared" si="96"/>
        <v>2025</v>
      </c>
      <c r="P635" s="11" t="s">
        <v>1438</v>
      </c>
      <c r="Q635" s="11" t="s">
        <v>86</v>
      </c>
      <c r="R635" s="11">
        <v>16</v>
      </c>
      <c r="S635" s="11" t="str">
        <f t="shared" si="97"/>
        <v>13 - 16 yrs</v>
      </c>
      <c r="T635" s="12">
        <v>0</v>
      </c>
      <c r="U635" s="11" t="str">
        <f t="shared" si="90"/>
        <v>(0 - 50)</v>
      </c>
      <c r="V635" s="12">
        <f t="shared" si="91"/>
        <v>23.5</v>
      </c>
      <c r="W635" s="12">
        <f t="shared" si="92"/>
        <v>423.23829787234041</v>
      </c>
      <c r="X635" s="12">
        <f t="shared" si="93"/>
        <v>0</v>
      </c>
    </row>
    <row r="636" spans="1:24">
      <c r="A636" s="11">
        <v>635</v>
      </c>
      <c r="B636" s="11" t="s">
        <v>1700</v>
      </c>
      <c r="C636" s="11" t="s">
        <v>39</v>
      </c>
      <c r="D636" s="11" t="s">
        <v>17</v>
      </c>
      <c r="E636" s="12">
        <v>79.400000000000006</v>
      </c>
      <c r="F636" s="11" t="s">
        <v>41</v>
      </c>
      <c r="G636" s="11" t="str">
        <f t="shared" si="89"/>
        <v>Litres</v>
      </c>
      <c r="H636" s="13">
        <v>377</v>
      </c>
      <c r="I636" s="11" t="s">
        <v>19</v>
      </c>
      <c r="J636" s="12">
        <v>16102</v>
      </c>
      <c r="K636" s="12" t="str">
        <f t="shared" si="94"/>
        <v>Very Low</v>
      </c>
      <c r="L636" s="11" t="s">
        <v>20</v>
      </c>
      <c r="M636" s="14">
        <v>45416</v>
      </c>
      <c r="N636" s="14" t="str">
        <f t="shared" si="95"/>
        <v>04/05/2024</v>
      </c>
      <c r="O636" s="14" t="str">
        <f t="shared" si="96"/>
        <v>2024</v>
      </c>
      <c r="P636" s="11" t="s">
        <v>1702</v>
      </c>
      <c r="Q636" s="11" t="s">
        <v>2648</v>
      </c>
      <c r="R636" s="11">
        <v>13</v>
      </c>
      <c r="S636" s="11" t="str">
        <f t="shared" si="97"/>
        <v>13 - 16 yrs</v>
      </c>
      <c r="T636" s="12">
        <v>262.5</v>
      </c>
      <c r="U636" s="11" t="str">
        <f t="shared" si="90"/>
        <v>(251 - 300)</v>
      </c>
      <c r="V636" s="12">
        <f t="shared" si="91"/>
        <v>4.7481108312342561</v>
      </c>
      <c r="W636" s="12">
        <f t="shared" si="92"/>
        <v>42.710875331564985</v>
      </c>
      <c r="X636" s="12">
        <f t="shared" si="93"/>
        <v>0.69628647214854111</v>
      </c>
    </row>
    <row r="637" spans="1:24">
      <c r="A637" s="11">
        <v>636</v>
      </c>
      <c r="B637" s="11" t="s">
        <v>1703</v>
      </c>
      <c r="C637" s="11" t="s">
        <v>50</v>
      </c>
      <c r="D637" s="11" t="s">
        <v>33</v>
      </c>
      <c r="E637" s="12">
        <v>53.2</v>
      </c>
      <c r="F637" s="11" t="s">
        <v>56</v>
      </c>
      <c r="G637" s="11" t="str">
        <f t="shared" si="89"/>
        <v>Litres</v>
      </c>
      <c r="H637" s="13">
        <v>671</v>
      </c>
      <c r="I637" s="11" t="s">
        <v>19</v>
      </c>
      <c r="J637" s="12">
        <v>50519</v>
      </c>
      <c r="K637" s="12" t="str">
        <f t="shared" si="94"/>
        <v>Medium</v>
      </c>
      <c r="L637" s="11" t="s">
        <v>20</v>
      </c>
      <c r="M637" s="14">
        <v>45011</v>
      </c>
      <c r="N637" s="14" t="str">
        <f t="shared" si="95"/>
        <v>26/03/2023</v>
      </c>
      <c r="O637" s="14" t="str">
        <f t="shared" si="96"/>
        <v>2023</v>
      </c>
      <c r="P637" s="11" t="s">
        <v>1218</v>
      </c>
      <c r="Q637" s="11" t="s">
        <v>59</v>
      </c>
      <c r="R637" s="11">
        <v>5</v>
      </c>
      <c r="S637" s="11" t="str">
        <f t="shared" si="97"/>
        <v>5 - 8 yrs</v>
      </c>
      <c r="T637" s="12">
        <v>133.9</v>
      </c>
      <c r="U637" s="11" t="str">
        <f t="shared" si="90"/>
        <v>(101 - 150)</v>
      </c>
      <c r="V637" s="12">
        <f t="shared" si="91"/>
        <v>12.612781954887218</v>
      </c>
      <c r="W637" s="12">
        <f t="shared" si="92"/>
        <v>75.289120715350222</v>
      </c>
      <c r="X637" s="12">
        <f t="shared" si="93"/>
        <v>0.19955290611028317</v>
      </c>
    </row>
    <row r="638" spans="1:24">
      <c r="A638" s="11">
        <v>637</v>
      </c>
      <c r="B638" s="11" t="s">
        <v>1705</v>
      </c>
      <c r="C638" s="11" t="s">
        <v>16</v>
      </c>
      <c r="D638" s="11" t="s">
        <v>33</v>
      </c>
      <c r="E638" s="12">
        <v>33.6</v>
      </c>
      <c r="F638" s="11" t="s">
        <v>62</v>
      </c>
      <c r="G638" s="11" t="str">
        <f t="shared" si="89"/>
        <v>kWh</v>
      </c>
      <c r="H638" s="13">
        <v>116</v>
      </c>
      <c r="I638" s="11" t="s">
        <v>19</v>
      </c>
      <c r="J638" s="12">
        <v>58393</v>
      </c>
      <c r="K638" s="12" t="str">
        <f t="shared" si="94"/>
        <v>Moderate</v>
      </c>
      <c r="L638" s="11" t="s">
        <v>20</v>
      </c>
      <c r="M638" s="14">
        <v>45052</v>
      </c>
      <c r="N638" s="14" t="str">
        <f t="shared" si="95"/>
        <v>06/05/2023</v>
      </c>
      <c r="O638" s="14" t="str">
        <f t="shared" si="96"/>
        <v>2023</v>
      </c>
      <c r="P638" s="11" t="s">
        <v>1159</v>
      </c>
      <c r="Q638" s="11" t="s">
        <v>69</v>
      </c>
      <c r="R638" s="11">
        <v>1</v>
      </c>
      <c r="S638" s="11" t="str">
        <f t="shared" si="97"/>
        <v>0 - 4 yrs</v>
      </c>
      <c r="T638" s="12">
        <v>97.5</v>
      </c>
      <c r="U638" s="11" t="str">
        <f t="shared" si="90"/>
        <v>(51 - 100)</v>
      </c>
      <c r="V638" s="12">
        <f t="shared" si="91"/>
        <v>3.4523809523809521</v>
      </c>
      <c r="W638" s="12">
        <f t="shared" si="92"/>
        <v>503.38793103448273</v>
      </c>
      <c r="X638" s="12">
        <f t="shared" si="93"/>
        <v>0.84051724137931039</v>
      </c>
    </row>
    <row r="639" spans="1:24">
      <c r="A639" s="11">
        <v>638</v>
      </c>
      <c r="B639" s="11" t="s">
        <v>1707</v>
      </c>
      <c r="C639" s="11" t="s">
        <v>50</v>
      </c>
      <c r="D639" s="11" t="s">
        <v>33</v>
      </c>
      <c r="E639" s="12">
        <v>16.5</v>
      </c>
      <c r="F639" s="11" t="s">
        <v>56</v>
      </c>
      <c r="G639" s="11" t="str">
        <f t="shared" si="89"/>
        <v>Litres</v>
      </c>
      <c r="H639" s="13">
        <v>368</v>
      </c>
      <c r="I639" s="11" t="s">
        <v>19</v>
      </c>
      <c r="J639" s="12">
        <v>35357</v>
      </c>
      <c r="K639" s="12" t="str">
        <f t="shared" si="94"/>
        <v>Low</v>
      </c>
      <c r="L639" s="11" t="s">
        <v>20</v>
      </c>
      <c r="M639" s="14">
        <v>45933</v>
      </c>
      <c r="N639" s="14" t="str">
        <f t="shared" si="95"/>
        <v>03/10/2025</v>
      </c>
      <c r="O639" s="14" t="str">
        <f t="shared" si="96"/>
        <v>2025</v>
      </c>
      <c r="P639" s="11" t="s">
        <v>924</v>
      </c>
      <c r="Q639" s="11" t="s">
        <v>86</v>
      </c>
      <c r="R639" s="11">
        <v>19</v>
      </c>
      <c r="S639" s="11" t="str">
        <f t="shared" si="97"/>
        <v>17 + yrs</v>
      </c>
      <c r="T639" s="12">
        <v>45.1</v>
      </c>
      <c r="U639" s="11" t="str">
        <f t="shared" si="90"/>
        <v>(0 - 50)</v>
      </c>
      <c r="V639" s="12">
        <f t="shared" si="91"/>
        <v>22.303030303030305</v>
      </c>
      <c r="W639" s="12">
        <f t="shared" si="92"/>
        <v>96.078804347826093</v>
      </c>
      <c r="X639" s="12">
        <f t="shared" si="93"/>
        <v>0.12255434782608696</v>
      </c>
    </row>
    <row r="640" spans="1:24">
      <c r="A640" s="11">
        <v>639</v>
      </c>
      <c r="B640" s="11" t="s">
        <v>1709</v>
      </c>
      <c r="C640" s="11" t="s">
        <v>16</v>
      </c>
      <c r="D640" s="11" t="s">
        <v>61</v>
      </c>
      <c r="E640" s="12">
        <v>10</v>
      </c>
      <c r="F640" s="11" t="s">
        <v>62</v>
      </c>
      <c r="G640" s="11" t="str">
        <f t="shared" si="89"/>
        <v>kWh</v>
      </c>
      <c r="H640" s="13">
        <v>160</v>
      </c>
      <c r="I640" s="11" t="s">
        <v>19</v>
      </c>
      <c r="J640" s="12">
        <v>85488</v>
      </c>
      <c r="K640" s="12" t="str">
        <f t="shared" si="94"/>
        <v>High</v>
      </c>
      <c r="L640" s="11" t="s">
        <v>20</v>
      </c>
      <c r="M640" s="14">
        <v>45827</v>
      </c>
      <c r="N640" s="14" t="str">
        <f t="shared" si="95"/>
        <v>19/06/2025</v>
      </c>
      <c r="O640" s="14" t="str">
        <f t="shared" si="96"/>
        <v>2025</v>
      </c>
      <c r="P640" s="11" t="s">
        <v>657</v>
      </c>
      <c r="Q640" s="11" t="s">
        <v>48</v>
      </c>
      <c r="R640" s="11">
        <v>6</v>
      </c>
      <c r="S640" s="11" t="str">
        <f t="shared" si="97"/>
        <v>5 - 8 yrs</v>
      </c>
      <c r="T640" s="12">
        <v>0</v>
      </c>
      <c r="U640" s="11" t="str">
        <f t="shared" si="90"/>
        <v>(0 - 50)</v>
      </c>
      <c r="V640" s="12">
        <f t="shared" si="91"/>
        <v>16</v>
      </c>
      <c r="W640" s="12">
        <f t="shared" si="92"/>
        <v>534.29999999999995</v>
      </c>
      <c r="X640" s="12">
        <f t="shared" si="93"/>
        <v>0</v>
      </c>
    </row>
    <row r="641" spans="1:24">
      <c r="A641" s="11">
        <v>640</v>
      </c>
      <c r="B641" s="11" t="s">
        <v>1711</v>
      </c>
      <c r="C641" s="11" t="s">
        <v>50</v>
      </c>
      <c r="D641" s="11" t="s">
        <v>61</v>
      </c>
      <c r="E641" s="12">
        <v>10</v>
      </c>
      <c r="F641" s="11" t="s">
        <v>56</v>
      </c>
      <c r="G641" s="11" t="str">
        <f t="shared" si="89"/>
        <v>Litres</v>
      </c>
      <c r="H641" s="13">
        <v>397</v>
      </c>
      <c r="I641" s="11" t="s">
        <v>19</v>
      </c>
      <c r="J641" s="12">
        <v>33391</v>
      </c>
      <c r="K641" s="12" t="str">
        <f t="shared" si="94"/>
        <v>Low</v>
      </c>
      <c r="L641" s="11" t="s">
        <v>20</v>
      </c>
      <c r="M641" s="14">
        <v>45363</v>
      </c>
      <c r="N641" s="14" t="str">
        <f t="shared" si="95"/>
        <v>12/03/2024</v>
      </c>
      <c r="O641" s="14" t="str">
        <f t="shared" si="96"/>
        <v>2024</v>
      </c>
      <c r="P641" s="11" t="s">
        <v>959</v>
      </c>
      <c r="Q641" s="11" t="s">
        <v>112</v>
      </c>
      <c r="R641" s="11">
        <v>20</v>
      </c>
      <c r="S641" s="11" t="str">
        <f t="shared" si="97"/>
        <v>17 + yrs</v>
      </c>
      <c r="T641" s="12">
        <v>0</v>
      </c>
      <c r="U641" s="11" t="str">
        <f t="shared" si="90"/>
        <v>(0 - 50)</v>
      </c>
      <c r="V641" s="12">
        <f t="shared" si="91"/>
        <v>39.700000000000003</v>
      </c>
      <c r="W641" s="12">
        <f t="shared" si="92"/>
        <v>84.108312342569263</v>
      </c>
      <c r="X641" s="12">
        <f t="shared" si="93"/>
        <v>0</v>
      </c>
    </row>
    <row r="642" spans="1:24">
      <c r="A642" s="11">
        <v>641</v>
      </c>
      <c r="B642" s="11" t="s">
        <v>1713</v>
      </c>
      <c r="C642" s="11" t="s">
        <v>39</v>
      </c>
      <c r="D642" s="11" t="s">
        <v>33</v>
      </c>
      <c r="E642" s="12">
        <v>16.7</v>
      </c>
      <c r="F642" s="11" t="s">
        <v>41</v>
      </c>
      <c r="G642" s="11" t="str">
        <f t="shared" ref="G642:G705" si="98">IF(OR(F642="L",F642="ltrs",F642="liters"),"Litres",F642)</f>
        <v>Litres</v>
      </c>
      <c r="H642" s="13">
        <v>174</v>
      </c>
      <c r="I642" s="11" t="s">
        <v>19</v>
      </c>
      <c r="J642" s="12">
        <v>48232</v>
      </c>
      <c r="K642" s="12" t="str">
        <f t="shared" si="94"/>
        <v>Medium</v>
      </c>
      <c r="L642" s="11" t="s">
        <v>20</v>
      </c>
      <c r="M642" s="14">
        <v>45336</v>
      </c>
      <c r="N642" s="14" t="str">
        <f t="shared" si="95"/>
        <v>14/02/2024</v>
      </c>
      <c r="O642" s="14" t="str">
        <f t="shared" si="96"/>
        <v>2024</v>
      </c>
      <c r="P642" s="11" t="s">
        <v>1047</v>
      </c>
      <c r="Q642" s="11" t="s">
        <v>112</v>
      </c>
      <c r="R642" s="11">
        <v>4</v>
      </c>
      <c r="S642" s="11" t="str">
        <f t="shared" si="97"/>
        <v>0 - 4 yrs</v>
      </c>
      <c r="T642" s="12">
        <v>34.5</v>
      </c>
      <c r="U642" s="11" t="str">
        <f t="shared" si="90"/>
        <v>(0 - 50)</v>
      </c>
      <c r="V642" s="12">
        <f t="shared" si="91"/>
        <v>10.419161676646707</v>
      </c>
      <c r="W642" s="12">
        <f t="shared" si="92"/>
        <v>277.19540229885058</v>
      </c>
      <c r="X642" s="12">
        <f t="shared" si="93"/>
        <v>0.19827586206896552</v>
      </c>
    </row>
    <row r="643" spans="1:24">
      <c r="A643" s="11">
        <v>642</v>
      </c>
      <c r="B643" s="11" t="s">
        <v>2563</v>
      </c>
      <c r="C643" s="11" t="s">
        <v>39</v>
      </c>
      <c r="D643" s="11" t="s">
        <v>33</v>
      </c>
      <c r="E643" s="12">
        <v>97.9</v>
      </c>
      <c r="F643" s="11" t="s">
        <v>26</v>
      </c>
      <c r="G643" s="11" t="str">
        <f t="shared" si="98"/>
        <v>Litres</v>
      </c>
      <c r="H643" s="13">
        <v>221</v>
      </c>
      <c r="I643" s="11" t="s">
        <v>19</v>
      </c>
      <c r="J643" s="12">
        <v>12941</v>
      </c>
      <c r="K643" s="12" t="str">
        <f t="shared" si="94"/>
        <v>Very Low</v>
      </c>
      <c r="L643" s="11" t="s">
        <v>20</v>
      </c>
      <c r="M643" s="14">
        <v>45125</v>
      </c>
      <c r="N643" s="14" t="str">
        <f t="shared" si="95"/>
        <v>18/07/2023</v>
      </c>
      <c r="O643" s="14" t="str">
        <f t="shared" si="96"/>
        <v>2023</v>
      </c>
      <c r="P643" s="11" t="s">
        <v>1717</v>
      </c>
      <c r="Q643" s="11" t="s">
        <v>112</v>
      </c>
      <c r="R643" s="11">
        <v>12</v>
      </c>
      <c r="S643" s="11" t="str">
        <f t="shared" si="97"/>
        <v>9 - 12 yrs</v>
      </c>
      <c r="T643" s="12">
        <v>335.4</v>
      </c>
      <c r="U643" s="11" t="str">
        <f t="shared" si="90"/>
        <v>(301 - 350)</v>
      </c>
      <c r="V643" s="12">
        <f t="shared" si="91"/>
        <v>2.2574055158324819</v>
      </c>
      <c r="W643" s="12">
        <f t="shared" si="92"/>
        <v>58.556561085972852</v>
      </c>
      <c r="X643" s="12">
        <f t="shared" si="93"/>
        <v>1.5176470588235293</v>
      </c>
    </row>
    <row r="644" spans="1:24">
      <c r="A644" s="11">
        <v>643</v>
      </c>
      <c r="B644" s="11" t="s">
        <v>1718</v>
      </c>
      <c r="C644" s="11" t="s">
        <v>16</v>
      </c>
      <c r="D644" s="11" t="s">
        <v>61</v>
      </c>
      <c r="E644" s="12">
        <v>10</v>
      </c>
      <c r="F644" s="11" t="s">
        <v>62</v>
      </c>
      <c r="G644" s="11" t="str">
        <f t="shared" si="98"/>
        <v>kWh</v>
      </c>
      <c r="H644" s="13">
        <v>48</v>
      </c>
      <c r="I644" s="11" t="s">
        <v>19</v>
      </c>
      <c r="J644" s="12">
        <v>90644</v>
      </c>
      <c r="K644" s="12" t="str">
        <f t="shared" si="94"/>
        <v>Very High</v>
      </c>
      <c r="L644" s="11" t="s">
        <v>20</v>
      </c>
      <c r="M644" s="14">
        <v>45056</v>
      </c>
      <c r="N644" s="14" t="str">
        <f t="shared" si="95"/>
        <v>10/05/2023</v>
      </c>
      <c r="O644" s="14" t="str">
        <f t="shared" si="96"/>
        <v>2023</v>
      </c>
      <c r="P644" s="11" t="s">
        <v>1720</v>
      </c>
      <c r="Q644" s="11" t="s">
        <v>59</v>
      </c>
      <c r="R644" s="11">
        <v>6</v>
      </c>
      <c r="S644" s="11" t="str">
        <f t="shared" si="97"/>
        <v>5 - 8 yrs</v>
      </c>
      <c r="T644" s="12">
        <v>0</v>
      </c>
      <c r="U644" s="11" t="str">
        <f t="shared" si="90"/>
        <v>(0 - 50)</v>
      </c>
      <c r="V644" s="12">
        <f t="shared" si="91"/>
        <v>4.8</v>
      </c>
      <c r="W644" s="12">
        <f t="shared" si="92"/>
        <v>1888.4166666666667</v>
      </c>
      <c r="X644" s="12">
        <f t="shared" si="93"/>
        <v>0</v>
      </c>
    </row>
    <row r="645" spans="1:24">
      <c r="A645" s="11">
        <v>644</v>
      </c>
      <c r="B645" s="11" t="s">
        <v>1721</v>
      </c>
      <c r="C645" s="11" t="s">
        <v>39</v>
      </c>
      <c r="D645" s="11" t="s">
        <v>33</v>
      </c>
      <c r="E645" s="12">
        <v>10.5</v>
      </c>
      <c r="F645" s="11" t="s">
        <v>62</v>
      </c>
      <c r="G645" s="11" t="str">
        <f t="shared" si="98"/>
        <v>kWh</v>
      </c>
      <c r="H645" s="13">
        <v>277</v>
      </c>
      <c r="I645" s="11" t="s">
        <v>19</v>
      </c>
      <c r="J645" s="12">
        <v>9231</v>
      </c>
      <c r="K645" s="12" t="str">
        <f t="shared" si="94"/>
        <v>Very Low</v>
      </c>
      <c r="L645" s="11" t="s">
        <v>20</v>
      </c>
      <c r="M645" s="14">
        <v>45369</v>
      </c>
      <c r="N645" s="14" t="str">
        <f t="shared" si="95"/>
        <v>18/03/2024</v>
      </c>
      <c r="O645" s="14" t="str">
        <f t="shared" si="96"/>
        <v>2024</v>
      </c>
      <c r="P645" s="11" t="s">
        <v>1143</v>
      </c>
      <c r="Q645" s="11" t="s">
        <v>48</v>
      </c>
      <c r="R645" s="11">
        <v>4</v>
      </c>
      <c r="S645" s="11" t="str">
        <f t="shared" si="97"/>
        <v>0 - 4 yrs</v>
      </c>
      <c r="T645" s="12">
        <v>25.7</v>
      </c>
      <c r="U645" s="11" t="str">
        <f t="shared" si="90"/>
        <v>(0 - 50)</v>
      </c>
      <c r="V645" s="12">
        <f t="shared" si="91"/>
        <v>26.38095238095238</v>
      </c>
      <c r="W645" s="12">
        <f t="shared" si="92"/>
        <v>33.324909747292416</v>
      </c>
      <c r="X645" s="12">
        <f t="shared" si="93"/>
        <v>9.2779783393501805E-2</v>
      </c>
    </row>
    <row r="646" spans="1:24">
      <c r="A646" s="11">
        <v>645</v>
      </c>
      <c r="B646" s="11" t="s">
        <v>1212</v>
      </c>
      <c r="C646" s="11" t="s">
        <v>50</v>
      </c>
      <c r="D646" s="11" t="s">
        <v>61</v>
      </c>
      <c r="E646" s="12">
        <v>10</v>
      </c>
      <c r="F646" s="11" t="s">
        <v>26</v>
      </c>
      <c r="G646" s="11" t="str">
        <f t="shared" si="98"/>
        <v>Litres</v>
      </c>
      <c r="H646" s="13">
        <v>651</v>
      </c>
      <c r="I646" s="11" t="s">
        <v>19</v>
      </c>
      <c r="J646" s="12">
        <v>77490</v>
      </c>
      <c r="K646" s="12" t="str">
        <f t="shared" si="94"/>
        <v>High</v>
      </c>
      <c r="L646" s="11" t="s">
        <v>20</v>
      </c>
      <c r="M646" s="14">
        <v>45192</v>
      </c>
      <c r="N646" s="14" t="str">
        <f t="shared" si="95"/>
        <v>23/09/2023</v>
      </c>
      <c r="O646" s="14" t="str">
        <f t="shared" si="96"/>
        <v>2023</v>
      </c>
      <c r="P646" s="11" t="s">
        <v>533</v>
      </c>
      <c r="Q646" s="11" t="s">
        <v>69</v>
      </c>
      <c r="R646" s="11">
        <v>14</v>
      </c>
      <c r="S646" s="11" t="str">
        <f t="shared" si="97"/>
        <v>13 - 16 yrs</v>
      </c>
      <c r="T646" s="12">
        <v>0</v>
      </c>
      <c r="U646" s="11" t="str">
        <f t="shared" si="90"/>
        <v>(0 - 50)</v>
      </c>
      <c r="V646" s="12">
        <f t="shared" si="91"/>
        <v>65.099999999999994</v>
      </c>
      <c r="W646" s="12">
        <f t="shared" si="92"/>
        <v>119.03225806451613</v>
      </c>
      <c r="X646" s="12">
        <f t="shared" si="93"/>
        <v>0</v>
      </c>
    </row>
    <row r="647" spans="1:24">
      <c r="A647" s="11">
        <v>646</v>
      </c>
      <c r="B647" s="11" t="s">
        <v>1724</v>
      </c>
      <c r="C647" s="11" t="s">
        <v>32</v>
      </c>
      <c r="D647" s="11" t="s">
        <v>33</v>
      </c>
      <c r="E647" s="12">
        <v>6.2</v>
      </c>
      <c r="F647" s="11" t="s">
        <v>62</v>
      </c>
      <c r="G647" s="11" t="str">
        <f t="shared" si="98"/>
        <v>kWh</v>
      </c>
      <c r="H647" s="13">
        <v>196</v>
      </c>
      <c r="I647" s="11" t="s">
        <v>19</v>
      </c>
      <c r="J647" s="12">
        <v>99303</v>
      </c>
      <c r="K647" s="12" t="str">
        <f t="shared" si="94"/>
        <v>Very High</v>
      </c>
      <c r="L647" s="11" t="s">
        <v>20</v>
      </c>
      <c r="M647" s="14">
        <v>45562</v>
      </c>
      <c r="N647" s="14" t="str">
        <f t="shared" si="95"/>
        <v>27/09/2024</v>
      </c>
      <c r="O647" s="14" t="str">
        <f t="shared" si="96"/>
        <v>2024</v>
      </c>
      <c r="P647" s="11" t="s">
        <v>1726</v>
      </c>
      <c r="Q647" s="11" t="s">
        <v>69</v>
      </c>
      <c r="R647" s="11">
        <v>14</v>
      </c>
      <c r="S647" s="11" t="str">
        <f t="shared" si="97"/>
        <v>13 - 16 yrs</v>
      </c>
      <c r="T647" s="12">
        <v>19.8</v>
      </c>
      <c r="U647" s="11" t="str">
        <f t="shared" si="90"/>
        <v>(0 - 50)</v>
      </c>
      <c r="V647" s="12">
        <f t="shared" si="91"/>
        <v>31.612903225806452</v>
      </c>
      <c r="W647" s="12">
        <f t="shared" si="92"/>
        <v>506.64795918367349</v>
      </c>
      <c r="X647" s="12">
        <f t="shared" si="93"/>
        <v>0.10102040816326531</v>
      </c>
    </row>
    <row r="648" spans="1:24">
      <c r="A648" s="11">
        <v>647</v>
      </c>
      <c r="B648" s="11" t="s">
        <v>1727</v>
      </c>
      <c r="C648" s="11" t="s">
        <v>39</v>
      </c>
      <c r="D648" s="11" t="s">
        <v>114</v>
      </c>
      <c r="E648" s="12">
        <v>82</v>
      </c>
      <c r="F648" s="11" t="s">
        <v>41</v>
      </c>
      <c r="G648" s="11" t="str">
        <f t="shared" si="98"/>
        <v>Litres</v>
      </c>
      <c r="H648" s="13">
        <v>105</v>
      </c>
      <c r="I648" s="11" t="s">
        <v>19</v>
      </c>
      <c r="J648" s="12">
        <v>62550</v>
      </c>
      <c r="K648" s="12" t="str">
        <f t="shared" si="94"/>
        <v>Moderate</v>
      </c>
      <c r="L648" s="11" t="s">
        <v>20</v>
      </c>
      <c r="M648" s="14">
        <v>45730</v>
      </c>
      <c r="N648" s="14" t="str">
        <f t="shared" si="95"/>
        <v>14/03/2025</v>
      </c>
      <c r="O648" s="14" t="str">
        <f t="shared" si="96"/>
        <v>2025</v>
      </c>
      <c r="P648" s="11" t="s">
        <v>1729</v>
      </c>
      <c r="Q648" s="11" t="s">
        <v>117</v>
      </c>
      <c r="R648" s="11">
        <v>9</v>
      </c>
      <c r="S648" s="11" t="str">
        <f t="shared" si="97"/>
        <v>9 - 12 yrs</v>
      </c>
      <c r="T648" s="12">
        <v>268.89999999999998</v>
      </c>
      <c r="U648" s="11" t="str">
        <f t="shared" si="90"/>
        <v>(251 - 300)</v>
      </c>
      <c r="V648" s="12">
        <f t="shared" si="91"/>
        <v>1.2804878048780488</v>
      </c>
      <c r="W648" s="12">
        <f t="shared" si="92"/>
        <v>595.71428571428567</v>
      </c>
      <c r="X648" s="12">
        <f t="shared" si="93"/>
        <v>2.5609523809523806</v>
      </c>
    </row>
    <row r="649" spans="1:24">
      <c r="A649" s="11">
        <v>648</v>
      </c>
      <c r="B649" s="11" t="s">
        <v>2564</v>
      </c>
      <c r="C649" s="11" t="s">
        <v>32</v>
      </c>
      <c r="D649" s="11" t="s">
        <v>61</v>
      </c>
      <c r="E649" s="12">
        <v>10</v>
      </c>
      <c r="F649" s="11" t="s">
        <v>56</v>
      </c>
      <c r="G649" s="11" t="str">
        <f t="shared" si="98"/>
        <v>Litres</v>
      </c>
      <c r="H649" s="13">
        <v>140</v>
      </c>
      <c r="I649" s="11" t="s">
        <v>19</v>
      </c>
      <c r="J649" s="12">
        <v>30275</v>
      </c>
      <c r="K649" s="12" t="str">
        <f t="shared" si="94"/>
        <v>Low</v>
      </c>
      <c r="L649" s="11" t="s">
        <v>20</v>
      </c>
      <c r="M649" s="14">
        <v>45741</v>
      </c>
      <c r="N649" s="14" t="str">
        <f t="shared" si="95"/>
        <v>25/03/2025</v>
      </c>
      <c r="O649" s="14" t="str">
        <f t="shared" si="96"/>
        <v>2025</v>
      </c>
      <c r="P649" s="11" t="s">
        <v>805</v>
      </c>
      <c r="Q649" s="11" t="s">
        <v>441</v>
      </c>
      <c r="R649" s="11">
        <v>5</v>
      </c>
      <c r="S649" s="11" t="str">
        <f t="shared" si="97"/>
        <v>5 - 8 yrs</v>
      </c>
      <c r="T649" s="12">
        <v>0</v>
      </c>
      <c r="U649" s="11" t="str">
        <f t="shared" si="90"/>
        <v>(0 - 50)</v>
      </c>
      <c r="V649" s="12">
        <f t="shared" si="91"/>
        <v>14</v>
      </c>
      <c r="W649" s="12">
        <f t="shared" si="92"/>
        <v>216.25</v>
      </c>
      <c r="X649" s="12">
        <f t="shared" si="93"/>
        <v>0</v>
      </c>
    </row>
    <row r="650" spans="1:24">
      <c r="A650" s="11">
        <v>649</v>
      </c>
      <c r="B650" s="11" t="s">
        <v>2565</v>
      </c>
      <c r="C650" s="11" t="s">
        <v>32</v>
      </c>
      <c r="D650" s="11" t="s">
        <v>61</v>
      </c>
      <c r="E650" s="12">
        <v>10</v>
      </c>
      <c r="F650" s="11" t="s">
        <v>2643</v>
      </c>
      <c r="G650" s="11" t="str">
        <f t="shared" si="98"/>
        <v>Litres</v>
      </c>
      <c r="H650" s="13">
        <v>31</v>
      </c>
      <c r="I650" s="11" t="s">
        <v>19</v>
      </c>
      <c r="J650" s="12">
        <v>112781</v>
      </c>
      <c r="K650" s="12" t="str">
        <f t="shared" si="94"/>
        <v>Extreme</v>
      </c>
      <c r="L650" s="11" t="s">
        <v>20</v>
      </c>
      <c r="M650" s="14">
        <v>45690</v>
      </c>
      <c r="N650" s="14" t="str">
        <f t="shared" si="95"/>
        <v>02/02/2025</v>
      </c>
      <c r="O650" s="14" t="str">
        <f t="shared" si="96"/>
        <v>2025</v>
      </c>
      <c r="P650" s="11" t="s">
        <v>1734</v>
      </c>
      <c r="Q650" s="11" t="s">
        <v>441</v>
      </c>
      <c r="R650" s="11">
        <v>8</v>
      </c>
      <c r="S650" s="11" t="str">
        <f t="shared" si="97"/>
        <v>5 - 8 yrs</v>
      </c>
      <c r="T650" s="12">
        <v>0</v>
      </c>
      <c r="U650" s="11" t="str">
        <f t="shared" si="90"/>
        <v>(0 - 50)</v>
      </c>
      <c r="V650" s="12">
        <f t="shared" si="91"/>
        <v>3.1</v>
      </c>
      <c r="W650" s="12">
        <f t="shared" si="92"/>
        <v>3638.0967741935483</v>
      </c>
      <c r="X650" s="12">
        <f t="shared" si="93"/>
        <v>0</v>
      </c>
    </row>
    <row r="651" spans="1:24">
      <c r="A651" s="11">
        <v>650</v>
      </c>
      <c r="B651" s="11" t="s">
        <v>1735</v>
      </c>
      <c r="C651" s="11" t="s">
        <v>32</v>
      </c>
      <c r="D651" s="11" t="s">
        <v>17</v>
      </c>
      <c r="E651" s="12">
        <v>53.4</v>
      </c>
      <c r="F651" s="11" t="s">
        <v>56</v>
      </c>
      <c r="G651" s="11" t="str">
        <f t="shared" si="98"/>
        <v>Litres</v>
      </c>
      <c r="H651" s="13">
        <v>693</v>
      </c>
      <c r="I651" s="11" t="s">
        <v>19</v>
      </c>
      <c r="J651" s="12">
        <v>12834</v>
      </c>
      <c r="K651" s="12" t="str">
        <f t="shared" si="94"/>
        <v>Very Low</v>
      </c>
      <c r="L651" s="11" t="s">
        <v>20</v>
      </c>
      <c r="M651" s="14">
        <v>45679</v>
      </c>
      <c r="N651" s="14" t="str">
        <f t="shared" si="95"/>
        <v>22/01/2025</v>
      </c>
      <c r="O651" s="14" t="str">
        <f t="shared" si="96"/>
        <v>2025</v>
      </c>
      <c r="P651" s="11" t="s">
        <v>1497</v>
      </c>
      <c r="Q651" s="11" t="s">
        <v>112</v>
      </c>
      <c r="R651" s="11">
        <v>3</v>
      </c>
      <c r="S651" s="11" t="str">
        <f t="shared" si="97"/>
        <v>0 - 4 yrs</v>
      </c>
      <c r="T651" s="12">
        <v>186</v>
      </c>
      <c r="U651" s="11" t="str">
        <f t="shared" si="90"/>
        <v>(151 - 200)</v>
      </c>
      <c r="V651" s="12">
        <f t="shared" si="91"/>
        <v>12.97752808988764</v>
      </c>
      <c r="W651" s="12">
        <f t="shared" si="92"/>
        <v>18.519480519480521</v>
      </c>
      <c r="X651" s="12">
        <f t="shared" si="93"/>
        <v>0.26839826839826841</v>
      </c>
    </row>
    <row r="652" spans="1:24">
      <c r="A652" s="11">
        <v>651</v>
      </c>
      <c r="B652" s="11" t="s">
        <v>1737</v>
      </c>
      <c r="C652" s="11" t="s">
        <v>32</v>
      </c>
      <c r="D652" s="11" t="s">
        <v>33</v>
      </c>
      <c r="E652" s="12">
        <v>34.6</v>
      </c>
      <c r="F652" s="11" t="s">
        <v>62</v>
      </c>
      <c r="G652" s="11" t="str">
        <f t="shared" si="98"/>
        <v>kWh</v>
      </c>
      <c r="H652" s="13">
        <v>266</v>
      </c>
      <c r="I652" s="11" t="s">
        <v>19</v>
      </c>
      <c r="J652" s="12">
        <v>78100</v>
      </c>
      <c r="K652" s="12" t="str">
        <f t="shared" si="94"/>
        <v>High</v>
      </c>
      <c r="L652" s="11" t="s">
        <v>20</v>
      </c>
      <c r="M652" s="14">
        <v>45274</v>
      </c>
      <c r="N652" s="14" t="str">
        <f t="shared" si="95"/>
        <v>14/12/2023</v>
      </c>
      <c r="O652" s="14" t="str">
        <f t="shared" si="96"/>
        <v>2023</v>
      </c>
      <c r="P652" s="11" t="s">
        <v>1739</v>
      </c>
      <c r="Q652" s="11" t="s">
        <v>441</v>
      </c>
      <c r="R652" s="11">
        <v>12</v>
      </c>
      <c r="S652" s="11" t="str">
        <f t="shared" si="97"/>
        <v>9 - 12 yrs</v>
      </c>
      <c r="T652" s="12">
        <v>73.7</v>
      </c>
      <c r="U652" s="11" t="str">
        <f t="shared" si="90"/>
        <v>(51 - 100)</v>
      </c>
      <c r="V652" s="12">
        <f t="shared" si="91"/>
        <v>7.6878612716763</v>
      </c>
      <c r="W652" s="12">
        <f t="shared" si="92"/>
        <v>293.60902255639098</v>
      </c>
      <c r="X652" s="12">
        <f t="shared" si="93"/>
        <v>0.27706766917293235</v>
      </c>
    </row>
    <row r="653" spans="1:24">
      <c r="A653" s="11">
        <v>652</v>
      </c>
      <c r="B653" s="11" t="s">
        <v>2566</v>
      </c>
      <c r="C653" s="11" t="s">
        <v>16</v>
      </c>
      <c r="D653" s="11" t="s">
        <v>33</v>
      </c>
      <c r="E653" s="12">
        <v>82.8</v>
      </c>
      <c r="F653" s="11" t="s">
        <v>41</v>
      </c>
      <c r="G653" s="11" t="str">
        <f t="shared" si="98"/>
        <v>Litres</v>
      </c>
      <c r="H653" s="13">
        <v>285</v>
      </c>
      <c r="I653" s="11" t="s">
        <v>19</v>
      </c>
      <c r="J653" s="12">
        <v>87030</v>
      </c>
      <c r="K653" s="12" t="str">
        <f t="shared" si="94"/>
        <v>High</v>
      </c>
      <c r="L653" s="11" t="s">
        <v>20</v>
      </c>
      <c r="M653" s="14">
        <v>45681</v>
      </c>
      <c r="N653" s="14" t="str">
        <f t="shared" si="95"/>
        <v>24/01/2025</v>
      </c>
      <c r="O653" s="14" t="str">
        <f t="shared" si="96"/>
        <v>2025</v>
      </c>
      <c r="P653" s="11" t="s">
        <v>496</v>
      </c>
      <c r="Q653" s="11" t="s">
        <v>86</v>
      </c>
      <c r="R653" s="11">
        <v>3</v>
      </c>
      <c r="S653" s="11" t="str">
        <f t="shared" si="97"/>
        <v>0 - 4 yrs</v>
      </c>
      <c r="T653" s="12">
        <v>207.7</v>
      </c>
      <c r="U653" s="11" t="str">
        <f t="shared" si="90"/>
        <v>(201 - 250)</v>
      </c>
      <c r="V653" s="12">
        <f t="shared" si="91"/>
        <v>3.4420289855072466</v>
      </c>
      <c r="W653" s="12">
        <f t="shared" si="92"/>
        <v>305.36842105263156</v>
      </c>
      <c r="X653" s="12">
        <f t="shared" si="93"/>
        <v>0.7287719298245614</v>
      </c>
    </row>
    <row r="654" spans="1:24">
      <c r="A654" s="11">
        <v>653</v>
      </c>
      <c r="B654" s="11" t="s">
        <v>2567</v>
      </c>
      <c r="C654" s="11" t="s">
        <v>39</v>
      </c>
      <c r="D654" s="11" t="s">
        <v>114</v>
      </c>
      <c r="E654" s="12">
        <v>95.1</v>
      </c>
      <c r="F654" s="11" t="s">
        <v>62</v>
      </c>
      <c r="G654" s="11" t="str">
        <f t="shared" si="98"/>
        <v>kWh</v>
      </c>
      <c r="H654" s="13">
        <v>628</v>
      </c>
      <c r="I654" s="11" t="s">
        <v>19</v>
      </c>
      <c r="J654" s="12">
        <v>26921</v>
      </c>
      <c r="K654" s="12" t="str">
        <f t="shared" si="94"/>
        <v>Low</v>
      </c>
      <c r="L654" s="11" t="s">
        <v>20</v>
      </c>
      <c r="M654" s="14">
        <v>44994</v>
      </c>
      <c r="N654" s="14" t="str">
        <f t="shared" si="95"/>
        <v>09/03/2023</v>
      </c>
      <c r="O654" s="14" t="str">
        <f t="shared" si="96"/>
        <v>2023</v>
      </c>
      <c r="P654" s="11" t="s">
        <v>1010</v>
      </c>
      <c r="Q654" s="11" t="s">
        <v>441</v>
      </c>
      <c r="R654" s="11">
        <v>4</v>
      </c>
      <c r="S654" s="11" t="str">
        <f t="shared" si="97"/>
        <v>0 - 4 yrs</v>
      </c>
      <c r="T654" s="12">
        <v>252</v>
      </c>
      <c r="U654" s="11" t="str">
        <f t="shared" si="90"/>
        <v>(251 - 300)</v>
      </c>
      <c r="V654" s="12">
        <f t="shared" si="91"/>
        <v>6.6035751840168251</v>
      </c>
      <c r="W654" s="12">
        <f t="shared" si="92"/>
        <v>42.867834394904456</v>
      </c>
      <c r="X654" s="12">
        <f t="shared" si="93"/>
        <v>0.40127388535031849</v>
      </c>
    </row>
    <row r="655" spans="1:24">
      <c r="A655" s="11">
        <v>654</v>
      </c>
      <c r="B655" s="11" t="s">
        <v>1551</v>
      </c>
      <c r="C655" s="11" t="s">
        <v>16</v>
      </c>
      <c r="D655" s="11" t="s">
        <v>33</v>
      </c>
      <c r="E655" s="12">
        <v>24.5</v>
      </c>
      <c r="F655" s="11" t="s">
        <v>26</v>
      </c>
      <c r="G655" s="11" t="str">
        <f t="shared" si="98"/>
        <v>Litres</v>
      </c>
      <c r="H655" s="13">
        <v>671</v>
      </c>
      <c r="I655" s="11" t="s">
        <v>19</v>
      </c>
      <c r="J655" s="12">
        <v>106894</v>
      </c>
      <c r="K655" s="12" t="str">
        <f t="shared" si="94"/>
        <v>Very High</v>
      </c>
      <c r="L655" s="11" t="s">
        <v>20</v>
      </c>
      <c r="M655" s="14">
        <v>45822</v>
      </c>
      <c r="N655" s="14" t="str">
        <f t="shared" si="95"/>
        <v>14/06/2025</v>
      </c>
      <c r="O655" s="14" t="str">
        <f t="shared" si="96"/>
        <v>2025</v>
      </c>
      <c r="P655" s="11" t="s">
        <v>1618</v>
      </c>
      <c r="Q655" s="11" t="s">
        <v>48</v>
      </c>
      <c r="R655" s="11">
        <v>4</v>
      </c>
      <c r="S655" s="11" t="str">
        <f t="shared" si="97"/>
        <v>0 - 4 yrs</v>
      </c>
      <c r="T655" s="12">
        <v>83.8</v>
      </c>
      <c r="U655" s="11" t="str">
        <f t="shared" si="90"/>
        <v>(51 - 100)</v>
      </c>
      <c r="V655" s="12">
        <f t="shared" si="91"/>
        <v>27.387755102040817</v>
      </c>
      <c r="W655" s="12">
        <f t="shared" si="92"/>
        <v>159.30551415797316</v>
      </c>
      <c r="X655" s="12">
        <f t="shared" si="93"/>
        <v>0.12488822652757078</v>
      </c>
    </row>
    <row r="656" spans="1:24">
      <c r="A656" s="11">
        <v>655</v>
      </c>
      <c r="B656" s="11" t="s">
        <v>1744</v>
      </c>
      <c r="C656" s="11" t="s">
        <v>16</v>
      </c>
      <c r="D656" s="11" t="s">
        <v>114</v>
      </c>
      <c r="E656" s="12">
        <v>11.4</v>
      </c>
      <c r="F656" s="11" t="s">
        <v>26</v>
      </c>
      <c r="G656" s="11" t="str">
        <f t="shared" si="98"/>
        <v>Litres</v>
      </c>
      <c r="H656" s="13">
        <v>183</v>
      </c>
      <c r="I656" s="11" t="s">
        <v>19</v>
      </c>
      <c r="J656" s="12">
        <v>80330</v>
      </c>
      <c r="K656" s="12" t="str">
        <f t="shared" si="94"/>
        <v>High</v>
      </c>
      <c r="L656" s="11" t="s">
        <v>20</v>
      </c>
      <c r="M656" s="14">
        <v>45651</v>
      </c>
      <c r="N656" s="14" t="str">
        <f t="shared" si="95"/>
        <v>25/12/2024</v>
      </c>
      <c r="O656" s="14" t="str">
        <f t="shared" si="96"/>
        <v>2024</v>
      </c>
      <c r="P656" s="11" t="s">
        <v>1320</v>
      </c>
      <c r="Q656" s="11" t="s">
        <v>69</v>
      </c>
      <c r="R656" s="11">
        <v>7</v>
      </c>
      <c r="S656" s="11" t="str">
        <f t="shared" si="97"/>
        <v>5 - 8 yrs</v>
      </c>
      <c r="T656" s="12">
        <v>29.9</v>
      </c>
      <c r="U656" s="11" t="str">
        <f t="shared" si="90"/>
        <v>(0 - 50)</v>
      </c>
      <c r="V656" s="12">
        <f t="shared" si="91"/>
        <v>16.052631578947366</v>
      </c>
      <c r="W656" s="12">
        <f t="shared" si="92"/>
        <v>438.96174863387978</v>
      </c>
      <c r="X656" s="12">
        <f t="shared" si="93"/>
        <v>0.16338797814207651</v>
      </c>
    </row>
    <row r="657" spans="1:24">
      <c r="A657" s="11">
        <v>656</v>
      </c>
      <c r="B657" s="11" t="s">
        <v>1746</v>
      </c>
      <c r="C657" s="11" t="s">
        <v>50</v>
      </c>
      <c r="D657" s="11" t="s">
        <v>61</v>
      </c>
      <c r="E657" s="12">
        <v>10</v>
      </c>
      <c r="F657" s="11" t="s">
        <v>26</v>
      </c>
      <c r="G657" s="11" t="str">
        <f t="shared" si="98"/>
        <v>Litres</v>
      </c>
      <c r="H657" s="13">
        <v>677</v>
      </c>
      <c r="I657" s="11" t="s">
        <v>19</v>
      </c>
      <c r="J657" s="12">
        <v>47098</v>
      </c>
      <c r="K657" s="12" t="str">
        <f t="shared" si="94"/>
        <v>Medium</v>
      </c>
      <c r="L657" s="11" t="s">
        <v>20</v>
      </c>
      <c r="M657" s="14">
        <v>45693</v>
      </c>
      <c r="N657" s="14" t="str">
        <f t="shared" si="95"/>
        <v>05/02/2025</v>
      </c>
      <c r="O657" s="14" t="str">
        <f t="shared" si="96"/>
        <v>2025</v>
      </c>
      <c r="P657" s="11" t="s">
        <v>890</v>
      </c>
      <c r="Q657" s="11" t="s">
        <v>441</v>
      </c>
      <c r="R657" s="11">
        <v>16</v>
      </c>
      <c r="S657" s="11" t="str">
        <f t="shared" si="97"/>
        <v>13 - 16 yrs</v>
      </c>
      <c r="T657" s="12">
        <v>0</v>
      </c>
      <c r="U657" s="11" t="str">
        <f t="shared" si="90"/>
        <v>(0 - 50)</v>
      </c>
      <c r="V657" s="12">
        <f t="shared" si="91"/>
        <v>67.7</v>
      </c>
      <c r="W657" s="12">
        <f t="shared" si="92"/>
        <v>69.568685376661747</v>
      </c>
      <c r="X657" s="12">
        <f t="shared" si="93"/>
        <v>0</v>
      </c>
    </row>
    <row r="658" spans="1:24">
      <c r="A658" s="11">
        <v>657</v>
      </c>
      <c r="B658" s="11" t="s">
        <v>1261</v>
      </c>
      <c r="C658" s="11" t="s">
        <v>32</v>
      </c>
      <c r="D658" s="11" t="s">
        <v>17</v>
      </c>
      <c r="E658" s="12">
        <v>87.8</v>
      </c>
      <c r="F658" s="11" t="s">
        <v>26</v>
      </c>
      <c r="G658" s="11" t="str">
        <f t="shared" si="98"/>
        <v>Litres</v>
      </c>
      <c r="H658" s="13">
        <v>499</v>
      </c>
      <c r="I658" s="11" t="s">
        <v>19</v>
      </c>
      <c r="J658" s="12">
        <v>106580</v>
      </c>
      <c r="K658" s="12" t="str">
        <f t="shared" si="94"/>
        <v>Very High</v>
      </c>
      <c r="L658" s="11" t="s">
        <v>20</v>
      </c>
      <c r="M658" s="14">
        <v>45279</v>
      </c>
      <c r="N658" s="14" t="str">
        <f t="shared" si="95"/>
        <v>19/12/2023</v>
      </c>
      <c r="O658" s="14" t="str">
        <f t="shared" si="96"/>
        <v>2023</v>
      </c>
      <c r="P658" s="11" t="s">
        <v>918</v>
      </c>
      <c r="Q658" s="11" t="s">
        <v>441</v>
      </c>
      <c r="R658" s="11">
        <v>9</v>
      </c>
      <c r="S658" s="11" t="str">
        <f t="shared" si="97"/>
        <v>9 - 12 yrs</v>
      </c>
      <c r="T658" s="12">
        <v>230.8</v>
      </c>
      <c r="U658" s="11" t="str">
        <f t="shared" si="90"/>
        <v>(201 - 250)</v>
      </c>
      <c r="V658" s="12">
        <f t="shared" si="91"/>
        <v>5.6833712984054667</v>
      </c>
      <c r="W658" s="12">
        <f t="shared" si="92"/>
        <v>213.5871743486974</v>
      </c>
      <c r="X658" s="12">
        <f t="shared" si="93"/>
        <v>0.4625250501002004</v>
      </c>
    </row>
    <row r="659" spans="1:24">
      <c r="A659" s="11">
        <v>658</v>
      </c>
      <c r="B659" s="11" t="s">
        <v>1749</v>
      </c>
      <c r="C659" s="11" t="s">
        <v>32</v>
      </c>
      <c r="D659" s="11" t="s">
        <v>114</v>
      </c>
      <c r="E659" s="12">
        <v>9.1</v>
      </c>
      <c r="F659" s="11" t="s">
        <v>26</v>
      </c>
      <c r="G659" s="11" t="str">
        <f t="shared" si="98"/>
        <v>Litres</v>
      </c>
      <c r="H659" s="13">
        <v>116</v>
      </c>
      <c r="I659" s="11" t="s">
        <v>19</v>
      </c>
      <c r="J659" s="12">
        <v>100986</v>
      </c>
      <c r="K659" s="12" t="str">
        <f t="shared" si="94"/>
        <v>Very High</v>
      </c>
      <c r="L659" s="11" t="s">
        <v>20</v>
      </c>
      <c r="M659" s="14">
        <v>45155</v>
      </c>
      <c r="N659" s="14" t="str">
        <f t="shared" si="95"/>
        <v>17/08/2023</v>
      </c>
      <c r="O659" s="14" t="str">
        <f t="shared" si="96"/>
        <v>2023</v>
      </c>
      <c r="P659" s="11" t="s">
        <v>904</v>
      </c>
      <c r="Q659" s="11" t="s">
        <v>2648</v>
      </c>
      <c r="R659" s="11">
        <v>4</v>
      </c>
      <c r="S659" s="11" t="str">
        <f t="shared" si="97"/>
        <v>0 - 4 yrs</v>
      </c>
      <c r="T659" s="12">
        <v>30</v>
      </c>
      <c r="U659" s="11" t="str">
        <f t="shared" si="90"/>
        <v>(0 - 50)</v>
      </c>
      <c r="V659" s="12">
        <f t="shared" si="91"/>
        <v>12.747252747252748</v>
      </c>
      <c r="W659" s="12">
        <f t="shared" si="92"/>
        <v>870.56896551724139</v>
      </c>
      <c r="X659" s="12">
        <f t="shared" si="93"/>
        <v>0.25862068965517243</v>
      </c>
    </row>
    <row r="660" spans="1:24">
      <c r="A660" s="11">
        <v>659</v>
      </c>
      <c r="B660" s="11" t="s">
        <v>1751</v>
      </c>
      <c r="C660" s="11" t="s">
        <v>39</v>
      </c>
      <c r="D660" s="11" t="s">
        <v>17</v>
      </c>
      <c r="E660" s="12">
        <v>82.3</v>
      </c>
      <c r="F660" s="11" t="s">
        <v>2643</v>
      </c>
      <c r="G660" s="11" t="str">
        <f t="shared" si="98"/>
        <v>Litres</v>
      </c>
      <c r="H660" s="13">
        <v>451</v>
      </c>
      <c r="I660" s="11" t="s">
        <v>19</v>
      </c>
      <c r="J660" s="12">
        <v>32057</v>
      </c>
      <c r="K660" s="12" t="str">
        <f t="shared" si="94"/>
        <v>Low</v>
      </c>
      <c r="L660" s="11" t="s">
        <v>20</v>
      </c>
      <c r="M660" s="14">
        <v>45563</v>
      </c>
      <c r="N660" s="14" t="str">
        <f t="shared" si="95"/>
        <v>28/09/2024</v>
      </c>
      <c r="O660" s="14" t="str">
        <f t="shared" si="96"/>
        <v>2024</v>
      </c>
      <c r="P660" s="11" t="s">
        <v>1734</v>
      </c>
      <c r="Q660" s="11" t="s">
        <v>2648</v>
      </c>
      <c r="R660" s="11">
        <v>5</v>
      </c>
      <c r="S660" s="11" t="str">
        <f t="shared" si="97"/>
        <v>5 - 8 yrs</v>
      </c>
      <c r="T660" s="12">
        <v>280.8</v>
      </c>
      <c r="U660" s="11" t="str">
        <f t="shared" si="90"/>
        <v>(251 - 300)</v>
      </c>
      <c r="V660" s="12">
        <f t="shared" si="91"/>
        <v>5.479951397326853</v>
      </c>
      <c r="W660" s="12">
        <f t="shared" si="92"/>
        <v>71.079822616407981</v>
      </c>
      <c r="X660" s="12">
        <f t="shared" si="93"/>
        <v>0.6226164079822617</v>
      </c>
    </row>
    <row r="661" spans="1:24">
      <c r="A661" s="11">
        <v>660</v>
      </c>
      <c r="B661" s="11" t="s">
        <v>2568</v>
      </c>
      <c r="C661" s="11" t="s">
        <v>39</v>
      </c>
      <c r="D661" s="11" t="s">
        <v>17</v>
      </c>
      <c r="E661" s="12">
        <v>9.1</v>
      </c>
      <c r="F661" s="11" t="s">
        <v>62</v>
      </c>
      <c r="G661" s="11" t="str">
        <f t="shared" si="98"/>
        <v>kWh</v>
      </c>
      <c r="H661" s="13">
        <v>33</v>
      </c>
      <c r="I661" s="11" t="s">
        <v>19</v>
      </c>
      <c r="J661" s="12">
        <v>106221</v>
      </c>
      <c r="K661" s="12" t="str">
        <f t="shared" si="94"/>
        <v>Very High</v>
      </c>
      <c r="L661" s="11" t="s">
        <v>20</v>
      </c>
      <c r="M661" s="14">
        <v>45795</v>
      </c>
      <c r="N661" s="14" t="str">
        <f t="shared" si="95"/>
        <v>18/05/2025</v>
      </c>
      <c r="O661" s="14" t="str">
        <f t="shared" si="96"/>
        <v>2025</v>
      </c>
      <c r="P661" s="11" t="s">
        <v>1404</v>
      </c>
      <c r="Q661" s="11" t="s">
        <v>54</v>
      </c>
      <c r="R661" s="11">
        <v>2</v>
      </c>
      <c r="S661" s="11" t="str">
        <f t="shared" si="97"/>
        <v>0 - 4 yrs</v>
      </c>
      <c r="T661" s="12">
        <v>25</v>
      </c>
      <c r="U661" s="11" t="str">
        <f t="shared" si="90"/>
        <v>(0 - 50)</v>
      </c>
      <c r="V661" s="12">
        <f t="shared" si="91"/>
        <v>3.6263736263736264</v>
      </c>
      <c r="W661" s="12">
        <f t="shared" si="92"/>
        <v>3218.818181818182</v>
      </c>
      <c r="X661" s="12">
        <f t="shared" si="93"/>
        <v>0.75757575757575757</v>
      </c>
    </row>
    <row r="662" spans="1:24">
      <c r="A662" s="11">
        <v>661</v>
      </c>
      <c r="B662" s="11" t="s">
        <v>1753</v>
      </c>
      <c r="C662" s="11" t="s">
        <v>16</v>
      </c>
      <c r="D662" s="11" t="s">
        <v>17</v>
      </c>
      <c r="E662" s="12">
        <v>42.2</v>
      </c>
      <c r="F662" s="11" t="s">
        <v>41</v>
      </c>
      <c r="G662" s="11" t="str">
        <f t="shared" si="98"/>
        <v>Litres</v>
      </c>
      <c r="H662" s="13">
        <v>607</v>
      </c>
      <c r="I662" s="11" t="s">
        <v>19</v>
      </c>
      <c r="J662" s="12">
        <v>63035</v>
      </c>
      <c r="K662" s="12" t="str">
        <f t="shared" si="94"/>
        <v>Moderate</v>
      </c>
      <c r="L662" s="11" t="s">
        <v>20</v>
      </c>
      <c r="M662" s="14">
        <v>45071</v>
      </c>
      <c r="N662" s="14" t="str">
        <f t="shared" si="95"/>
        <v>25/05/2023</v>
      </c>
      <c r="O662" s="14" t="str">
        <f t="shared" si="96"/>
        <v>2023</v>
      </c>
      <c r="P662" s="11" t="s">
        <v>1420</v>
      </c>
      <c r="Q662" s="11" t="s">
        <v>48</v>
      </c>
      <c r="R662" s="11">
        <v>8</v>
      </c>
      <c r="S662" s="11" t="str">
        <f t="shared" si="97"/>
        <v>5 - 8 yrs</v>
      </c>
      <c r="T662" s="12">
        <v>93.3</v>
      </c>
      <c r="U662" s="11" t="str">
        <f t="shared" si="90"/>
        <v>(51 - 100)</v>
      </c>
      <c r="V662" s="12">
        <f t="shared" si="91"/>
        <v>14.383886255924169</v>
      </c>
      <c r="W662" s="12">
        <f t="shared" si="92"/>
        <v>103.84678747940691</v>
      </c>
      <c r="X662" s="12">
        <f t="shared" si="93"/>
        <v>0.15370675453047775</v>
      </c>
    </row>
    <row r="663" spans="1:24">
      <c r="A663" s="11">
        <v>662</v>
      </c>
      <c r="B663" s="11" t="s">
        <v>546</v>
      </c>
      <c r="C663" s="11" t="s">
        <v>39</v>
      </c>
      <c r="D663" s="11" t="s">
        <v>33</v>
      </c>
      <c r="E663" s="12">
        <v>94.5</v>
      </c>
      <c r="F663" s="11" t="s">
        <v>26</v>
      </c>
      <c r="G663" s="11" t="str">
        <f t="shared" si="98"/>
        <v>Litres</v>
      </c>
      <c r="H663" s="13">
        <v>27</v>
      </c>
      <c r="I663" s="11" t="s">
        <v>19</v>
      </c>
      <c r="J663" s="12">
        <v>101448</v>
      </c>
      <c r="K663" s="12" t="str">
        <f t="shared" si="94"/>
        <v>Very High</v>
      </c>
      <c r="L663" s="11" t="s">
        <v>20</v>
      </c>
      <c r="M663" s="14">
        <v>45217</v>
      </c>
      <c r="N663" s="14" t="str">
        <f t="shared" si="95"/>
        <v>18/10/2023</v>
      </c>
      <c r="O663" s="14" t="str">
        <f t="shared" si="96"/>
        <v>2023</v>
      </c>
      <c r="P663" s="11" t="s">
        <v>1755</v>
      </c>
      <c r="Q663" s="11" t="s">
        <v>2648</v>
      </c>
      <c r="R663" s="11">
        <v>16</v>
      </c>
      <c r="S663" s="11" t="str">
        <f t="shared" si="97"/>
        <v>13 - 16 yrs</v>
      </c>
      <c r="T663" s="12">
        <v>254.9</v>
      </c>
      <c r="U663" s="11" t="str">
        <f t="shared" si="90"/>
        <v>(251 - 300)</v>
      </c>
      <c r="V663" s="12">
        <f t="shared" si="91"/>
        <v>0.2857142857142857</v>
      </c>
      <c r="W663" s="12">
        <f t="shared" si="92"/>
        <v>3757.3333333333335</v>
      </c>
      <c r="X663" s="12">
        <f t="shared" si="93"/>
        <v>9.4407407407407415</v>
      </c>
    </row>
    <row r="664" spans="1:24">
      <c r="A664" s="11">
        <v>663</v>
      </c>
      <c r="B664" s="11" t="s">
        <v>2569</v>
      </c>
      <c r="C664" s="11" t="s">
        <v>16</v>
      </c>
      <c r="D664" s="11" t="s">
        <v>61</v>
      </c>
      <c r="E664" s="12">
        <v>10</v>
      </c>
      <c r="F664" s="11" t="s">
        <v>41</v>
      </c>
      <c r="G664" s="11" t="str">
        <f t="shared" si="98"/>
        <v>Litres</v>
      </c>
      <c r="H664" s="13">
        <v>23</v>
      </c>
      <c r="I664" s="11" t="s">
        <v>19</v>
      </c>
      <c r="J664" s="12">
        <v>50540</v>
      </c>
      <c r="K664" s="12" t="str">
        <f t="shared" si="94"/>
        <v>Medium</v>
      </c>
      <c r="L664" s="11" t="s">
        <v>20</v>
      </c>
      <c r="M664" s="14">
        <v>45197</v>
      </c>
      <c r="N664" s="14" t="str">
        <f t="shared" si="95"/>
        <v>28/09/2023</v>
      </c>
      <c r="O664" s="14" t="str">
        <f t="shared" si="96"/>
        <v>2023</v>
      </c>
      <c r="P664" s="11" t="s">
        <v>880</v>
      </c>
      <c r="Q664" s="11" t="s">
        <v>2648</v>
      </c>
      <c r="R664" s="11">
        <v>19</v>
      </c>
      <c r="S664" s="11" t="str">
        <f t="shared" si="97"/>
        <v>17 + yrs</v>
      </c>
      <c r="T664" s="12">
        <v>0</v>
      </c>
      <c r="U664" s="11" t="str">
        <f t="shared" si="90"/>
        <v>(0 - 50)</v>
      </c>
      <c r="V664" s="12">
        <f t="shared" si="91"/>
        <v>2.2999999999999998</v>
      </c>
      <c r="W664" s="12">
        <f t="shared" si="92"/>
        <v>2197.391304347826</v>
      </c>
      <c r="X664" s="12">
        <f t="shared" si="93"/>
        <v>0</v>
      </c>
    </row>
    <row r="665" spans="1:24">
      <c r="A665" s="11">
        <v>664</v>
      </c>
      <c r="B665" s="11" t="s">
        <v>1758</v>
      </c>
      <c r="C665" s="11" t="s">
        <v>50</v>
      </c>
      <c r="D665" s="11" t="s">
        <v>61</v>
      </c>
      <c r="E665" s="12">
        <v>10</v>
      </c>
      <c r="F665" s="11" t="s">
        <v>56</v>
      </c>
      <c r="G665" s="11" t="str">
        <f t="shared" si="98"/>
        <v>Litres</v>
      </c>
      <c r="H665" s="13">
        <v>584</v>
      </c>
      <c r="I665" s="11" t="s">
        <v>19</v>
      </c>
      <c r="J665" s="12">
        <v>54954</v>
      </c>
      <c r="K665" s="12" t="str">
        <f t="shared" si="94"/>
        <v>Moderate</v>
      </c>
      <c r="L665" s="11" t="s">
        <v>20</v>
      </c>
      <c r="M665" s="14">
        <v>44982</v>
      </c>
      <c r="N665" s="14" t="str">
        <f t="shared" si="95"/>
        <v>25/02/2023</v>
      </c>
      <c r="O665" s="14" t="str">
        <f t="shared" si="96"/>
        <v>2023</v>
      </c>
      <c r="P665" s="11" t="s">
        <v>1760</v>
      </c>
      <c r="Q665" s="11" t="s">
        <v>117</v>
      </c>
      <c r="R665" s="11">
        <v>15</v>
      </c>
      <c r="S665" s="11" t="str">
        <f t="shared" si="97"/>
        <v>13 - 16 yrs</v>
      </c>
      <c r="T665" s="12">
        <v>0</v>
      </c>
      <c r="U665" s="11" t="str">
        <f t="shared" si="90"/>
        <v>(0 - 50)</v>
      </c>
      <c r="V665" s="12">
        <f t="shared" si="91"/>
        <v>58.4</v>
      </c>
      <c r="W665" s="12">
        <f t="shared" si="92"/>
        <v>94.099315068493155</v>
      </c>
      <c r="X665" s="12">
        <f t="shared" si="93"/>
        <v>0</v>
      </c>
    </row>
    <row r="666" spans="1:24">
      <c r="A666" s="11">
        <v>665</v>
      </c>
      <c r="B666" s="11" t="s">
        <v>1761</v>
      </c>
      <c r="C666" s="11" t="s">
        <v>39</v>
      </c>
      <c r="D666" s="11" t="s">
        <v>114</v>
      </c>
      <c r="E666" s="12">
        <v>9.1</v>
      </c>
      <c r="F666" s="11" t="s">
        <v>56</v>
      </c>
      <c r="G666" s="11" t="str">
        <f t="shared" si="98"/>
        <v>Litres</v>
      </c>
      <c r="H666" s="13">
        <v>588</v>
      </c>
      <c r="I666" s="11" t="s">
        <v>19</v>
      </c>
      <c r="J666" s="12">
        <v>60851</v>
      </c>
      <c r="K666" s="12" t="str">
        <f t="shared" si="94"/>
        <v>Moderate</v>
      </c>
      <c r="L666" s="11" t="s">
        <v>20</v>
      </c>
      <c r="M666" s="14">
        <v>45424</v>
      </c>
      <c r="N666" s="14" t="str">
        <f t="shared" si="95"/>
        <v>12/05/2024</v>
      </c>
      <c r="O666" s="14" t="str">
        <f t="shared" si="96"/>
        <v>2024</v>
      </c>
      <c r="P666" s="11" t="s">
        <v>1763</v>
      </c>
      <c r="Q666" s="11" t="s">
        <v>59</v>
      </c>
      <c r="R666" s="11">
        <v>20</v>
      </c>
      <c r="S666" s="11" t="str">
        <f t="shared" si="97"/>
        <v>17 + yrs</v>
      </c>
      <c r="T666" s="12">
        <v>20</v>
      </c>
      <c r="U666" s="11" t="str">
        <f t="shared" si="90"/>
        <v>(0 - 50)</v>
      </c>
      <c r="V666" s="12">
        <f t="shared" si="91"/>
        <v>64.615384615384613</v>
      </c>
      <c r="W666" s="12">
        <f t="shared" si="92"/>
        <v>103.48809523809524</v>
      </c>
      <c r="X666" s="12">
        <f t="shared" si="93"/>
        <v>3.4013605442176874E-2</v>
      </c>
    </row>
    <row r="667" spans="1:24">
      <c r="A667" s="11">
        <v>666</v>
      </c>
      <c r="B667" s="11" t="s">
        <v>2570</v>
      </c>
      <c r="C667" s="11" t="s">
        <v>50</v>
      </c>
      <c r="D667" s="11" t="s">
        <v>33</v>
      </c>
      <c r="E667" s="12">
        <v>65.5</v>
      </c>
      <c r="F667" s="11" t="s">
        <v>41</v>
      </c>
      <c r="G667" s="11" t="str">
        <f t="shared" si="98"/>
        <v>Litres</v>
      </c>
      <c r="H667" s="13">
        <v>63</v>
      </c>
      <c r="I667" s="11" t="s">
        <v>19</v>
      </c>
      <c r="J667" s="12">
        <v>18068</v>
      </c>
      <c r="K667" s="12" t="str">
        <f t="shared" si="94"/>
        <v>Low</v>
      </c>
      <c r="L667" s="11" t="s">
        <v>20</v>
      </c>
      <c r="M667" s="14">
        <v>45326</v>
      </c>
      <c r="N667" s="14" t="str">
        <f t="shared" si="95"/>
        <v>04/02/2024</v>
      </c>
      <c r="O667" s="14" t="str">
        <f t="shared" si="96"/>
        <v>2024</v>
      </c>
      <c r="P667" s="11" t="s">
        <v>678</v>
      </c>
      <c r="Q667" s="11" t="s">
        <v>86</v>
      </c>
      <c r="R667" s="11">
        <v>14</v>
      </c>
      <c r="S667" s="11" t="str">
        <f t="shared" si="97"/>
        <v>13 - 16 yrs</v>
      </c>
      <c r="T667" s="12">
        <v>226.4</v>
      </c>
      <c r="U667" s="11" t="str">
        <f t="shared" si="90"/>
        <v>(201 - 250)</v>
      </c>
      <c r="V667" s="12">
        <f t="shared" si="91"/>
        <v>0.96183206106870234</v>
      </c>
      <c r="W667" s="12">
        <f t="shared" si="92"/>
        <v>286.79365079365078</v>
      </c>
      <c r="X667" s="12">
        <f t="shared" si="93"/>
        <v>3.5936507936507938</v>
      </c>
    </row>
    <row r="668" spans="1:24">
      <c r="A668" s="11">
        <v>667</v>
      </c>
      <c r="B668" s="11" t="s">
        <v>1765</v>
      </c>
      <c r="C668" s="11" t="s">
        <v>32</v>
      </c>
      <c r="D668" s="11" t="s">
        <v>61</v>
      </c>
      <c r="E668" s="12">
        <v>10</v>
      </c>
      <c r="F668" s="11" t="s">
        <v>2643</v>
      </c>
      <c r="G668" s="11" t="str">
        <f t="shared" si="98"/>
        <v>Litres</v>
      </c>
      <c r="H668" s="13">
        <v>364</v>
      </c>
      <c r="I668" s="11" t="s">
        <v>19</v>
      </c>
      <c r="J668" s="12">
        <v>8926</v>
      </c>
      <c r="K668" s="12" t="str">
        <f t="shared" si="94"/>
        <v>Very Low</v>
      </c>
      <c r="L668" s="11" t="s">
        <v>20</v>
      </c>
      <c r="M668" s="14">
        <v>45779</v>
      </c>
      <c r="N668" s="14" t="str">
        <f t="shared" si="95"/>
        <v>02/05/2025</v>
      </c>
      <c r="O668" s="14" t="str">
        <f t="shared" si="96"/>
        <v>2025</v>
      </c>
      <c r="P668" s="11" t="s">
        <v>1767</v>
      </c>
      <c r="Q668" s="11" t="s">
        <v>86</v>
      </c>
      <c r="R668" s="11">
        <v>16</v>
      </c>
      <c r="S668" s="11" t="str">
        <f t="shared" si="97"/>
        <v>13 - 16 yrs</v>
      </c>
      <c r="T668" s="12">
        <v>0</v>
      </c>
      <c r="U668" s="11" t="str">
        <f t="shared" si="90"/>
        <v>(0 - 50)</v>
      </c>
      <c r="V668" s="12">
        <f t="shared" si="91"/>
        <v>36.4</v>
      </c>
      <c r="W668" s="12">
        <f t="shared" si="92"/>
        <v>24.521978021978022</v>
      </c>
      <c r="X668" s="12">
        <f t="shared" si="93"/>
        <v>0</v>
      </c>
    </row>
    <row r="669" spans="1:24">
      <c r="A669" s="11">
        <v>668</v>
      </c>
      <c r="B669" s="11" t="s">
        <v>2571</v>
      </c>
      <c r="C669" s="11" t="s">
        <v>32</v>
      </c>
      <c r="D669" s="11" t="s">
        <v>17</v>
      </c>
      <c r="E669" s="12">
        <v>6.4</v>
      </c>
      <c r="F669" s="11" t="s">
        <v>56</v>
      </c>
      <c r="G669" s="11" t="str">
        <f t="shared" si="98"/>
        <v>Litres</v>
      </c>
      <c r="H669" s="13">
        <v>500</v>
      </c>
      <c r="I669" s="11" t="s">
        <v>19</v>
      </c>
      <c r="J669" s="12">
        <v>35610</v>
      </c>
      <c r="K669" s="12" t="str">
        <f t="shared" si="94"/>
        <v>Low</v>
      </c>
      <c r="L669" s="11" t="s">
        <v>20</v>
      </c>
      <c r="M669" s="14">
        <v>45655</v>
      </c>
      <c r="N669" s="14" t="str">
        <f t="shared" si="95"/>
        <v>29/12/2024</v>
      </c>
      <c r="O669" s="14" t="str">
        <f t="shared" si="96"/>
        <v>2024</v>
      </c>
      <c r="P669" s="11" t="s">
        <v>1770</v>
      </c>
      <c r="Q669" s="11" t="s">
        <v>59</v>
      </c>
      <c r="R669" s="11">
        <v>3</v>
      </c>
      <c r="S669" s="11" t="str">
        <f t="shared" si="97"/>
        <v>0 - 4 yrs</v>
      </c>
      <c r="T669" s="12">
        <v>20.100000000000001</v>
      </c>
      <c r="U669" s="11" t="str">
        <f t="shared" si="90"/>
        <v>(0 - 50)</v>
      </c>
      <c r="V669" s="12">
        <f t="shared" si="91"/>
        <v>78.125</v>
      </c>
      <c r="W669" s="12">
        <f t="shared" si="92"/>
        <v>71.22</v>
      </c>
      <c r="X669" s="12">
        <f t="shared" si="93"/>
        <v>4.02E-2</v>
      </c>
    </row>
    <row r="670" spans="1:24">
      <c r="A670" s="11">
        <v>669</v>
      </c>
      <c r="B670" s="11" t="s">
        <v>411</v>
      </c>
      <c r="C670" s="11" t="s">
        <v>50</v>
      </c>
      <c r="D670" s="11" t="s">
        <v>17</v>
      </c>
      <c r="E670" s="12">
        <v>55.1</v>
      </c>
      <c r="F670" s="11" t="s">
        <v>2643</v>
      </c>
      <c r="G670" s="11" t="str">
        <f t="shared" si="98"/>
        <v>Litres</v>
      </c>
      <c r="H670" s="13">
        <v>244</v>
      </c>
      <c r="I670" s="11" t="s">
        <v>19</v>
      </c>
      <c r="J670" s="12">
        <v>57942</v>
      </c>
      <c r="K670" s="12" t="str">
        <f t="shared" si="94"/>
        <v>Moderate</v>
      </c>
      <c r="L670" s="11" t="s">
        <v>20</v>
      </c>
      <c r="M670" s="14">
        <v>45142</v>
      </c>
      <c r="N670" s="14" t="str">
        <f t="shared" si="95"/>
        <v>04/08/2023</v>
      </c>
      <c r="O670" s="14" t="str">
        <f t="shared" si="96"/>
        <v>2023</v>
      </c>
      <c r="P670" s="11" t="s">
        <v>410</v>
      </c>
      <c r="Q670" s="11" t="s">
        <v>121</v>
      </c>
      <c r="R670" s="11">
        <v>4</v>
      </c>
      <c r="S670" s="11" t="str">
        <f t="shared" si="97"/>
        <v>0 - 4 yrs</v>
      </c>
      <c r="T670" s="12">
        <v>138</v>
      </c>
      <c r="U670" s="11" t="str">
        <f t="shared" si="90"/>
        <v>(101 - 150)</v>
      </c>
      <c r="V670" s="12">
        <f t="shared" si="91"/>
        <v>4.4283121597096189</v>
      </c>
      <c r="W670" s="12">
        <f t="shared" si="92"/>
        <v>237.46721311475409</v>
      </c>
      <c r="X670" s="12">
        <f t="shared" si="93"/>
        <v>0.56557377049180324</v>
      </c>
    </row>
    <row r="671" spans="1:24">
      <c r="A671" s="11">
        <v>670</v>
      </c>
      <c r="B671" s="11" t="s">
        <v>2572</v>
      </c>
      <c r="C671" s="11" t="s">
        <v>50</v>
      </c>
      <c r="D671" s="11" t="s">
        <v>33</v>
      </c>
      <c r="E671" s="12">
        <v>56.1</v>
      </c>
      <c r="F671" s="11" t="s">
        <v>26</v>
      </c>
      <c r="G671" s="11" t="str">
        <f t="shared" si="98"/>
        <v>Litres</v>
      </c>
      <c r="H671" s="13">
        <v>662</v>
      </c>
      <c r="I671" s="11" t="s">
        <v>19</v>
      </c>
      <c r="J671" s="12">
        <v>14465</v>
      </c>
      <c r="K671" s="12" t="str">
        <f t="shared" si="94"/>
        <v>Very Low</v>
      </c>
      <c r="L671" s="11" t="s">
        <v>20</v>
      </c>
      <c r="M671" s="14">
        <v>45556</v>
      </c>
      <c r="N671" s="14" t="str">
        <f t="shared" si="95"/>
        <v>21/09/2024</v>
      </c>
      <c r="O671" s="14" t="str">
        <f t="shared" si="96"/>
        <v>2024</v>
      </c>
      <c r="P671" s="11" t="s">
        <v>1774</v>
      </c>
      <c r="Q671" s="11" t="s">
        <v>69</v>
      </c>
      <c r="R671" s="11">
        <v>19</v>
      </c>
      <c r="S671" s="11" t="str">
        <f t="shared" si="97"/>
        <v>17 + yrs</v>
      </c>
      <c r="T671" s="12">
        <v>153</v>
      </c>
      <c r="U671" s="11" t="str">
        <f t="shared" si="90"/>
        <v>(151 - 200)</v>
      </c>
      <c r="V671" s="12">
        <f t="shared" si="91"/>
        <v>11.80035650623886</v>
      </c>
      <c r="W671" s="12">
        <f t="shared" si="92"/>
        <v>21.850453172205437</v>
      </c>
      <c r="X671" s="12">
        <f t="shared" si="93"/>
        <v>0.23111782477341389</v>
      </c>
    </row>
    <row r="672" spans="1:24">
      <c r="A672" s="11">
        <v>671</v>
      </c>
      <c r="B672" s="11" t="s">
        <v>2573</v>
      </c>
      <c r="C672" s="11" t="s">
        <v>50</v>
      </c>
      <c r="D672" s="11" t="s">
        <v>61</v>
      </c>
      <c r="E672" s="12">
        <v>10</v>
      </c>
      <c r="F672" s="11" t="s">
        <v>26</v>
      </c>
      <c r="G672" s="11" t="str">
        <f t="shared" si="98"/>
        <v>Litres</v>
      </c>
      <c r="H672" s="13">
        <v>27</v>
      </c>
      <c r="I672" s="11" t="s">
        <v>19</v>
      </c>
      <c r="J672" s="12">
        <v>37269</v>
      </c>
      <c r="K672" s="12" t="str">
        <f t="shared" si="94"/>
        <v>Medium</v>
      </c>
      <c r="L672" s="11" t="s">
        <v>20</v>
      </c>
      <c r="M672" s="14">
        <v>45459</v>
      </c>
      <c r="N672" s="14" t="str">
        <f t="shared" si="95"/>
        <v>16/06/2024</v>
      </c>
      <c r="O672" s="14" t="str">
        <f t="shared" si="96"/>
        <v>2024</v>
      </c>
      <c r="P672" s="11" t="s">
        <v>1777</v>
      </c>
      <c r="Q672" s="11" t="s">
        <v>441</v>
      </c>
      <c r="R672" s="11">
        <v>7</v>
      </c>
      <c r="S672" s="11" t="str">
        <f t="shared" si="97"/>
        <v>5 - 8 yrs</v>
      </c>
      <c r="T672" s="12">
        <v>0</v>
      </c>
      <c r="U672" s="11" t="str">
        <f t="shared" si="90"/>
        <v>(0 - 50)</v>
      </c>
      <c r="V672" s="12">
        <f t="shared" si="91"/>
        <v>2.7</v>
      </c>
      <c r="W672" s="12">
        <f t="shared" si="92"/>
        <v>1380.3333333333333</v>
      </c>
      <c r="X672" s="12">
        <f t="shared" si="93"/>
        <v>0</v>
      </c>
    </row>
    <row r="673" spans="1:24">
      <c r="A673" s="11">
        <v>672</v>
      </c>
      <c r="B673" s="11" t="s">
        <v>2574</v>
      </c>
      <c r="C673" s="11" t="s">
        <v>39</v>
      </c>
      <c r="D673" s="11" t="s">
        <v>33</v>
      </c>
      <c r="E673" s="12">
        <v>85.3</v>
      </c>
      <c r="F673" s="11" t="s">
        <v>62</v>
      </c>
      <c r="G673" s="11" t="str">
        <f t="shared" si="98"/>
        <v>kWh</v>
      </c>
      <c r="H673" s="13">
        <v>621</v>
      </c>
      <c r="I673" s="11" t="s">
        <v>19</v>
      </c>
      <c r="J673" s="12">
        <v>17017</v>
      </c>
      <c r="K673" s="12" t="str">
        <f t="shared" si="94"/>
        <v>Very Low</v>
      </c>
      <c r="L673" s="11" t="s">
        <v>20</v>
      </c>
      <c r="M673" s="14">
        <v>45684</v>
      </c>
      <c r="N673" s="14" t="str">
        <f t="shared" si="95"/>
        <v>27/01/2025</v>
      </c>
      <c r="O673" s="14" t="str">
        <f t="shared" si="96"/>
        <v>2025</v>
      </c>
      <c r="P673" s="11" t="s">
        <v>1779</v>
      </c>
      <c r="Q673" s="11" t="s">
        <v>117</v>
      </c>
      <c r="R673" s="11">
        <v>6</v>
      </c>
      <c r="S673" s="11" t="str">
        <f t="shared" si="97"/>
        <v>5 - 8 yrs</v>
      </c>
      <c r="T673" s="12">
        <v>254.7</v>
      </c>
      <c r="U673" s="11" t="str">
        <f t="shared" ref="U673:U736" si="99">IF(T673&lt;=50,"(0 - 50)",IF(T673&lt;=100,"(51 - 100)",IF(T673&lt;=150,"(101 - 150)",IF(T673&lt;=200,"(151 - 200)",IF(T673&lt;=250,"(201 - 250)",IF(T673&lt;=300,"(251 - 300)","(301 - 350)"))))))</f>
        <v>(251 - 300)</v>
      </c>
      <c r="V673" s="12">
        <f t="shared" ref="V673:V736" si="100">H673/E673</f>
        <v>7.2801875732708092</v>
      </c>
      <c r="W673" s="12">
        <f t="shared" ref="W673:W736" si="101">J673/H673</f>
        <v>27.402576489533011</v>
      </c>
      <c r="X673" s="12">
        <f t="shared" ref="X673:X736" si="102">T673/H673</f>
        <v>0.41014492753623188</v>
      </c>
    </row>
    <row r="674" spans="1:24">
      <c r="A674" s="11">
        <v>673</v>
      </c>
      <c r="B674" s="11" t="s">
        <v>2575</v>
      </c>
      <c r="C674" s="11" t="s">
        <v>16</v>
      </c>
      <c r="D674" s="11" t="s">
        <v>33</v>
      </c>
      <c r="E674" s="12">
        <v>72.3</v>
      </c>
      <c r="F674" s="11" t="s">
        <v>56</v>
      </c>
      <c r="G674" s="11" t="str">
        <f t="shared" si="98"/>
        <v>Litres</v>
      </c>
      <c r="H674" s="13">
        <v>473</v>
      </c>
      <c r="I674" s="11" t="s">
        <v>19</v>
      </c>
      <c r="J674" s="12">
        <v>29403</v>
      </c>
      <c r="K674" s="12" t="str">
        <f t="shared" si="94"/>
        <v>Low</v>
      </c>
      <c r="L674" s="11" t="s">
        <v>20</v>
      </c>
      <c r="M674" s="14">
        <v>45433</v>
      </c>
      <c r="N674" s="14" t="str">
        <f t="shared" si="95"/>
        <v>21/05/2024</v>
      </c>
      <c r="O674" s="14" t="str">
        <f t="shared" si="96"/>
        <v>2024</v>
      </c>
      <c r="P674" s="11" t="s">
        <v>642</v>
      </c>
      <c r="Q674" s="11" t="s">
        <v>54</v>
      </c>
      <c r="R674" s="11">
        <v>2</v>
      </c>
      <c r="S674" s="11" t="str">
        <f t="shared" si="97"/>
        <v>0 - 4 yrs</v>
      </c>
      <c r="T674" s="12">
        <v>233.3</v>
      </c>
      <c r="U674" s="11" t="str">
        <f t="shared" si="99"/>
        <v>(201 - 250)</v>
      </c>
      <c r="V674" s="12">
        <f t="shared" si="100"/>
        <v>6.5421853388658366</v>
      </c>
      <c r="W674" s="12">
        <f t="shared" si="101"/>
        <v>62.162790697674417</v>
      </c>
      <c r="X674" s="12">
        <f t="shared" si="102"/>
        <v>0.49323467230443979</v>
      </c>
    </row>
    <row r="675" spans="1:24">
      <c r="A675" s="11">
        <v>674</v>
      </c>
      <c r="B675" s="11" t="s">
        <v>1781</v>
      </c>
      <c r="C675" s="11" t="s">
        <v>16</v>
      </c>
      <c r="D675" s="11" t="s">
        <v>33</v>
      </c>
      <c r="E675" s="12">
        <v>70.2</v>
      </c>
      <c r="F675" s="11" t="s">
        <v>62</v>
      </c>
      <c r="G675" s="11" t="str">
        <f t="shared" si="98"/>
        <v>kWh</v>
      </c>
      <c r="H675" s="13">
        <v>374</v>
      </c>
      <c r="I675" s="11" t="s">
        <v>19</v>
      </c>
      <c r="J675" s="12">
        <v>25407</v>
      </c>
      <c r="K675" s="12" t="str">
        <f t="shared" si="94"/>
        <v>Low</v>
      </c>
      <c r="L675" s="11" t="s">
        <v>20</v>
      </c>
      <c r="M675" s="14">
        <v>45213</v>
      </c>
      <c r="N675" s="14" t="str">
        <f t="shared" si="95"/>
        <v>14/10/2023</v>
      </c>
      <c r="O675" s="14" t="str">
        <f t="shared" si="96"/>
        <v>2023</v>
      </c>
      <c r="P675" s="11" t="s">
        <v>455</v>
      </c>
      <c r="Q675" s="11" t="s">
        <v>112</v>
      </c>
      <c r="R675" s="11">
        <v>16</v>
      </c>
      <c r="S675" s="11" t="str">
        <f t="shared" si="97"/>
        <v>13 - 16 yrs</v>
      </c>
      <c r="T675" s="12">
        <v>219.6</v>
      </c>
      <c r="U675" s="11" t="str">
        <f t="shared" si="99"/>
        <v>(201 - 250)</v>
      </c>
      <c r="V675" s="12">
        <f t="shared" si="100"/>
        <v>5.3276353276353277</v>
      </c>
      <c r="W675" s="12">
        <f t="shared" si="101"/>
        <v>67.933155080213908</v>
      </c>
      <c r="X675" s="12">
        <f t="shared" si="102"/>
        <v>0.58716577540106951</v>
      </c>
    </row>
    <row r="676" spans="1:24">
      <c r="A676" s="11">
        <v>675</v>
      </c>
      <c r="B676" s="11" t="s">
        <v>1783</v>
      </c>
      <c r="C676" s="11" t="s">
        <v>50</v>
      </c>
      <c r="D676" s="11" t="s">
        <v>33</v>
      </c>
      <c r="E676" s="12">
        <v>38.700000000000003</v>
      </c>
      <c r="F676" s="11" t="s">
        <v>41</v>
      </c>
      <c r="G676" s="11" t="str">
        <f t="shared" si="98"/>
        <v>Litres</v>
      </c>
      <c r="H676" s="13">
        <v>486</v>
      </c>
      <c r="I676" s="11" t="s">
        <v>19</v>
      </c>
      <c r="J676" s="12">
        <v>73667</v>
      </c>
      <c r="K676" s="12" t="str">
        <f t="shared" si="94"/>
        <v>High</v>
      </c>
      <c r="L676" s="11" t="s">
        <v>20</v>
      </c>
      <c r="M676" s="14">
        <v>45501</v>
      </c>
      <c r="N676" s="14" t="str">
        <f t="shared" si="95"/>
        <v>28/07/2024</v>
      </c>
      <c r="O676" s="14" t="str">
        <f t="shared" si="96"/>
        <v>2024</v>
      </c>
      <c r="P676" s="11" t="s">
        <v>1098</v>
      </c>
      <c r="Q676" s="11" t="s">
        <v>48</v>
      </c>
      <c r="R676" s="11">
        <v>4</v>
      </c>
      <c r="S676" s="11" t="str">
        <f t="shared" si="97"/>
        <v>0 - 4 yrs</v>
      </c>
      <c r="T676" s="12">
        <v>128.1</v>
      </c>
      <c r="U676" s="11" t="str">
        <f t="shared" si="99"/>
        <v>(101 - 150)</v>
      </c>
      <c r="V676" s="12">
        <f t="shared" si="100"/>
        <v>12.55813953488372</v>
      </c>
      <c r="W676" s="12">
        <f t="shared" si="101"/>
        <v>151.57818930041151</v>
      </c>
      <c r="X676" s="12">
        <f t="shared" si="102"/>
        <v>0.26358024691358023</v>
      </c>
    </row>
    <row r="677" spans="1:24">
      <c r="A677" s="11">
        <v>676</v>
      </c>
      <c r="B677" s="11" t="s">
        <v>1785</v>
      </c>
      <c r="C677" s="11" t="s">
        <v>16</v>
      </c>
      <c r="D677" s="11" t="s">
        <v>17</v>
      </c>
      <c r="E677" s="12">
        <v>24.1</v>
      </c>
      <c r="F677" s="11" t="s">
        <v>62</v>
      </c>
      <c r="G677" s="11" t="str">
        <f t="shared" si="98"/>
        <v>kWh</v>
      </c>
      <c r="H677" s="13">
        <v>283</v>
      </c>
      <c r="I677" s="11" t="s">
        <v>19</v>
      </c>
      <c r="J677" s="12">
        <v>61146</v>
      </c>
      <c r="K677" s="12" t="str">
        <f t="shared" si="94"/>
        <v>Moderate</v>
      </c>
      <c r="L677" s="11" t="s">
        <v>20</v>
      </c>
      <c r="M677" s="14">
        <v>45107</v>
      </c>
      <c r="N677" s="14" t="str">
        <f t="shared" si="95"/>
        <v>30/06/2023</v>
      </c>
      <c r="O677" s="14" t="str">
        <f t="shared" si="96"/>
        <v>2023</v>
      </c>
      <c r="P677" s="11" t="s">
        <v>1116</v>
      </c>
      <c r="Q677" s="11" t="s">
        <v>121</v>
      </c>
      <c r="R677" s="11">
        <v>3</v>
      </c>
      <c r="S677" s="11" t="str">
        <f t="shared" si="97"/>
        <v>0 - 4 yrs</v>
      </c>
      <c r="T677" s="12">
        <v>52</v>
      </c>
      <c r="U677" s="11" t="str">
        <f t="shared" si="99"/>
        <v>(51 - 100)</v>
      </c>
      <c r="V677" s="12">
        <f t="shared" si="100"/>
        <v>11.742738589211617</v>
      </c>
      <c r="W677" s="12">
        <f t="shared" si="101"/>
        <v>216.06360424028267</v>
      </c>
      <c r="X677" s="12">
        <f t="shared" si="102"/>
        <v>0.18374558303886926</v>
      </c>
    </row>
    <row r="678" spans="1:24">
      <c r="A678" s="11">
        <v>677</v>
      </c>
      <c r="B678" s="11" t="s">
        <v>2576</v>
      </c>
      <c r="C678" s="11" t="s">
        <v>39</v>
      </c>
      <c r="D678" s="11" t="s">
        <v>33</v>
      </c>
      <c r="E678" s="12">
        <v>79.3</v>
      </c>
      <c r="F678" s="11" t="s">
        <v>62</v>
      </c>
      <c r="G678" s="11" t="str">
        <f t="shared" si="98"/>
        <v>kWh</v>
      </c>
      <c r="H678" s="13">
        <v>24</v>
      </c>
      <c r="I678" s="11" t="s">
        <v>19</v>
      </c>
      <c r="J678" s="12">
        <v>28956</v>
      </c>
      <c r="K678" s="12" t="str">
        <f t="shared" ref="K678:K741" si="103">IF(J678&lt;18000,"Very Low",IF(J678&lt;36000,"Low",IF(J678&lt;54000,"Medium",IF(J678&lt;72000,"Moderate",IF(J678&lt;90000,"High",IF(J678&lt;108000,"Very High","Extreme"))))))</f>
        <v>Low</v>
      </c>
      <c r="L678" s="11" t="s">
        <v>20</v>
      </c>
      <c r="M678" s="14">
        <v>45117</v>
      </c>
      <c r="N678" s="14" t="str">
        <f t="shared" ref="N678:N741" si="104">TEXT(M678,"dd/mm/yyyy")</f>
        <v>10/07/2023</v>
      </c>
      <c r="O678" s="14" t="str">
        <f t="shared" ref="O678:O741" si="105">TEXT(M678,"yyyy")</f>
        <v>2023</v>
      </c>
      <c r="P678" s="11" t="s">
        <v>1788</v>
      </c>
      <c r="Q678" s="11" t="s">
        <v>2648</v>
      </c>
      <c r="R678" s="11">
        <v>11</v>
      </c>
      <c r="S678" s="11" t="str">
        <f t="shared" ref="S678:S741" si="106">IF(R678&lt;=4,"0 - 4 yrs",IF(R678&lt;=8,"5 - 8 yrs",IF(R678&lt;=12,"9 - 12 yrs",IF(R678&lt;=16,"13 - 16 yrs","17 + yrs"))))</f>
        <v>9 - 12 yrs</v>
      </c>
      <c r="T678" s="12">
        <v>184</v>
      </c>
      <c r="U678" s="11" t="str">
        <f t="shared" si="99"/>
        <v>(151 - 200)</v>
      </c>
      <c r="V678" s="12">
        <f t="shared" si="100"/>
        <v>0.3026481715006305</v>
      </c>
      <c r="W678" s="12">
        <f t="shared" si="101"/>
        <v>1206.5</v>
      </c>
      <c r="X678" s="12">
        <f t="shared" si="102"/>
        <v>7.666666666666667</v>
      </c>
    </row>
    <row r="679" spans="1:24">
      <c r="A679" s="11">
        <v>678</v>
      </c>
      <c r="B679" s="11" t="s">
        <v>1789</v>
      </c>
      <c r="C679" s="11" t="s">
        <v>39</v>
      </c>
      <c r="D679" s="11" t="s">
        <v>61</v>
      </c>
      <c r="E679" s="12">
        <v>10</v>
      </c>
      <c r="F679" s="11" t="s">
        <v>41</v>
      </c>
      <c r="G679" s="11" t="str">
        <f t="shared" si="98"/>
        <v>Litres</v>
      </c>
      <c r="H679" s="13">
        <v>633</v>
      </c>
      <c r="I679" s="11" t="s">
        <v>19</v>
      </c>
      <c r="J679" s="12">
        <v>62718</v>
      </c>
      <c r="K679" s="12" t="str">
        <f t="shared" si="103"/>
        <v>Moderate</v>
      </c>
      <c r="L679" s="11" t="s">
        <v>20</v>
      </c>
      <c r="M679" s="14">
        <v>45441</v>
      </c>
      <c r="N679" s="14" t="str">
        <f t="shared" si="104"/>
        <v>29/05/2024</v>
      </c>
      <c r="O679" s="14" t="str">
        <f t="shared" si="105"/>
        <v>2024</v>
      </c>
      <c r="P679" s="11" t="s">
        <v>1790</v>
      </c>
      <c r="Q679" s="11" t="s">
        <v>69</v>
      </c>
      <c r="R679" s="11">
        <v>5</v>
      </c>
      <c r="S679" s="11" t="str">
        <f t="shared" si="106"/>
        <v>5 - 8 yrs</v>
      </c>
      <c r="T679" s="12">
        <v>0</v>
      </c>
      <c r="U679" s="11" t="str">
        <f t="shared" si="99"/>
        <v>(0 - 50)</v>
      </c>
      <c r="V679" s="12">
        <f t="shared" si="100"/>
        <v>63.3</v>
      </c>
      <c r="W679" s="12">
        <f t="shared" si="101"/>
        <v>99.080568720379148</v>
      </c>
      <c r="X679" s="12">
        <f t="shared" si="102"/>
        <v>0</v>
      </c>
    </row>
    <row r="680" spans="1:24">
      <c r="A680" s="11">
        <v>679</v>
      </c>
      <c r="B680" s="11" t="s">
        <v>1791</v>
      </c>
      <c r="C680" s="11" t="s">
        <v>32</v>
      </c>
      <c r="D680" s="11" t="s">
        <v>17</v>
      </c>
      <c r="E680" s="12">
        <v>83.6</v>
      </c>
      <c r="F680" s="11" t="s">
        <v>41</v>
      </c>
      <c r="G680" s="11" t="str">
        <f t="shared" si="98"/>
        <v>Litres</v>
      </c>
      <c r="H680" s="13">
        <v>332</v>
      </c>
      <c r="I680" s="11" t="s">
        <v>19</v>
      </c>
      <c r="J680" s="12">
        <v>55638</v>
      </c>
      <c r="K680" s="12" t="str">
        <f t="shared" si="103"/>
        <v>Moderate</v>
      </c>
      <c r="L680" s="11" t="s">
        <v>20</v>
      </c>
      <c r="M680" s="14">
        <v>45870</v>
      </c>
      <c r="N680" s="14" t="str">
        <f t="shared" si="104"/>
        <v>01/08/2025</v>
      </c>
      <c r="O680" s="14" t="str">
        <f t="shared" si="105"/>
        <v>2025</v>
      </c>
      <c r="P680" s="11" t="s">
        <v>1793</v>
      </c>
      <c r="Q680" s="11" t="s">
        <v>54</v>
      </c>
      <c r="R680" s="11">
        <v>16</v>
      </c>
      <c r="S680" s="11" t="str">
        <f t="shared" si="106"/>
        <v>13 - 16 yrs</v>
      </c>
      <c r="T680" s="12">
        <v>215.1</v>
      </c>
      <c r="U680" s="11" t="str">
        <f t="shared" si="99"/>
        <v>(201 - 250)</v>
      </c>
      <c r="V680" s="12">
        <f t="shared" si="100"/>
        <v>3.9712918660287082</v>
      </c>
      <c r="W680" s="12">
        <f t="shared" si="101"/>
        <v>167.5843373493976</v>
      </c>
      <c r="X680" s="12">
        <f t="shared" si="102"/>
        <v>0.64789156626506017</v>
      </c>
    </row>
    <row r="681" spans="1:24">
      <c r="A681" s="11">
        <v>680</v>
      </c>
      <c r="B681" s="11" t="s">
        <v>1794</v>
      </c>
      <c r="C681" s="11" t="s">
        <v>32</v>
      </c>
      <c r="D681" s="11" t="s">
        <v>33</v>
      </c>
      <c r="E681" s="12">
        <v>60</v>
      </c>
      <c r="F681" s="11" t="s">
        <v>62</v>
      </c>
      <c r="G681" s="11" t="str">
        <f t="shared" si="98"/>
        <v>kWh</v>
      </c>
      <c r="H681" s="13">
        <v>249</v>
      </c>
      <c r="I681" s="11" t="s">
        <v>19</v>
      </c>
      <c r="J681" s="12">
        <v>93808</v>
      </c>
      <c r="K681" s="12" t="str">
        <f t="shared" si="103"/>
        <v>Very High</v>
      </c>
      <c r="L681" s="11" t="s">
        <v>20</v>
      </c>
      <c r="M681" s="14">
        <v>45110</v>
      </c>
      <c r="N681" s="14" t="str">
        <f t="shared" si="104"/>
        <v>03/07/2023</v>
      </c>
      <c r="O681" s="14" t="str">
        <f t="shared" si="105"/>
        <v>2023</v>
      </c>
      <c r="P681" s="11" t="s">
        <v>569</v>
      </c>
      <c r="Q681" s="11" t="s">
        <v>54</v>
      </c>
      <c r="R681" s="11">
        <v>20</v>
      </c>
      <c r="S681" s="11" t="str">
        <f t="shared" si="106"/>
        <v>17 + yrs</v>
      </c>
      <c r="T681" s="12">
        <v>182.8</v>
      </c>
      <c r="U681" s="11" t="str">
        <f t="shared" si="99"/>
        <v>(151 - 200)</v>
      </c>
      <c r="V681" s="12">
        <f t="shared" si="100"/>
        <v>4.1500000000000004</v>
      </c>
      <c r="W681" s="12">
        <f t="shared" si="101"/>
        <v>376.73895582329317</v>
      </c>
      <c r="X681" s="12">
        <f t="shared" si="102"/>
        <v>0.734136546184739</v>
      </c>
    </row>
    <row r="682" spans="1:24">
      <c r="A682" s="11">
        <v>681</v>
      </c>
      <c r="B682" s="11" t="s">
        <v>1796</v>
      </c>
      <c r="C682" s="11" t="s">
        <v>16</v>
      </c>
      <c r="D682" s="11" t="s">
        <v>17</v>
      </c>
      <c r="E682" s="12">
        <v>63</v>
      </c>
      <c r="F682" s="11" t="s">
        <v>56</v>
      </c>
      <c r="G682" s="11" t="str">
        <f t="shared" si="98"/>
        <v>Litres</v>
      </c>
      <c r="H682" s="13">
        <v>307</v>
      </c>
      <c r="I682" s="11" t="s">
        <v>19</v>
      </c>
      <c r="J682" s="12">
        <v>99679</v>
      </c>
      <c r="K682" s="12" t="str">
        <f t="shared" si="103"/>
        <v>Very High</v>
      </c>
      <c r="L682" s="11" t="s">
        <v>20</v>
      </c>
      <c r="M682" s="14">
        <v>45741</v>
      </c>
      <c r="N682" s="14" t="str">
        <f t="shared" si="104"/>
        <v>25/03/2025</v>
      </c>
      <c r="O682" s="14" t="str">
        <f t="shared" si="105"/>
        <v>2025</v>
      </c>
      <c r="P682" s="11" t="s">
        <v>1798</v>
      </c>
      <c r="Q682" s="11" t="s">
        <v>48</v>
      </c>
      <c r="R682" s="11">
        <v>5</v>
      </c>
      <c r="S682" s="11" t="str">
        <f t="shared" si="106"/>
        <v>5 - 8 yrs</v>
      </c>
      <c r="T682" s="12">
        <v>182.2</v>
      </c>
      <c r="U682" s="11" t="str">
        <f t="shared" si="99"/>
        <v>(151 - 200)</v>
      </c>
      <c r="V682" s="12">
        <f t="shared" si="100"/>
        <v>4.8730158730158726</v>
      </c>
      <c r="W682" s="12">
        <f t="shared" si="101"/>
        <v>324.68729641693812</v>
      </c>
      <c r="X682" s="12">
        <f t="shared" si="102"/>
        <v>0.59348534201954395</v>
      </c>
    </row>
    <row r="683" spans="1:24">
      <c r="A683" s="11">
        <v>682</v>
      </c>
      <c r="B683" s="11" t="s">
        <v>1799</v>
      </c>
      <c r="C683" s="11" t="s">
        <v>39</v>
      </c>
      <c r="D683" s="11" t="s">
        <v>61</v>
      </c>
      <c r="E683" s="12">
        <v>10</v>
      </c>
      <c r="F683" s="11" t="s">
        <v>41</v>
      </c>
      <c r="G683" s="11" t="str">
        <f t="shared" si="98"/>
        <v>Litres</v>
      </c>
      <c r="H683" s="13">
        <v>373</v>
      </c>
      <c r="I683" s="11" t="s">
        <v>19</v>
      </c>
      <c r="J683" s="12">
        <v>101095</v>
      </c>
      <c r="K683" s="12" t="str">
        <f t="shared" si="103"/>
        <v>Very High</v>
      </c>
      <c r="L683" s="11" t="s">
        <v>20</v>
      </c>
      <c r="M683" s="14">
        <v>45467</v>
      </c>
      <c r="N683" s="14" t="str">
        <f t="shared" si="104"/>
        <v>24/06/2024</v>
      </c>
      <c r="O683" s="14" t="str">
        <f t="shared" si="105"/>
        <v>2024</v>
      </c>
      <c r="P683" s="11" t="s">
        <v>980</v>
      </c>
      <c r="Q683" s="11" t="s">
        <v>54</v>
      </c>
      <c r="R683" s="11">
        <v>17</v>
      </c>
      <c r="S683" s="11" t="str">
        <f t="shared" si="106"/>
        <v>17 + yrs</v>
      </c>
      <c r="T683" s="12">
        <v>0</v>
      </c>
      <c r="U683" s="11" t="str">
        <f t="shared" si="99"/>
        <v>(0 - 50)</v>
      </c>
      <c r="V683" s="12">
        <f t="shared" si="100"/>
        <v>37.299999999999997</v>
      </c>
      <c r="W683" s="12">
        <f t="shared" si="101"/>
        <v>271.03217158176943</v>
      </c>
      <c r="X683" s="12">
        <f t="shared" si="102"/>
        <v>0</v>
      </c>
    </row>
    <row r="684" spans="1:24">
      <c r="A684" s="11">
        <v>683</v>
      </c>
      <c r="B684" s="11" t="s">
        <v>1800</v>
      </c>
      <c r="C684" s="11" t="s">
        <v>39</v>
      </c>
      <c r="D684" s="11" t="s">
        <v>33</v>
      </c>
      <c r="E684" s="12">
        <v>23.3</v>
      </c>
      <c r="F684" s="11" t="s">
        <v>2643</v>
      </c>
      <c r="G684" s="11" t="str">
        <f t="shared" si="98"/>
        <v>Litres</v>
      </c>
      <c r="H684" s="13">
        <v>127</v>
      </c>
      <c r="I684" s="11" t="s">
        <v>19</v>
      </c>
      <c r="J684" s="12">
        <v>117944</v>
      </c>
      <c r="K684" s="12" t="str">
        <f t="shared" si="103"/>
        <v>Extreme</v>
      </c>
      <c r="L684" s="11" t="s">
        <v>20</v>
      </c>
      <c r="M684" s="14">
        <v>45226</v>
      </c>
      <c r="N684" s="14" t="str">
        <f t="shared" si="104"/>
        <v>27/10/2023</v>
      </c>
      <c r="O684" s="14" t="str">
        <f t="shared" si="105"/>
        <v>2023</v>
      </c>
      <c r="P684" s="11" t="s">
        <v>1802</v>
      </c>
      <c r="Q684" s="11" t="s">
        <v>69</v>
      </c>
      <c r="R684" s="11">
        <v>15</v>
      </c>
      <c r="S684" s="11" t="str">
        <f t="shared" si="106"/>
        <v>13 - 16 yrs</v>
      </c>
      <c r="T684" s="12">
        <v>71.2</v>
      </c>
      <c r="U684" s="11" t="str">
        <f t="shared" si="99"/>
        <v>(51 - 100)</v>
      </c>
      <c r="V684" s="12">
        <f t="shared" si="100"/>
        <v>5.4506437768240339</v>
      </c>
      <c r="W684" s="12">
        <f t="shared" si="101"/>
        <v>928.69291338582673</v>
      </c>
      <c r="X684" s="12">
        <f t="shared" si="102"/>
        <v>0.56062992125984257</v>
      </c>
    </row>
    <row r="685" spans="1:24">
      <c r="A685" s="11">
        <v>684</v>
      </c>
      <c r="B685" s="11" t="s">
        <v>1803</v>
      </c>
      <c r="C685" s="11" t="s">
        <v>16</v>
      </c>
      <c r="D685" s="11" t="s">
        <v>114</v>
      </c>
      <c r="E685" s="12">
        <v>59.4</v>
      </c>
      <c r="F685" s="11" t="s">
        <v>62</v>
      </c>
      <c r="G685" s="11" t="str">
        <f t="shared" si="98"/>
        <v>kWh</v>
      </c>
      <c r="H685" s="13">
        <v>551</v>
      </c>
      <c r="I685" s="11" t="s">
        <v>19</v>
      </c>
      <c r="J685" s="12">
        <v>21517</v>
      </c>
      <c r="K685" s="12" t="str">
        <f t="shared" si="103"/>
        <v>Low</v>
      </c>
      <c r="L685" s="11" t="s">
        <v>20</v>
      </c>
      <c r="M685" s="14">
        <v>44942</v>
      </c>
      <c r="N685" s="14" t="str">
        <f t="shared" si="104"/>
        <v>16/01/2023</v>
      </c>
      <c r="O685" s="14" t="str">
        <f t="shared" si="105"/>
        <v>2023</v>
      </c>
      <c r="P685" s="11" t="s">
        <v>1805</v>
      </c>
      <c r="Q685" s="11" t="s">
        <v>59</v>
      </c>
      <c r="R685" s="11">
        <v>1</v>
      </c>
      <c r="S685" s="11" t="str">
        <f t="shared" si="106"/>
        <v>0 - 4 yrs</v>
      </c>
      <c r="T685" s="12">
        <v>122.9</v>
      </c>
      <c r="U685" s="11" t="str">
        <f t="shared" si="99"/>
        <v>(101 - 150)</v>
      </c>
      <c r="V685" s="12">
        <f t="shared" si="100"/>
        <v>9.2760942760942768</v>
      </c>
      <c r="W685" s="12">
        <f t="shared" si="101"/>
        <v>39.050816696914701</v>
      </c>
      <c r="X685" s="12">
        <f t="shared" si="102"/>
        <v>0.22304900181488205</v>
      </c>
    </row>
    <row r="686" spans="1:24">
      <c r="A686" s="11">
        <v>685</v>
      </c>
      <c r="B686" s="11" t="s">
        <v>1806</v>
      </c>
      <c r="C686" s="11" t="s">
        <v>39</v>
      </c>
      <c r="D686" s="11" t="s">
        <v>17</v>
      </c>
      <c r="E686" s="12">
        <v>34.200000000000003</v>
      </c>
      <c r="F686" s="11" t="s">
        <v>2643</v>
      </c>
      <c r="G686" s="11" t="str">
        <f t="shared" si="98"/>
        <v>Litres</v>
      </c>
      <c r="H686" s="13">
        <v>165</v>
      </c>
      <c r="I686" s="11" t="s">
        <v>19</v>
      </c>
      <c r="J686" s="12">
        <v>100219</v>
      </c>
      <c r="K686" s="12" t="str">
        <f t="shared" si="103"/>
        <v>Very High</v>
      </c>
      <c r="L686" s="11" t="s">
        <v>20</v>
      </c>
      <c r="M686" s="14">
        <v>45265</v>
      </c>
      <c r="N686" s="14" t="str">
        <f t="shared" si="104"/>
        <v>05/12/2023</v>
      </c>
      <c r="O686" s="14" t="str">
        <f t="shared" si="105"/>
        <v>2023</v>
      </c>
      <c r="P686" s="11" t="s">
        <v>678</v>
      </c>
      <c r="Q686" s="11" t="s">
        <v>2648</v>
      </c>
      <c r="R686" s="11">
        <v>18</v>
      </c>
      <c r="S686" s="11" t="str">
        <f t="shared" si="106"/>
        <v>17 + yrs</v>
      </c>
      <c r="T686" s="12">
        <v>106.1</v>
      </c>
      <c r="U686" s="11" t="str">
        <f t="shared" si="99"/>
        <v>(101 - 150)</v>
      </c>
      <c r="V686" s="12">
        <f t="shared" si="100"/>
        <v>4.8245614035087714</v>
      </c>
      <c r="W686" s="12">
        <f t="shared" si="101"/>
        <v>607.38787878787878</v>
      </c>
      <c r="X686" s="12">
        <f t="shared" si="102"/>
        <v>0.64303030303030295</v>
      </c>
    </row>
    <row r="687" spans="1:24">
      <c r="A687" s="11">
        <v>686</v>
      </c>
      <c r="B687" s="11" t="s">
        <v>2577</v>
      </c>
      <c r="C687" s="11" t="s">
        <v>39</v>
      </c>
      <c r="D687" s="11" t="s">
        <v>33</v>
      </c>
      <c r="E687" s="12">
        <v>16.399999999999999</v>
      </c>
      <c r="F687" s="11" t="s">
        <v>56</v>
      </c>
      <c r="G687" s="11" t="str">
        <f t="shared" si="98"/>
        <v>Litres</v>
      </c>
      <c r="H687" s="13">
        <v>116</v>
      </c>
      <c r="I687" s="11" t="s">
        <v>19</v>
      </c>
      <c r="J687" s="12">
        <v>18365</v>
      </c>
      <c r="K687" s="12" t="str">
        <f t="shared" si="103"/>
        <v>Low</v>
      </c>
      <c r="L687" s="11" t="s">
        <v>20</v>
      </c>
      <c r="M687" s="14">
        <v>45552</v>
      </c>
      <c r="N687" s="14" t="str">
        <f t="shared" si="104"/>
        <v>17/09/2024</v>
      </c>
      <c r="O687" s="14" t="str">
        <f t="shared" si="105"/>
        <v>2024</v>
      </c>
      <c r="P687" s="11" t="s">
        <v>1810</v>
      </c>
      <c r="Q687" s="11" t="s">
        <v>441</v>
      </c>
      <c r="R687" s="11">
        <v>19</v>
      </c>
      <c r="S687" s="11" t="str">
        <f t="shared" si="106"/>
        <v>17 + yrs</v>
      </c>
      <c r="T687" s="12">
        <v>44.3</v>
      </c>
      <c r="U687" s="11" t="str">
        <f t="shared" si="99"/>
        <v>(0 - 50)</v>
      </c>
      <c r="V687" s="12">
        <f t="shared" si="100"/>
        <v>7.073170731707318</v>
      </c>
      <c r="W687" s="12">
        <f t="shared" si="101"/>
        <v>158.31896551724137</v>
      </c>
      <c r="X687" s="12">
        <f t="shared" si="102"/>
        <v>0.38189655172413789</v>
      </c>
    </row>
    <row r="688" spans="1:24">
      <c r="A688" s="11">
        <v>687</v>
      </c>
      <c r="B688" s="11" t="s">
        <v>1811</v>
      </c>
      <c r="C688" s="11" t="s">
        <v>32</v>
      </c>
      <c r="D688" s="11" t="s">
        <v>33</v>
      </c>
      <c r="E688" s="12">
        <v>94.3</v>
      </c>
      <c r="F688" s="11" t="s">
        <v>56</v>
      </c>
      <c r="G688" s="11" t="str">
        <f t="shared" si="98"/>
        <v>Litres</v>
      </c>
      <c r="H688" s="13">
        <v>298</v>
      </c>
      <c r="I688" s="11" t="s">
        <v>19</v>
      </c>
      <c r="J688" s="12">
        <v>52553</v>
      </c>
      <c r="K688" s="12" t="str">
        <f t="shared" si="103"/>
        <v>Medium</v>
      </c>
      <c r="L688" s="11" t="s">
        <v>20</v>
      </c>
      <c r="M688" s="14">
        <v>45579</v>
      </c>
      <c r="N688" s="14" t="str">
        <f t="shared" si="104"/>
        <v>14/10/2024</v>
      </c>
      <c r="O688" s="14" t="str">
        <f t="shared" si="105"/>
        <v>2024</v>
      </c>
      <c r="P688" s="11" t="s">
        <v>1026</v>
      </c>
      <c r="Q688" s="11" t="s">
        <v>441</v>
      </c>
      <c r="R688" s="11">
        <v>2</v>
      </c>
      <c r="S688" s="11" t="str">
        <f t="shared" si="106"/>
        <v>0 - 4 yrs</v>
      </c>
      <c r="T688" s="12">
        <v>273.8</v>
      </c>
      <c r="U688" s="11" t="str">
        <f t="shared" si="99"/>
        <v>(251 - 300)</v>
      </c>
      <c r="V688" s="12">
        <f t="shared" si="100"/>
        <v>3.1601272534464475</v>
      </c>
      <c r="W688" s="12">
        <f t="shared" si="101"/>
        <v>176.35234899328859</v>
      </c>
      <c r="X688" s="12">
        <f t="shared" si="102"/>
        <v>0.91879194630872485</v>
      </c>
    </row>
    <row r="689" spans="1:24">
      <c r="A689" s="11">
        <v>688</v>
      </c>
      <c r="B689" s="11" t="s">
        <v>1813</v>
      </c>
      <c r="C689" s="11" t="s">
        <v>16</v>
      </c>
      <c r="D689" s="11" t="s">
        <v>61</v>
      </c>
      <c r="E689" s="12">
        <v>10</v>
      </c>
      <c r="F689" s="11" t="s">
        <v>41</v>
      </c>
      <c r="G689" s="11" t="str">
        <f t="shared" si="98"/>
        <v>Litres</v>
      </c>
      <c r="H689" s="13">
        <v>258</v>
      </c>
      <c r="I689" s="11" t="s">
        <v>19</v>
      </c>
      <c r="J689" s="12">
        <v>110600</v>
      </c>
      <c r="K689" s="12" t="str">
        <f t="shared" si="103"/>
        <v>Extreme</v>
      </c>
      <c r="L689" s="11" t="s">
        <v>20</v>
      </c>
      <c r="M689" s="14">
        <v>45684</v>
      </c>
      <c r="N689" s="14" t="str">
        <f t="shared" si="104"/>
        <v>27/01/2025</v>
      </c>
      <c r="O689" s="14" t="str">
        <f t="shared" si="105"/>
        <v>2025</v>
      </c>
      <c r="P689" s="11" t="s">
        <v>1422</v>
      </c>
      <c r="Q689" s="11" t="s">
        <v>59</v>
      </c>
      <c r="R689" s="11">
        <v>1</v>
      </c>
      <c r="S689" s="11" t="str">
        <f t="shared" si="106"/>
        <v>0 - 4 yrs</v>
      </c>
      <c r="T689" s="12">
        <v>0</v>
      </c>
      <c r="U689" s="11" t="str">
        <f t="shared" si="99"/>
        <v>(0 - 50)</v>
      </c>
      <c r="V689" s="12">
        <f t="shared" si="100"/>
        <v>25.8</v>
      </c>
      <c r="W689" s="12">
        <f t="shared" si="101"/>
        <v>428.68217054263567</v>
      </c>
      <c r="X689" s="12">
        <f t="shared" si="102"/>
        <v>0</v>
      </c>
    </row>
    <row r="690" spans="1:24">
      <c r="A690" s="11">
        <v>689</v>
      </c>
      <c r="B690" s="11" t="s">
        <v>1815</v>
      </c>
      <c r="C690" s="11" t="s">
        <v>39</v>
      </c>
      <c r="D690" s="11" t="s">
        <v>114</v>
      </c>
      <c r="E690" s="12">
        <v>56</v>
      </c>
      <c r="F690" s="11" t="s">
        <v>26</v>
      </c>
      <c r="G690" s="11" t="str">
        <f t="shared" si="98"/>
        <v>Litres</v>
      </c>
      <c r="H690" s="13">
        <v>513</v>
      </c>
      <c r="I690" s="11" t="s">
        <v>19</v>
      </c>
      <c r="J690" s="12">
        <v>31113</v>
      </c>
      <c r="K690" s="12" t="str">
        <f t="shared" si="103"/>
        <v>Low</v>
      </c>
      <c r="L690" s="11" t="s">
        <v>20</v>
      </c>
      <c r="M690" s="14">
        <v>45179</v>
      </c>
      <c r="N690" s="14" t="str">
        <f t="shared" si="104"/>
        <v>10/09/2023</v>
      </c>
      <c r="O690" s="14" t="str">
        <f t="shared" si="105"/>
        <v>2023</v>
      </c>
      <c r="P690" s="11" t="s">
        <v>1817</v>
      </c>
      <c r="Q690" s="11" t="s">
        <v>441</v>
      </c>
      <c r="R690" s="11">
        <v>4</v>
      </c>
      <c r="S690" s="11" t="str">
        <f t="shared" si="106"/>
        <v>0 - 4 yrs</v>
      </c>
      <c r="T690" s="12">
        <v>195.5</v>
      </c>
      <c r="U690" s="11" t="str">
        <f t="shared" si="99"/>
        <v>(151 - 200)</v>
      </c>
      <c r="V690" s="12">
        <f t="shared" si="100"/>
        <v>9.1607142857142865</v>
      </c>
      <c r="W690" s="12">
        <f t="shared" si="101"/>
        <v>60.649122807017541</v>
      </c>
      <c r="X690" s="12">
        <f t="shared" si="102"/>
        <v>0.3810916179337232</v>
      </c>
    </row>
    <row r="691" spans="1:24">
      <c r="A691" s="11">
        <v>690</v>
      </c>
      <c r="B691" s="11" t="s">
        <v>2578</v>
      </c>
      <c r="C691" s="11" t="s">
        <v>50</v>
      </c>
      <c r="D691" s="11" t="s">
        <v>33</v>
      </c>
      <c r="E691" s="12">
        <v>30.5</v>
      </c>
      <c r="F691" s="11" t="s">
        <v>2643</v>
      </c>
      <c r="G691" s="11" t="str">
        <f t="shared" si="98"/>
        <v>Litres</v>
      </c>
      <c r="H691" s="13">
        <v>94</v>
      </c>
      <c r="I691" s="11" t="s">
        <v>19</v>
      </c>
      <c r="J691" s="12">
        <v>92203</v>
      </c>
      <c r="K691" s="12" t="str">
        <f t="shared" si="103"/>
        <v>Very High</v>
      </c>
      <c r="L691" s="11" t="s">
        <v>20</v>
      </c>
      <c r="M691" s="14">
        <v>45435</v>
      </c>
      <c r="N691" s="14" t="str">
        <f t="shared" si="104"/>
        <v>23/05/2024</v>
      </c>
      <c r="O691" s="14" t="str">
        <f t="shared" si="105"/>
        <v>2024</v>
      </c>
      <c r="P691" s="11" t="s">
        <v>434</v>
      </c>
      <c r="Q691" s="11" t="s">
        <v>117</v>
      </c>
      <c r="R691" s="11">
        <v>5</v>
      </c>
      <c r="S691" s="11" t="str">
        <f t="shared" si="106"/>
        <v>5 - 8 yrs</v>
      </c>
      <c r="T691" s="12">
        <v>82.7</v>
      </c>
      <c r="U691" s="11" t="str">
        <f t="shared" si="99"/>
        <v>(51 - 100)</v>
      </c>
      <c r="V691" s="12">
        <f t="shared" si="100"/>
        <v>3.081967213114754</v>
      </c>
      <c r="W691" s="12">
        <f t="shared" si="101"/>
        <v>980.88297872340422</v>
      </c>
      <c r="X691" s="12">
        <f t="shared" si="102"/>
        <v>0.87978723404255321</v>
      </c>
    </row>
    <row r="692" spans="1:24">
      <c r="A692" s="11">
        <v>691</v>
      </c>
      <c r="B692" s="11" t="s">
        <v>1820</v>
      </c>
      <c r="C692" s="11" t="s">
        <v>16</v>
      </c>
      <c r="D692" s="11" t="s">
        <v>33</v>
      </c>
      <c r="E692" s="12">
        <v>52.4</v>
      </c>
      <c r="F692" s="11" t="s">
        <v>41</v>
      </c>
      <c r="G692" s="11" t="str">
        <f t="shared" si="98"/>
        <v>Litres</v>
      </c>
      <c r="H692" s="13">
        <v>326</v>
      </c>
      <c r="I692" s="11" t="s">
        <v>19</v>
      </c>
      <c r="J692" s="12">
        <v>100532</v>
      </c>
      <c r="K692" s="12" t="str">
        <f t="shared" si="103"/>
        <v>Very High</v>
      </c>
      <c r="L692" s="11" t="s">
        <v>20</v>
      </c>
      <c r="M692" s="14">
        <v>44955</v>
      </c>
      <c r="N692" s="14" t="str">
        <f t="shared" si="104"/>
        <v>29/01/2023</v>
      </c>
      <c r="O692" s="14" t="str">
        <f t="shared" si="105"/>
        <v>2023</v>
      </c>
      <c r="P692" s="11" t="s">
        <v>827</v>
      </c>
      <c r="Q692" s="11" t="s">
        <v>48</v>
      </c>
      <c r="R692" s="11">
        <v>16</v>
      </c>
      <c r="S692" s="11" t="str">
        <f t="shared" si="106"/>
        <v>13 - 16 yrs</v>
      </c>
      <c r="T692" s="12">
        <v>129.9</v>
      </c>
      <c r="U692" s="11" t="str">
        <f t="shared" si="99"/>
        <v>(101 - 150)</v>
      </c>
      <c r="V692" s="12">
        <f t="shared" si="100"/>
        <v>6.221374045801527</v>
      </c>
      <c r="W692" s="12">
        <f t="shared" si="101"/>
        <v>308.38036809815952</v>
      </c>
      <c r="X692" s="12">
        <f t="shared" si="102"/>
        <v>0.39846625766871169</v>
      </c>
    </row>
    <row r="693" spans="1:24">
      <c r="A693" s="11">
        <v>692</v>
      </c>
      <c r="B693" s="11" t="s">
        <v>1822</v>
      </c>
      <c r="C693" s="11" t="s">
        <v>39</v>
      </c>
      <c r="D693" s="11" t="s">
        <v>33</v>
      </c>
      <c r="E693" s="12">
        <v>85</v>
      </c>
      <c r="F693" s="11" t="s">
        <v>62</v>
      </c>
      <c r="G693" s="11" t="str">
        <f t="shared" si="98"/>
        <v>kWh</v>
      </c>
      <c r="H693" s="13">
        <v>97</v>
      </c>
      <c r="I693" s="11" t="s">
        <v>19</v>
      </c>
      <c r="J693" s="12">
        <v>60015</v>
      </c>
      <c r="K693" s="12" t="str">
        <f t="shared" si="103"/>
        <v>Moderate</v>
      </c>
      <c r="L693" s="11" t="s">
        <v>20</v>
      </c>
      <c r="M693" s="14">
        <v>45131</v>
      </c>
      <c r="N693" s="14" t="str">
        <f t="shared" si="104"/>
        <v>24/07/2023</v>
      </c>
      <c r="O693" s="14" t="str">
        <f t="shared" si="105"/>
        <v>2023</v>
      </c>
      <c r="P693" s="11" t="s">
        <v>1146</v>
      </c>
      <c r="Q693" s="11" t="s">
        <v>86</v>
      </c>
      <c r="R693" s="11">
        <v>1</v>
      </c>
      <c r="S693" s="11" t="str">
        <f t="shared" si="106"/>
        <v>0 - 4 yrs</v>
      </c>
      <c r="T693" s="12">
        <v>191.1</v>
      </c>
      <c r="U693" s="11" t="str">
        <f t="shared" si="99"/>
        <v>(151 - 200)</v>
      </c>
      <c r="V693" s="12">
        <f t="shared" si="100"/>
        <v>1.1411764705882352</v>
      </c>
      <c r="W693" s="12">
        <f t="shared" si="101"/>
        <v>618.71134020618558</v>
      </c>
      <c r="X693" s="12">
        <f t="shared" si="102"/>
        <v>1.970103092783505</v>
      </c>
    </row>
    <row r="694" spans="1:24">
      <c r="A694" s="11">
        <v>693</v>
      </c>
      <c r="B694" s="11" t="s">
        <v>2579</v>
      </c>
      <c r="C694" s="11" t="s">
        <v>39</v>
      </c>
      <c r="D694" s="11" t="s">
        <v>17</v>
      </c>
      <c r="E694" s="12">
        <v>7</v>
      </c>
      <c r="F694" s="11" t="s">
        <v>56</v>
      </c>
      <c r="G694" s="11" t="str">
        <f t="shared" si="98"/>
        <v>Litres</v>
      </c>
      <c r="H694" s="13">
        <v>520</v>
      </c>
      <c r="I694" s="11" t="s">
        <v>19</v>
      </c>
      <c r="J694" s="12">
        <v>16086</v>
      </c>
      <c r="K694" s="12" t="str">
        <f t="shared" si="103"/>
        <v>Very Low</v>
      </c>
      <c r="L694" s="11" t="s">
        <v>20</v>
      </c>
      <c r="M694" s="14">
        <v>45466</v>
      </c>
      <c r="N694" s="14" t="str">
        <f t="shared" si="104"/>
        <v>23/06/2024</v>
      </c>
      <c r="O694" s="14" t="str">
        <f t="shared" si="105"/>
        <v>2024</v>
      </c>
      <c r="P694" s="11" t="s">
        <v>639</v>
      </c>
      <c r="Q694" s="11" t="s">
        <v>441</v>
      </c>
      <c r="R694" s="11">
        <v>20</v>
      </c>
      <c r="S694" s="11" t="str">
        <f t="shared" si="106"/>
        <v>17 + yrs</v>
      </c>
      <c r="T694" s="12">
        <v>21.2</v>
      </c>
      <c r="U694" s="11" t="str">
        <f t="shared" si="99"/>
        <v>(0 - 50)</v>
      </c>
      <c r="V694" s="12">
        <f t="shared" si="100"/>
        <v>74.285714285714292</v>
      </c>
      <c r="W694" s="12">
        <f t="shared" si="101"/>
        <v>30.934615384615384</v>
      </c>
      <c r="X694" s="12">
        <f t="shared" si="102"/>
        <v>4.0769230769230766E-2</v>
      </c>
    </row>
    <row r="695" spans="1:24">
      <c r="A695" s="11">
        <v>694</v>
      </c>
      <c r="B695" s="11" t="s">
        <v>1825</v>
      </c>
      <c r="C695" s="11" t="s">
        <v>39</v>
      </c>
      <c r="D695" s="11" t="s">
        <v>17</v>
      </c>
      <c r="E695" s="12">
        <v>76.900000000000006</v>
      </c>
      <c r="F695" s="11" t="s">
        <v>26</v>
      </c>
      <c r="G695" s="11" t="str">
        <f t="shared" si="98"/>
        <v>Litres</v>
      </c>
      <c r="H695" s="13">
        <v>313</v>
      </c>
      <c r="I695" s="11" t="s">
        <v>19</v>
      </c>
      <c r="J695" s="12">
        <v>115267</v>
      </c>
      <c r="K695" s="12" t="str">
        <f t="shared" si="103"/>
        <v>Extreme</v>
      </c>
      <c r="L695" s="11" t="s">
        <v>20</v>
      </c>
      <c r="M695" s="14">
        <v>45304</v>
      </c>
      <c r="N695" s="14" t="str">
        <f t="shared" si="104"/>
        <v>13/01/2024</v>
      </c>
      <c r="O695" s="14" t="str">
        <f t="shared" si="105"/>
        <v>2024</v>
      </c>
      <c r="P695" s="11" t="s">
        <v>1827</v>
      </c>
      <c r="Q695" s="11" t="s">
        <v>441</v>
      </c>
      <c r="R695" s="11">
        <v>1</v>
      </c>
      <c r="S695" s="11" t="str">
        <f t="shared" si="106"/>
        <v>0 - 4 yrs</v>
      </c>
      <c r="T695" s="12">
        <v>212.7</v>
      </c>
      <c r="U695" s="11" t="str">
        <f t="shared" si="99"/>
        <v>(201 - 250)</v>
      </c>
      <c r="V695" s="12">
        <f t="shared" si="100"/>
        <v>4.0702210663198954</v>
      </c>
      <c r="W695" s="12">
        <f t="shared" si="101"/>
        <v>368.26517571884983</v>
      </c>
      <c r="X695" s="12">
        <f t="shared" si="102"/>
        <v>0.67955271565495201</v>
      </c>
    </row>
    <row r="696" spans="1:24">
      <c r="A696" s="11">
        <v>695</v>
      </c>
      <c r="B696" s="11" t="s">
        <v>1828</v>
      </c>
      <c r="C696" s="11" t="s">
        <v>39</v>
      </c>
      <c r="D696" s="11" t="s">
        <v>114</v>
      </c>
      <c r="E696" s="12">
        <v>59.4</v>
      </c>
      <c r="F696" s="11" t="s">
        <v>62</v>
      </c>
      <c r="G696" s="11" t="str">
        <f t="shared" si="98"/>
        <v>kWh</v>
      </c>
      <c r="H696" s="13">
        <v>423</v>
      </c>
      <c r="I696" s="11" t="s">
        <v>19</v>
      </c>
      <c r="J696" s="12">
        <v>27886</v>
      </c>
      <c r="K696" s="12" t="str">
        <f t="shared" si="103"/>
        <v>Low</v>
      </c>
      <c r="L696" s="11" t="s">
        <v>20</v>
      </c>
      <c r="M696" s="14">
        <v>45312</v>
      </c>
      <c r="N696" s="14" t="str">
        <f t="shared" si="104"/>
        <v>21/01/2024</v>
      </c>
      <c r="O696" s="14" t="str">
        <f t="shared" si="105"/>
        <v>2024</v>
      </c>
      <c r="P696" s="11" t="s">
        <v>1482</v>
      </c>
      <c r="Q696" s="11" t="s">
        <v>112</v>
      </c>
      <c r="R696" s="11">
        <v>19</v>
      </c>
      <c r="S696" s="11" t="str">
        <f t="shared" si="106"/>
        <v>17 + yrs</v>
      </c>
      <c r="T696" s="12">
        <v>196.2</v>
      </c>
      <c r="U696" s="11" t="str">
        <f t="shared" si="99"/>
        <v>(151 - 200)</v>
      </c>
      <c r="V696" s="12">
        <f t="shared" si="100"/>
        <v>7.1212121212121211</v>
      </c>
      <c r="W696" s="12">
        <f t="shared" si="101"/>
        <v>65.924349881796687</v>
      </c>
      <c r="X696" s="12">
        <f t="shared" si="102"/>
        <v>0.4638297872340425</v>
      </c>
    </row>
    <row r="697" spans="1:24">
      <c r="A697" s="11">
        <v>696</v>
      </c>
      <c r="B697" s="11" t="s">
        <v>1829</v>
      </c>
      <c r="C697" s="11" t="s">
        <v>16</v>
      </c>
      <c r="D697" s="11" t="s">
        <v>114</v>
      </c>
      <c r="E697" s="12">
        <v>37.6</v>
      </c>
      <c r="F697" s="11" t="s">
        <v>56</v>
      </c>
      <c r="G697" s="11" t="str">
        <f t="shared" si="98"/>
        <v>Litres</v>
      </c>
      <c r="H697" s="13">
        <v>458</v>
      </c>
      <c r="I697" s="11" t="s">
        <v>19</v>
      </c>
      <c r="J697" s="12">
        <v>106714</v>
      </c>
      <c r="K697" s="12" t="str">
        <f t="shared" si="103"/>
        <v>Very High</v>
      </c>
      <c r="L697" s="11" t="s">
        <v>20</v>
      </c>
      <c r="M697" s="14">
        <v>45595</v>
      </c>
      <c r="N697" s="14" t="str">
        <f t="shared" si="104"/>
        <v>30/10/2024</v>
      </c>
      <c r="O697" s="14" t="str">
        <f t="shared" si="105"/>
        <v>2024</v>
      </c>
      <c r="P697" s="11" t="s">
        <v>1140</v>
      </c>
      <c r="Q697" s="11" t="s">
        <v>86</v>
      </c>
      <c r="R697" s="11">
        <v>18</v>
      </c>
      <c r="S697" s="11" t="str">
        <f t="shared" si="106"/>
        <v>17 + yrs</v>
      </c>
      <c r="T697" s="12">
        <v>81.2</v>
      </c>
      <c r="U697" s="11" t="str">
        <f t="shared" si="99"/>
        <v>(51 - 100)</v>
      </c>
      <c r="V697" s="12">
        <f t="shared" si="100"/>
        <v>12.180851063829786</v>
      </c>
      <c r="W697" s="12">
        <f t="shared" si="101"/>
        <v>233</v>
      </c>
      <c r="X697" s="12">
        <f t="shared" si="102"/>
        <v>0.17729257641921398</v>
      </c>
    </row>
    <row r="698" spans="1:24">
      <c r="A698" s="11">
        <v>697</v>
      </c>
      <c r="B698" s="11" t="s">
        <v>1831</v>
      </c>
      <c r="C698" s="11" t="s">
        <v>32</v>
      </c>
      <c r="D698" s="11" t="s">
        <v>33</v>
      </c>
      <c r="E698" s="12">
        <v>67.2</v>
      </c>
      <c r="F698" s="11" t="s">
        <v>62</v>
      </c>
      <c r="G698" s="11" t="str">
        <f t="shared" si="98"/>
        <v>kWh</v>
      </c>
      <c r="H698" s="13">
        <v>636</v>
      </c>
      <c r="I698" s="11" t="s">
        <v>19</v>
      </c>
      <c r="J698" s="12">
        <v>80030</v>
      </c>
      <c r="K698" s="12" t="str">
        <f t="shared" si="103"/>
        <v>High</v>
      </c>
      <c r="L698" s="11" t="s">
        <v>20</v>
      </c>
      <c r="M698" s="14">
        <v>45360</v>
      </c>
      <c r="N698" s="14" t="str">
        <f t="shared" si="104"/>
        <v>09/03/2024</v>
      </c>
      <c r="O698" s="14" t="str">
        <f t="shared" si="105"/>
        <v>2024</v>
      </c>
      <c r="P698" s="11" t="s">
        <v>1379</v>
      </c>
      <c r="Q698" s="11" t="s">
        <v>54</v>
      </c>
      <c r="R698" s="11">
        <v>5</v>
      </c>
      <c r="S698" s="11" t="str">
        <f t="shared" si="106"/>
        <v>5 - 8 yrs</v>
      </c>
      <c r="T698" s="12">
        <v>175.8</v>
      </c>
      <c r="U698" s="11" t="str">
        <f t="shared" si="99"/>
        <v>(151 - 200)</v>
      </c>
      <c r="V698" s="12">
        <f t="shared" si="100"/>
        <v>9.4642857142857135</v>
      </c>
      <c r="W698" s="12">
        <f t="shared" si="101"/>
        <v>125.83333333333333</v>
      </c>
      <c r="X698" s="12">
        <f t="shared" si="102"/>
        <v>0.27641509433962264</v>
      </c>
    </row>
    <row r="699" spans="1:24">
      <c r="A699" s="11">
        <v>698</v>
      </c>
      <c r="B699" s="11" t="s">
        <v>2464</v>
      </c>
      <c r="C699" s="11" t="s">
        <v>32</v>
      </c>
      <c r="D699" s="11" t="s">
        <v>17</v>
      </c>
      <c r="E699" s="12">
        <v>76.900000000000006</v>
      </c>
      <c r="F699" s="11" t="s">
        <v>2643</v>
      </c>
      <c r="G699" s="11" t="str">
        <f t="shared" si="98"/>
        <v>Litres</v>
      </c>
      <c r="H699" s="13">
        <v>549</v>
      </c>
      <c r="I699" s="11" t="s">
        <v>19</v>
      </c>
      <c r="J699" s="12">
        <v>34235</v>
      </c>
      <c r="K699" s="12" t="str">
        <f t="shared" si="103"/>
        <v>Low</v>
      </c>
      <c r="L699" s="11" t="s">
        <v>20</v>
      </c>
      <c r="M699" s="14">
        <v>45530</v>
      </c>
      <c r="N699" s="14" t="str">
        <f t="shared" si="104"/>
        <v>26/08/2024</v>
      </c>
      <c r="O699" s="14" t="str">
        <f t="shared" si="105"/>
        <v>2024</v>
      </c>
      <c r="P699" s="11" t="s">
        <v>552</v>
      </c>
      <c r="Q699" s="11" t="s">
        <v>69</v>
      </c>
      <c r="R699" s="11">
        <v>17</v>
      </c>
      <c r="S699" s="11" t="str">
        <f t="shared" si="106"/>
        <v>17 + yrs</v>
      </c>
      <c r="T699" s="12">
        <v>224.4</v>
      </c>
      <c r="U699" s="11" t="str">
        <f t="shared" si="99"/>
        <v>(201 - 250)</v>
      </c>
      <c r="V699" s="12">
        <f t="shared" si="100"/>
        <v>7.1391417425227566</v>
      </c>
      <c r="W699" s="12">
        <f t="shared" si="101"/>
        <v>62.358834244080143</v>
      </c>
      <c r="X699" s="12">
        <f t="shared" si="102"/>
        <v>0.40874316939890709</v>
      </c>
    </row>
    <row r="700" spans="1:24">
      <c r="A700" s="11">
        <v>699</v>
      </c>
      <c r="B700" s="11" t="s">
        <v>1834</v>
      </c>
      <c r="C700" s="11" t="s">
        <v>32</v>
      </c>
      <c r="D700" s="11" t="s">
        <v>17</v>
      </c>
      <c r="E700" s="12">
        <v>33.9</v>
      </c>
      <c r="F700" s="11" t="s">
        <v>2643</v>
      </c>
      <c r="G700" s="11" t="str">
        <f t="shared" si="98"/>
        <v>Litres</v>
      </c>
      <c r="H700" s="13">
        <v>451</v>
      </c>
      <c r="I700" s="11" t="s">
        <v>19</v>
      </c>
      <c r="J700" s="12">
        <v>97996</v>
      </c>
      <c r="K700" s="12" t="str">
        <f t="shared" si="103"/>
        <v>Very High</v>
      </c>
      <c r="L700" s="11" t="s">
        <v>20</v>
      </c>
      <c r="M700" s="14">
        <v>45548</v>
      </c>
      <c r="N700" s="14" t="str">
        <f t="shared" si="104"/>
        <v>13/09/2024</v>
      </c>
      <c r="O700" s="14" t="str">
        <f t="shared" si="105"/>
        <v>2024</v>
      </c>
      <c r="P700" s="11" t="s">
        <v>1137</v>
      </c>
      <c r="Q700" s="11" t="s">
        <v>2648</v>
      </c>
      <c r="R700" s="11">
        <v>14</v>
      </c>
      <c r="S700" s="11" t="str">
        <f t="shared" si="106"/>
        <v>13 - 16 yrs</v>
      </c>
      <c r="T700" s="12">
        <v>83.8</v>
      </c>
      <c r="U700" s="11" t="str">
        <f t="shared" si="99"/>
        <v>(51 - 100)</v>
      </c>
      <c r="V700" s="12">
        <f t="shared" si="100"/>
        <v>13.303834808259587</v>
      </c>
      <c r="W700" s="12">
        <f t="shared" si="101"/>
        <v>217.2860310421286</v>
      </c>
      <c r="X700" s="12">
        <f t="shared" si="102"/>
        <v>0.18580931263858091</v>
      </c>
    </row>
    <row r="701" spans="1:24">
      <c r="A701" s="11">
        <v>700</v>
      </c>
      <c r="B701" s="11" t="s">
        <v>2580</v>
      </c>
      <c r="C701" s="11" t="s">
        <v>50</v>
      </c>
      <c r="D701" s="11" t="s">
        <v>33</v>
      </c>
      <c r="E701" s="12">
        <v>93.6</v>
      </c>
      <c r="F701" s="11" t="s">
        <v>2643</v>
      </c>
      <c r="G701" s="11" t="str">
        <f t="shared" si="98"/>
        <v>Litres</v>
      </c>
      <c r="H701" s="13">
        <v>493</v>
      </c>
      <c r="I701" s="11" t="s">
        <v>19</v>
      </c>
      <c r="J701" s="12">
        <v>49712</v>
      </c>
      <c r="K701" s="12" t="str">
        <f t="shared" si="103"/>
        <v>Medium</v>
      </c>
      <c r="L701" s="11" t="s">
        <v>20</v>
      </c>
      <c r="M701" s="14">
        <v>45441</v>
      </c>
      <c r="N701" s="14" t="str">
        <f t="shared" si="104"/>
        <v>29/05/2024</v>
      </c>
      <c r="O701" s="14" t="str">
        <f t="shared" si="105"/>
        <v>2024</v>
      </c>
      <c r="P701" s="11" t="s">
        <v>949</v>
      </c>
      <c r="Q701" s="11" t="s">
        <v>54</v>
      </c>
      <c r="R701" s="11">
        <v>19</v>
      </c>
      <c r="S701" s="11" t="str">
        <f t="shared" si="106"/>
        <v>17 + yrs</v>
      </c>
      <c r="T701" s="12">
        <v>284.39999999999998</v>
      </c>
      <c r="U701" s="11" t="str">
        <f t="shared" si="99"/>
        <v>(251 - 300)</v>
      </c>
      <c r="V701" s="12">
        <f t="shared" si="100"/>
        <v>5.267094017094017</v>
      </c>
      <c r="W701" s="12">
        <f t="shared" si="101"/>
        <v>100.83569979716025</v>
      </c>
      <c r="X701" s="12">
        <f t="shared" si="102"/>
        <v>0.57687626774847867</v>
      </c>
    </row>
    <row r="702" spans="1:24">
      <c r="A702" s="11">
        <v>701</v>
      </c>
      <c r="B702" s="11" t="s">
        <v>2581</v>
      </c>
      <c r="C702" s="11" t="s">
        <v>32</v>
      </c>
      <c r="D702" s="11" t="s">
        <v>33</v>
      </c>
      <c r="E702" s="12">
        <v>84.2</v>
      </c>
      <c r="F702" s="11" t="s">
        <v>26</v>
      </c>
      <c r="G702" s="11" t="str">
        <f t="shared" si="98"/>
        <v>Litres</v>
      </c>
      <c r="H702" s="13">
        <v>64</v>
      </c>
      <c r="I702" s="11" t="s">
        <v>19</v>
      </c>
      <c r="J702" s="12">
        <v>88704</v>
      </c>
      <c r="K702" s="12" t="str">
        <f t="shared" si="103"/>
        <v>High</v>
      </c>
      <c r="L702" s="11" t="s">
        <v>20</v>
      </c>
      <c r="M702" s="14">
        <v>45126</v>
      </c>
      <c r="N702" s="14" t="str">
        <f t="shared" si="104"/>
        <v>19/07/2023</v>
      </c>
      <c r="O702" s="14" t="str">
        <f t="shared" si="105"/>
        <v>2023</v>
      </c>
      <c r="P702" s="11" t="s">
        <v>1323</v>
      </c>
      <c r="Q702" s="11" t="s">
        <v>117</v>
      </c>
      <c r="R702" s="11">
        <v>3</v>
      </c>
      <c r="S702" s="11" t="str">
        <f t="shared" si="106"/>
        <v>0 - 4 yrs</v>
      </c>
      <c r="T702" s="12">
        <v>229.7</v>
      </c>
      <c r="U702" s="11" t="str">
        <f t="shared" si="99"/>
        <v>(201 - 250)</v>
      </c>
      <c r="V702" s="12">
        <f t="shared" si="100"/>
        <v>0.76009501187648454</v>
      </c>
      <c r="W702" s="12">
        <f t="shared" si="101"/>
        <v>1386</v>
      </c>
      <c r="X702" s="12">
        <f t="shared" si="102"/>
        <v>3.5890624999999998</v>
      </c>
    </row>
    <row r="703" spans="1:24">
      <c r="A703" s="11">
        <v>702</v>
      </c>
      <c r="B703" s="11" t="s">
        <v>1839</v>
      </c>
      <c r="C703" s="11" t="s">
        <v>50</v>
      </c>
      <c r="D703" s="11" t="s">
        <v>61</v>
      </c>
      <c r="E703" s="12">
        <v>10</v>
      </c>
      <c r="F703" s="11" t="s">
        <v>2643</v>
      </c>
      <c r="G703" s="11" t="str">
        <f t="shared" si="98"/>
        <v>Litres</v>
      </c>
      <c r="H703" s="13">
        <v>643</v>
      </c>
      <c r="I703" s="11" t="s">
        <v>19</v>
      </c>
      <c r="J703" s="12">
        <v>115243</v>
      </c>
      <c r="K703" s="12" t="str">
        <f t="shared" si="103"/>
        <v>Extreme</v>
      </c>
      <c r="L703" s="11" t="s">
        <v>20</v>
      </c>
      <c r="M703" s="14">
        <v>45272</v>
      </c>
      <c r="N703" s="14" t="str">
        <f t="shared" si="104"/>
        <v>12/12/2023</v>
      </c>
      <c r="O703" s="14" t="str">
        <f t="shared" si="105"/>
        <v>2023</v>
      </c>
      <c r="P703" s="11" t="s">
        <v>738</v>
      </c>
      <c r="Q703" s="11" t="s">
        <v>121</v>
      </c>
      <c r="R703" s="11">
        <v>2</v>
      </c>
      <c r="S703" s="11" t="str">
        <f t="shared" si="106"/>
        <v>0 - 4 yrs</v>
      </c>
      <c r="T703" s="12">
        <v>0</v>
      </c>
      <c r="U703" s="11" t="str">
        <f t="shared" si="99"/>
        <v>(0 - 50)</v>
      </c>
      <c r="V703" s="12">
        <f t="shared" si="100"/>
        <v>64.3</v>
      </c>
      <c r="W703" s="12">
        <f t="shared" si="101"/>
        <v>179.22706065318818</v>
      </c>
      <c r="X703" s="12">
        <f t="shared" si="102"/>
        <v>0</v>
      </c>
    </row>
    <row r="704" spans="1:24">
      <c r="A704" s="11">
        <v>703</v>
      </c>
      <c r="B704" s="11" t="s">
        <v>1558</v>
      </c>
      <c r="C704" s="11" t="s">
        <v>32</v>
      </c>
      <c r="D704" s="11" t="s">
        <v>33</v>
      </c>
      <c r="E704" s="12">
        <v>95.2</v>
      </c>
      <c r="F704" s="11" t="s">
        <v>56</v>
      </c>
      <c r="G704" s="11" t="str">
        <f t="shared" si="98"/>
        <v>Litres</v>
      </c>
      <c r="H704" s="13">
        <v>586</v>
      </c>
      <c r="I704" s="11" t="s">
        <v>19</v>
      </c>
      <c r="J704" s="12">
        <v>17700</v>
      </c>
      <c r="K704" s="12" t="str">
        <f t="shared" si="103"/>
        <v>Very Low</v>
      </c>
      <c r="L704" s="11" t="s">
        <v>20</v>
      </c>
      <c r="M704" s="14">
        <v>45338</v>
      </c>
      <c r="N704" s="14" t="str">
        <f t="shared" si="104"/>
        <v>16/02/2024</v>
      </c>
      <c r="O704" s="14" t="str">
        <f t="shared" si="105"/>
        <v>2024</v>
      </c>
      <c r="P704" s="11" t="s">
        <v>1842</v>
      </c>
      <c r="Q704" s="11" t="s">
        <v>69</v>
      </c>
      <c r="R704" s="11">
        <v>20</v>
      </c>
      <c r="S704" s="11" t="str">
        <f t="shared" si="106"/>
        <v>17 + yrs</v>
      </c>
      <c r="T704" s="12">
        <v>226.9</v>
      </c>
      <c r="U704" s="11" t="str">
        <f t="shared" si="99"/>
        <v>(201 - 250)</v>
      </c>
      <c r="V704" s="12">
        <f t="shared" si="100"/>
        <v>6.155462184873949</v>
      </c>
      <c r="W704" s="12">
        <f t="shared" si="101"/>
        <v>30.204778156996586</v>
      </c>
      <c r="X704" s="12">
        <f t="shared" si="102"/>
        <v>0.38720136518771331</v>
      </c>
    </row>
    <row r="705" spans="1:24">
      <c r="A705" s="11">
        <v>704</v>
      </c>
      <c r="B705" s="11" t="s">
        <v>2582</v>
      </c>
      <c r="C705" s="11" t="s">
        <v>16</v>
      </c>
      <c r="D705" s="11" t="s">
        <v>114</v>
      </c>
      <c r="E705" s="12">
        <v>20.9</v>
      </c>
      <c r="F705" s="11" t="s">
        <v>2643</v>
      </c>
      <c r="G705" s="11" t="str">
        <f t="shared" si="98"/>
        <v>Litres</v>
      </c>
      <c r="H705" s="13">
        <v>435</v>
      </c>
      <c r="I705" s="11" t="s">
        <v>19</v>
      </c>
      <c r="J705" s="12">
        <v>85117</v>
      </c>
      <c r="K705" s="12" t="str">
        <f t="shared" si="103"/>
        <v>High</v>
      </c>
      <c r="L705" s="11" t="s">
        <v>20</v>
      </c>
      <c r="M705" s="14">
        <v>44973</v>
      </c>
      <c r="N705" s="14" t="str">
        <f t="shared" si="104"/>
        <v>16/02/2023</v>
      </c>
      <c r="O705" s="14" t="str">
        <f t="shared" si="105"/>
        <v>2023</v>
      </c>
      <c r="P705" s="11" t="s">
        <v>1845</v>
      </c>
      <c r="Q705" s="11" t="s">
        <v>441</v>
      </c>
      <c r="R705" s="11">
        <v>8</v>
      </c>
      <c r="S705" s="11" t="str">
        <f t="shared" si="106"/>
        <v>5 - 8 yrs</v>
      </c>
      <c r="T705" s="12">
        <v>47.6</v>
      </c>
      <c r="U705" s="11" t="str">
        <f t="shared" si="99"/>
        <v>(0 - 50)</v>
      </c>
      <c r="V705" s="12">
        <f t="shared" si="100"/>
        <v>20.813397129186605</v>
      </c>
      <c r="W705" s="12">
        <f t="shared" si="101"/>
        <v>195.67126436781609</v>
      </c>
      <c r="X705" s="12">
        <f t="shared" si="102"/>
        <v>0.10942528735632184</v>
      </c>
    </row>
    <row r="706" spans="1:24">
      <c r="A706" s="11">
        <v>705</v>
      </c>
      <c r="B706" s="11" t="s">
        <v>1846</v>
      </c>
      <c r="C706" s="11" t="s">
        <v>39</v>
      </c>
      <c r="D706" s="11" t="s">
        <v>33</v>
      </c>
      <c r="E706" s="12">
        <v>73.3</v>
      </c>
      <c r="F706" s="11" t="s">
        <v>2643</v>
      </c>
      <c r="G706" s="11" t="str">
        <f t="shared" ref="G706:G769" si="107">IF(OR(F706="L",F706="ltrs",F706="liters"),"Litres",F706)</f>
        <v>Litres</v>
      </c>
      <c r="H706" s="13">
        <v>515</v>
      </c>
      <c r="I706" s="11" t="s">
        <v>19</v>
      </c>
      <c r="J706" s="12">
        <v>37891</v>
      </c>
      <c r="K706" s="12" t="str">
        <f t="shared" si="103"/>
        <v>Medium</v>
      </c>
      <c r="L706" s="11" t="s">
        <v>20</v>
      </c>
      <c r="M706" s="14">
        <v>45476</v>
      </c>
      <c r="N706" s="14" t="str">
        <f t="shared" si="104"/>
        <v>03/07/2024</v>
      </c>
      <c r="O706" s="14" t="str">
        <f t="shared" si="105"/>
        <v>2024</v>
      </c>
      <c r="P706" s="11" t="s">
        <v>1848</v>
      </c>
      <c r="Q706" s="11" t="s">
        <v>48</v>
      </c>
      <c r="R706" s="11">
        <v>5</v>
      </c>
      <c r="S706" s="11" t="str">
        <f t="shared" si="106"/>
        <v>5 - 8 yrs</v>
      </c>
      <c r="T706" s="12">
        <v>182.1</v>
      </c>
      <c r="U706" s="11" t="str">
        <f t="shared" si="99"/>
        <v>(151 - 200)</v>
      </c>
      <c r="V706" s="12">
        <f t="shared" si="100"/>
        <v>7.0259208731241474</v>
      </c>
      <c r="W706" s="12">
        <f t="shared" si="101"/>
        <v>73.574757281553403</v>
      </c>
      <c r="X706" s="12">
        <f t="shared" si="102"/>
        <v>0.35359223300970871</v>
      </c>
    </row>
    <row r="707" spans="1:24">
      <c r="A707" s="11">
        <v>706</v>
      </c>
      <c r="B707" s="11" t="s">
        <v>1072</v>
      </c>
      <c r="C707" s="11" t="s">
        <v>16</v>
      </c>
      <c r="D707" s="11" t="s">
        <v>17</v>
      </c>
      <c r="E707" s="12">
        <v>88.5</v>
      </c>
      <c r="F707" s="11" t="s">
        <v>26</v>
      </c>
      <c r="G707" s="11" t="str">
        <f t="shared" si="107"/>
        <v>Litres</v>
      </c>
      <c r="H707" s="13">
        <v>688</v>
      </c>
      <c r="I707" s="11" t="s">
        <v>19</v>
      </c>
      <c r="J707" s="12">
        <v>83820</v>
      </c>
      <c r="K707" s="12" t="str">
        <f t="shared" si="103"/>
        <v>High</v>
      </c>
      <c r="L707" s="11" t="s">
        <v>20</v>
      </c>
      <c r="M707" s="14">
        <v>45244</v>
      </c>
      <c r="N707" s="14" t="str">
        <f t="shared" si="104"/>
        <v>14/11/2023</v>
      </c>
      <c r="O707" s="14" t="str">
        <f t="shared" si="105"/>
        <v>2023</v>
      </c>
      <c r="P707" s="11" t="s">
        <v>1850</v>
      </c>
      <c r="Q707" s="11" t="s">
        <v>121</v>
      </c>
      <c r="R707" s="11">
        <v>4</v>
      </c>
      <c r="S707" s="11" t="str">
        <f t="shared" si="106"/>
        <v>0 - 4 yrs</v>
      </c>
      <c r="T707" s="12">
        <v>267.7</v>
      </c>
      <c r="U707" s="11" t="str">
        <f t="shared" si="99"/>
        <v>(251 - 300)</v>
      </c>
      <c r="V707" s="12">
        <f t="shared" si="100"/>
        <v>7.7740112994350286</v>
      </c>
      <c r="W707" s="12">
        <f t="shared" si="101"/>
        <v>121.83139534883721</v>
      </c>
      <c r="X707" s="12">
        <f t="shared" si="102"/>
        <v>0.38909883720930233</v>
      </c>
    </row>
    <row r="708" spans="1:24">
      <c r="A708" s="11">
        <v>707</v>
      </c>
      <c r="B708" s="11" t="s">
        <v>2490</v>
      </c>
      <c r="C708" s="11" t="s">
        <v>39</v>
      </c>
      <c r="D708" s="11" t="s">
        <v>17</v>
      </c>
      <c r="E708" s="12">
        <v>43.2</v>
      </c>
      <c r="F708" s="11" t="s">
        <v>41</v>
      </c>
      <c r="G708" s="11" t="str">
        <f t="shared" si="107"/>
        <v>Litres</v>
      </c>
      <c r="H708" s="13">
        <v>658</v>
      </c>
      <c r="I708" s="11" t="s">
        <v>19</v>
      </c>
      <c r="J708" s="12">
        <v>60719</v>
      </c>
      <c r="K708" s="12" t="str">
        <f t="shared" si="103"/>
        <v>Moderate</v>
      </c>
      <c r="L708" s="11" t="s">
        <v>20</v>
      </c>
      <c r="M708" s="14">
        <v>45402</v>
      </c>
      <c r="N708" s="14" t="str">
        <f t="shared" si="104"/>
        <v>20/04/2024</v>
      </c>
      <c r="O708" s="14" t="str">
        <f t="shared" si="105"/>
        <v>2024</v>
      </c>
      <c r="P708" s="11" t="s">
        <v>1790</v>
      </c>
      <c r="Q708" s="11" t="s">
        <v>48</v>
      </c>
      <c r="R708" s="11">
        <v>13</v>
      </c>
      <c r="S708" s="11" t="str">
        <f t="shared" si="106"/>
        <v>13 - 16 yrs</v>
      </c>
      <c r="T708" s="12">
        <v>87.4</v>
      </c>
      <c r="U708" s="11" t="str">
        <f t="shared" si="99"/>
        <v>(51 - 100)</v>
      </c>
      <c r="V708" s="12">
        <f t="shared" si="100"/>
        <v>15.231481481481481</v>
      </c>
      <c r="W708" s="12">
        <f t="shared" si="101"/>
        <v>92.27811550151975</v>
      </c>
      <c r="X708" s="12">
        <f t="shared" si="102"/>
        <v>0.13282674772036476</v>
      </c>
    </row>
    <row r="709" spans="1:24">
      <c r="A709" s="11">
        <v>708</v>
      </c>
      <c r="B709" s="11" t="s">
        <v>2583</v>
      </c>
      <c r="C709" s="11" t="s">
        <v>32</v>
      </c>
      <c r="D709" s="11" t="s">
        <v>17</v>
      </c>
      <c r="E709" s="12">
        <v>18.399999999999999</v>
      </c>
      <c r="F709" s="11" t="s">
        <v>26</v>
      </c>
      <c r="G709" s="11" t="str">
        <f t="shared" si="107"/>
        <v>Litres</v>
      </c>
      <c r="H709" s="13">
        <v>63</v>
      </c>
      <c r="I709" s="11" t="s">
        <v>19</v>
      </c>
      <c r="J709" s="12">
        <v>54772</v>
      </c>
      <c r="K709" s="12" t="str">
        <f t="shared" si="103"/>
        <v>Moderate</v>
      </c>
      <c r="L709" s="11" t="s">
        <v>20</v>
      </c>
      <c r="M709" s="14">
        <v>45499</v>
      </c>
      <c r="N709" s="14" t="str">
        <f t="shared" si="104"/>
        <v>26/07/2024</v>
      </c>
      <c r="O709" s="14" t="str">
        <f t="shared" si="105"/>
        <v>2024</v>
      </c>
      <c r="P709" s="11" t="s">
        <v>1848</v>
      </c>
      <c r="Q709" s="11" t="s">
        <v>2648</v>
      </c>
      <c r="R709" s="11">
        <v>16</v>
      </c>
      <c r="S709" s="11" t="str">
        <f t="shared" si="106"/>
        <v>13 - 16 yrs</v>
      </c>
      <c r="T709" s="12">
        <v>49.6</v>
      </c>
      <c r="U709" s="11" t="str">
        <f t="shared" si="99"/>
        <v>(0 - 50)</v>
      </c>
      <c r="V709" s="12">
        <f t="shared" si="100"/>
        <v>3.4239130434782612</v>
      </c>
      <c r="W709" s="12">
        <f t="shared" si="101"/>
        <v>869.39682539682542</v>
      </c>
      <c r="X709" s="12">
        <f t="shared" si="102"/>
        <v>0.78730158730158728</v>
      </c>
    </row>
    <row r="710" spans="1:24">
      <c r="A710" s="11">
        <v>709</v>
      </c>
      <c r="B710" s="11" t="s">
        <v>1854</v>
      </c>
      <c r="C710" s="11" t="s">
        <v>32</v>
      </c>
      <c r="D710" s="11" t="s">
        <v>61</v>
      </c>
      <c r="E710" s="12">
        <v>10</v>
      </c>
      <c r="F710" s="11" t="s">
        <v>62</v>
      </c>
      <c r="G710" s="11" t="str">
        <f t="shared" si="107"/>
        <v>kWh</v>
      </c>
      <c r="H710" s="13">
        <v>296</v>
      </c>
      <c r="I710" s="11" t="s">
        <v>19</v>
      </c>
      <c r="J710" s="12">
        <v>92525</v>
      </c>
      <c r="K710" s="12" t="str">
        <f t="shared" si="103"/>
        <v>Very High</v>
      </c>
      <c r="L710" s="11" t="s">
        <v>20</v>
      </c>
      <c r="M710" s="14">
        <v>45301</v>
      </c>
      <c r="N710" s="14" t="str">
        <f t="shared" si="104"/>
        <v>10/01/2024</v>
      </c>
      <c r="O710" s="14" t="str">
        <f t="shared" si="105"/>
        <v>2024</v>
      </c>
      <c r="P710" s="11" t="s">
        <v>1156</v>
      </c>
      <c r="Q710" s="11" t="s">
        <v>121</v>
      </c>
      <c r="R710" s="11">
        <v>19</v>
      </c>
      <c r="S710" s="11" t="str">
        <f t="shared" si="106"/>
        <v>17 + yrs</v>
      </c>
      <c r="T710" s="12">
        <v>0</v>
      </c>
      <c r="U710" s="11" t="str">
        <f t="shared" si="99"/>
        <v>(0 - 50)</v>
      </c>
      <c r="V710" s="12">
        <f t="shared" si="100"/>
        <v>29.6</v>
      </c>
      <c r="W710" s="12">
        <f t="shared" si="101"/>
        <v>312.58445945945948</v>
      </c>
      <c r="X710" s="12">
        <f t="shared" si="102"/>
        <v>0</v>
      </c>
    </row>
    <row r="711" spans="1:24">
      <c r="A711" s="11">
        <v>710</v>
      </c>
      <c r="B711" s="11" t="s">
        <v>1856</v>
      </c>
      <c r="C711" s="11" t="s">
        <v>39</v>
      </c>
      <c r="D711" s="11" t="s">
        <v>114</v>
      </c>
      <c r="E711" s="12">
        <v>95.1</v>
      </c>
      <c r="F711" s="11" t="s">
        <v>41</v>
      </c>
      <c r="G711" s="11" t="str">
        <f t="shared" si="107"/>
        <v>Litres</v>
      </c>
      <c r="H711" s="13">
        <v>446</v>
      </c>
      <c r="I711" s="11" t="s">
        <v>19</v>
      </c>
      <c r="J711" s="12">
        <v>55523</v>
      </c>
      <c r="K711" s="12" t="str">
        <f t="shared" si="103"/>
        <v>Moderate</v>
      </c>
      <c r="L711" s="11" t="s">
        <v>20</v>
      </c>
      <c r="M711" s="14">
        <v>45308</v>
      </c>
      <c r="N711" s="14" t="str">
        <f t="shared" si="104"/>
        <v>17/01/2024</v>
      </c>
      <c r="O711" s="14" t="str">
        <f t="shared" si="105"/>
        <v>2024</v>
      </c>
      <c r="P711" s="11" t="s">
        <v>1268</v>
      </c>
      <c r="Q711" s="11" t="s">
        <v>69</v>
      </c>
      <c r="R711" s="11">
        <v>8</v>
      </c>
      <c r="S711" s="11" t="str">
        <f t="shared" si="106"/>
        <v>5 - 8 yrs</v>
      </c>
      <c r="T711" s="12">
        <v>228.1</v>
      </c>
      <c r="U711" s="11" t="str">
        <f t="shared" si="99"/>
        <v>(201 - 250)</v>
      </c>
      <c r="V711" s="12">
        <f t="shared" si="100"/>
        <v>4.6898002103049423</v>
      </c>
      <c r="W711" s="12">
        <f t="shared" si="101"/>
        <v>124.49103139013452</v>
      </c>
      <c r="X711" s="12">
        <f t="shared" si="102"/>
        <v>0.51143497757847534</v>
      </c>
    </row>
    <row r="712" spans="1:24">
      <c r="A712" s="11">
        <v>711</v>
      </c>
      <c r="B712" s="11" t="s">
        <v>2584</v>
      </c>
      <c r="C712" s="11" t="s">
        <v>32</v>
      </c>
      <c r="D712" s="11" t="s">
        <v>17</v>
      </c>
      <c r="E712" s="12">
        <v>53.9</v>
      </c>
      <c r="F712" s="11" t="s">
        <v>62</v>
      </c>
      <c r="G712" s="11" t="str">
        <f t="shared" si="107"/>
        <v>kWh</v>
      </c>
      <c r="H712" s="13">
        <v>475</v>
      </c>
      <c r="I712" s="11" t="s">
        <v>19</v>
      </c>
      <c r="J712" s="12">
        <v>50200</v>
      </c>
      <c r="K712" s="12" t="str">
        <f t="shared" si="103"/>
        <v>Medium</v>
      </c>
      <c r="L712" s="11" t="s">
        <v>20</v>
      </c>
      <c r="M712" s="14">
        <v>45116</v>
      </c>
      <c r="N712" s="14" t="str">
        <f t="shared" si="104"/>
        <v>09/07/2023</v>
      </c>
      <c r="O712" s="14" t="str">
        <f t="shared" si="105"/>
        <v>2023</v>
      </c>
      <c r="P712" s="11" t="s">
        <v>1860</v>
      </c>
      <c r="Q712" s="11" t="s">
        <v>441</v>
      </c>
      <c r="R712" s="11">
        <v>11</v>
      </c>
      <c r="S712" s="11" t="str">
        <f t="shared" si="106"/>
        <v>9 - 12 yrs</v>
      </c>
      <c r="T712" s="12">
        <v>163</v>
      </c>
      <c r="U712" s="11" t="str">
        <f t="shared" si="99"/>
        <v>(151 - 200)</v>
      </c>
      <c r="V712" s="12">
        <f t="shared" si="100"/>
        <v>8.8126159554730989</v>
      </c>
      <c r="W712" s="12">
        <f t="shared" si="101"/>
        <v>105.68421052631579</v>
      </c>
      <c r="X712" s="12">
        <f t="shared" si="102"/>
        <v>0.34315789473684211</v>
      </c>
    </row>
    <row r="713" spans="1:24">
      <c r="A713" s="11">
        <v>712</v>
      </c>
      <c r="B713" s="11" t="s">
        <v>1861</v>
      </c>
      <c r="C713" s="11" t="s">
        <v>50</v>
      </c>
      <c r="D713" s="11" t="s">
        <v>17</v>
      </c>
      <c r="E713" s="12">
        <v>68.599999999999994</v>
      </c>
      <c r="F713" s="11" t="s">
        <v>56</v>
      </c>
      <c r="G713" s="11" t="str">
        <f t="shared" si="107"/>
        <v>Litres</v>
      </c>
      <c r="H713" s="13">
        <v>85</v>
      </c>
      <c r="I713" s="11" t="s">
        <v>19</v>
      </c>
      <c r="J713" s="12">
        <v>84152</v>
      </c>
      <c r="K713" s="12" t="str">
        <f t="shared" si="103"/>
        <v>High</v>
      </c>
      <c r="L713" s="11" t="s">
        <v>20</v>
      </c>
      <c r="M713" s="14">
        <v>45646</v>
      </c>
      <c r="N713" s="14" t="str">
        <f t="shared" si="104"/>
        <v>20/12/2024</v>
      </c>
      <c r="O713" s="14" t="str">
        <f t="shared" si="105"/>
        <v>2024</v>
      </c>
      <c r="P713" s="11" t="s">
        <v>1863</v>
      </c>
      <c r="Q713" s="11" t="s">
        <v>117</v>
      </c>
      <c r="R713" s="11">
        <v>3</v>
      </c>
      <c r="S713" s="11" t="str">
        <f t="shared" si="106"/>
        <v>0 - 4 yrs</v>
      </c>
      <c r="T713" s="12">
        <v>182.5</v>
      </c>
      <c r="U713" s="11" t="str">
        <f t="shared" si="99"/>
        <v>(151 - 200)</v>
      </c>
      <c r="V713" s="12">
        <f t="shared" si="100"/>
        <v>1.2390670553935861</v>
      </c>
      <c r="W713" s="12">
        <f t="shared" si="101"/>
        <v>990.02352941176468</v>
      </c>
      <c r="X713" s="12">
        <f t="shared" si="102"/>
        <v>2.1470588235294117</v>
      </c>
    </row>
    <row r="714" spans="1:24">
      <c r="A714" s="11">
        <v>713</v>
      </c>
      <c r="B714" s="11" t="s">
        <v>1864</v>
      </c>
      <c r="C714" s="11" t="s">
        <v>32</v>
      </c>
      <c r="D714" s="11" t="s">
        <v>61</v>
      </c>
      <c r="E714" s="12">
        <v>10</v>
      </c>
      <c r="F714" s="11" t="s">
        <v>26</v>
      </c>
      <c r="G714" s="11" t="str">
        <f t="shared" si="107"/>
        <v>Litres</v>
      </c>
      <c r="H714" s="13">
        <v>73</v>
      </c>
      <c r="I714" s="11" t="s">
        <v>19</v>
      </c>
      <c r="J714" s="12">
        <v>38589</v>
      </c>
      <c r="K714" s="12" t="str">
        <f t="shared" si="103"/>
        <v>Medium</v>
      </c>
      <c r="L714" s="11" t="s">
        <v>20</v>
      </c>
      <c r="M714" s="14">
        <v>45230</v>
      </c>
      <c r="N714" s="14" t="str">
        <f t="shared" si="104"/>
        <v>31/10/2023</v>
      </c>
      <c r="O714" s="14" t="str">
        <f t="shared" si="105"/>
        <v>2023</v>
      </c>
      <c r="P714" s="11" t="s">
        <v>695</v>
      </c>
      <c r="Q714" s="11" t="s">
        <v>59</v>
      </c>
      <c r="R714" s="11">
        <v>14</v>
      </c>
      <c r="S714" s="11" t="str">
        <f t="shared" si="106"/>
        <v>13 - 16 yrs</v>
      </c>
      <c r="T714" s="12">
        <v>0</v>
      </c>
      <c r="U714" s="11" t="str">
        <f t="shared" si="99"/>
        <v>(0 - 50)</v>
      </c>
      <c r="V714" s="12">
        <f t="shared" si="100"/>
        <v>7.3</v>
      </c>
      <c r="W714" s="12">
        <f t="shared" si="101"/>
        <v>528.61643835616439</v>
      </c>
      <c r="X714" s="12">
        <f t="shared" si="102"/>
        <v>0</v>
      </c>
    </row>
    <row r="715" spans="1:24">
      <c r="A715" s="11">
        <v>714</v>
      </c>
      <c r="B715" s="11" t="s">
        <v>1866</v>
      </c>
      <c r="C715" s="11" t="s">
        <v>32</v>
      </c>
      <c r="D715" s="11" t="s">
        <v>33</v>
      </c>
      <c r="E715" s="12">
        <v>11.3</v>
      </c>
      <c r="F715" s="11" t="s">
        <v>26</v>
      </c>
      <c r="G715" s="11" t="str">
        <f t="shared" si="107"/>
        <v>Litres</v>
      </c>
      <c r="H715" s="13">
        <v>611</v>
      </c>
      <c r="I715" s="11" t="s">
        <v>19</v>
      </c>
      <c r="J715" s="12">
        <v>15804</v>
      </c>
      <c r="K715" s="12" t="str">
        <f t="shared" si="103"/>
        <v>Very Low</v>
      </c>
      <c r="L715" s="11" t="s">
        <v>20</v>
      </c>
      <c r="M715" s="14">
        <v>45604</v>
      </c>
      <c r="N715" s="14" t="str">
        <f t="shared" si="104"/>
        <v>08/11/2024</v>
      </c>
      <c r="O715" s="14" t="str">
        <f t="shared" si="105"/>
        <v>2024</v>
      </c>
      <c r="P715" s="11" t="s">
        <v>642</v>
      </c>
      <c r="Q715" s="11" t="s">
        <v>86</v>
      </c>
      <c r="R715" s="11">
        <v>11</v>
      </c>
      <c r="S715" s="11" t="str">
        <f t="shared" si="106"/>
        <v>9 - 12 yrs</v>
      </c>
      <c r="T715" s="12">
        <v>26.9</v>
      </c>
      <c r="U715" s="11" t="str">
        <f t="shared" si="99"/>
        <v>(0 - 50)</v>
      </c>
      <c r="V715" s="12">
        <f t="shared" si="100"/>
        <v>54.070796460176986</v>
      </c>
      <c r="W715" s="12">
        <f t="shared" si="101"/>
        <v>25.865793780687397</v>
      </c>
      <c r="X715" s="12">
        <f t="shared" si="102"/>
        <v>4.4026186579378068E-2</v>
      </c>
    </row>
    <row r="716" spans="1:24">
      <c r="A716" s="11">
        <v>715</v>
      </c>
      <c r="B716" s="11" t="s">
        <v>1867</v>
      </c>
      <c r="C716" s="11" t="s">
        <v>16</v>
      </c>
      <c r="D716" s="11" t="s">
        <v>33</v>
      </c>
      <c r="E716" s="12">
        <v>86.2</v>
      </c>
      <c r="F716" s="11" t="s">
        <v>26</v>
      </c>
      <c r="G716" s="11" t="str">
        <f t="shared" si="107"/>
        <v>Litres</v>
      </c>
      <c r="H716" s="13">
        <v>518</v>
      </c>
      <c r="I716" s="11" t="s">
        <v>19</v>
      </c>
      <c r="J716" s="12">
        <v>23143</v>
      </c>
      <c r="K716" s="12" t="str">
        <f t="shared" si="103"/>
        <v>Low</v>
      </c>
      <c r="L716" s="11" t="s">
        <v>20</v>
      </c>
      <c r="M716" s="14">
        <v>45383</v>
      </c>
      <c r="N716" s="14" t="str">
        <f t="shared" si="104"/>
        <v>01/04/2024</v>
      </c>
      <c r="O716" s="14" t="str">
        <f t="shared" si="105"/>
        <v>2024</v>
      </c>
      <c r="P716" s="11" t="s">
        <v>1869</v>
      </c>
      <c r="Q716" s="11" t="s">
        <v>112</v>
      </c>
      <c r="R716" s="11">
        <v>12</v>
      </c>
      <c r="S716" s="11" t="str">
        <f t="shared" si="106"/>
        <v>9 - 12 yrs</v>
      </c>
      <c r="T716" s="12">
        <v>190.2</v>
      </c>
      <c r="U716" s="11" t="str">
        <f t="shared" si="99"/>
        <v>(151 - 200)</v>
      </c>
      <c r="V716" s="12">
        <f t="shared" si="100"/>
        <v>6.0092807424593966</v>
      </c>
      <c r="W716" s="12">
        <f t="shared" si="101"/>
        <v>44.677606177606179</v>
      </c>
      <c r="X716" s="12">
        <f t="shared" si="102"/>
        <v>0.36718146718146716</v>
      </c>
    </row>
    <row r="717" spans="1:24">
      <c r="A717" s="11">
        <v>716</v>
      </c>
      <c r="B717" s="11" t="s">
        <v>2426</v>
      </c>
      <c r="C717" s="11" t="s">
        <v>50</v>
      </c>
      <c r="D717" s="11" t="s">
        <v>17</v>
      </c>
      <c r="E717" s="12">
        <v>46.5</v>
      </c>
      <c r="F717" s="11" t="s">
        <v>56</v>
      </c>
      <c r="G717" s="11" t="str">
        <f t="shared" si="107"/>
        <v>Litres</v>
      </c>
      <c r="H717" s="13">
        <v>235</v>
      </c>
      <c r="I717" s="11" t="s">
        <v>19</v>
      </c>
      <c r="J717" s="12">
        <v>79067</v>
      </c>
      <c r="K717" s="12" t="str">
        <f t="shared" si="103"/>
        <v>High</v>
      </c>
      <c r="L717" s="11" t="s">
        <v>20</v>
      </c>
      <c r="M717" s="14">
        <v>45801</v>
      </c>
      <c r="N717" s="14" t="str">
        <f t="shared" si="104"/>
        <v>24/05/2025</v>
      </c>
      <c r="O717" s="14" t="str">
        <f t="shared" si="105"/>
        <v>2025</v>
      </c>
      <c r="P717" s="11" t="s">
        <v>1340</v>
      </c>
      <c r="Q717" s="11" t="s">
        <v>48</v>
      </c>
      <c r="R717" s="11">
        <v>15</v>
      </c>
      <c r="S717" s="11" t="str">
        <f t="shared" si="106"/>
        <v>13 - 16 yrs</v>
      </c>
      <c r="T717" s="12">
        <v>135.9</v>
      </c>
      <c r="U717" s="11" t="str">
        <f t="shared" si="99"/>
        <v>(101 - 150)</v>
      </c>
      <c r="V717" s="12">
        <f t="shared" si="100"/>
        <v>5.053763440860215</v>
      </c>
      <c r="W717" s="12">
        <f t="shared" si="101"/>
        <v>336.45531914893616</v>
      </c>
      <c r="X717" s="12">
        <f t="shared" si="102"/>
        <v>0.57829787234042551</v>
      </c>
    </row>
    <row r="718" spans="1:24">
      <c r="A718" s="11">
        <v>717</v>
      </c>
      <c r="B718" s="11" t="s">
        <v>1871</v>
      </c>
      <c r="C718" s="11" t="s">
        <v>16</v>
      </c>
      <c r="D718" s="11" t="s">
        <v>61</v>
      </c>
      <c r="E718" s="12">
        <v>10</v>
      </c>
      <c r="F718" s="11" t="s">
        <v>2643</v>
      </c>
      <c r="G718" s="11" t="str">
        <f t="shared" si="107"/>
        <v>Litres</v>
      </c>
      <c r="H718" s="13">
        <v>337</v>
      </c>
      <c r="I718" s="11" t="s">
        <v>19</v>
      </c>
      <c r="J718" s="12">
        <v>74189</v>
      </c>
      <c r="K718" s="12" t="str">
        <f t="shared" si="103"/>
        <v>High</v>
      </c>
      <c r="L718" s="11" t="s">
        <v>20</v>
      </c>
      <c r="M718" s="14">
        <v>45580</v>
      </c>
      <c r="N718" s="14" t="str">
        <f t="shared" si="104"/>
        <v>15/10/2024</v>
      </c>
      <c r="O718" s="14" t="str">
        <f t="shared" si="105"/>
        <v>2024</v>
      </c>
      <c r="P718" s="11" t="s">
        <v>1873</v>
      </c>
      <c r="Q718" s="11" t="s">
        <v>121</v>
      </c>
      <c r="R718" s="11">
        <v>19</v>
      </c>
      <c r="S718" s="11" t="str">
        <f t="shared" si="106"/>
        <v>17 + yrs</v>
      </c>
      <c r="T718" s="12">
        <v>0</v>
      </c>
      <c r="U718" s="11" t="str">
        <f t="shared" si="99"/>
        <v>(0 - 50)</v>
      </c>
      <c r="V718" s="12">
        <f t="shared" si="100"/>
        <v>33.700000000000003</v>
      </c>
      <c r="W718" s="12">
        <f t="shared" si="101"/>
        <v>220.14540059347181</v>
      </c>
      <c r="X718" s="12">
        <f t="shared" si="102"/>
        <v>0</v>
      </c>
    </row>
    <row r="719" spans="1:24">
      <c r="A719" s="11">
        <v>718</v>
      </c>
      <c r="B719" s="11" t="s">
        <v>1874</v>
      </c>
      <c r="C719" s="11" t="s">
        <v>39</v>
      </c>
      <c r="D719" s="11" t="s">
        <v>33</v>
      </c>
      <c r="E719" s="12">
        <v>77.099999999999994</v>
      </c>
      <c r="F719" s="11" t="s">
        <v>2643</v>
      </c>
      <c r="G719" s="11" t="str">
        <f t="shared" si="107"/>
        <v>Litres</v>
      </c>
      <c r="H719" s="13">
        <v>583</v>
      </c>
      <c r="I719" s="11" t="s">
        <v>19</v>
      </c>
      <c r="J719" s="12">
        <v>24050</v>
      </c>
      <c r="K719" s="12" t="str">
        <f t="shared" si="103"/>
        <v>Low</v>
      </c>
      <c r="L719" s="11" t="s">
        <v>20</v>
      </c>
      <c r="M719" s="14">
        <v>45615</v>
      </c>
      <c r="N719" s="14" t="str">
        <f t="shared" si="104"/>
        <v>19/11/2024</v>
      </c>
      <c r="O719" s="14" t="str">
        <f t="shared" si="105"/>
        <v>2024</v>
      </c>
      <c r="P719" s="11" t="s">
        <v>410</v>
      </c>
      <c r="Q719" s="11" t="s">
        <v>48</v>
      </c>
      <c r="R719" s="11">
        <v>18</v>
      </c>
      <c r="S719" s="11" t="str">
        <f t="shared" si="106"/>
        <v>17 + yrs</v>
      </c>
      <c r="T719" s="12">
        <v>215.4</v>
      </c>
      <c r="U719" s="11" t="str">
        <f t="shared" si="99"/>
        <v>(201 - 250)</v>
      </c>
      <c r="V719" s="12">
        <f t="shared" si="100"/>
        <v>7.5616083009079125</v>
      </c>
      <c r="W719" s="12">
        <f t="shared" si="101"/>
        <v>41.252144082332762</v>
      </c>
      <c r="X719" s="12">
        <f t="shared" si="102"/>
        <v>0.36946826758147516</v>
      </c>
    </row>
    <row r="720" spans="1:24">
      <c r="A720" s="11">
        <v>719</v>
      </c>
      <c r="B720" s="11" t="s">
        <v>1594</v>
      </c>
      <c r="C720" s="11" t="s">
        <v>39</v>
      </c>
      <c r="D720" s="11" t="s">
        <v>17</v>
      </c>
      <c r="E720" s="12">
        <v>66.400000000000006</v>
      </c>
      <c r="F720" s="11" t="s">
        <v>2643</v>
      </c>
      <c r="G720" s="11" t="str">
        <f t="shared" si="107"/>
        <v>Litres</v>
      </c>
      <c r="H720" s="13">
        <v>468</v>
      </c>
      <c r="I720" s="11" t="s">
        <v>19</v>
      </c>
      <c r="J720" s="12">
        <v>99630</v>
      </c>
      <c r="K720" s="12" t="str">
        <f t="shared" si="103"/>
        <v>Very High</v>
      </c>
      <c r="L720" s="11" t="s">
        <v>20</v>
      </c>
      <c r="M720" s="14">
        <v>45286</v>
      </c>
      <c r="N720" s="14" t="str">
        <f t="shared" si="104"/>
        <v>26/12/2023</v>
      </c>
      <c r="O720" s="14" t="str">
        <f t="shared" si="105"/>
        <v>2023</v>
      </c>
      <c r="P720" s="11" t="s">
        <v>479</v>
      </c>
      <c r="Q720" s="11" t="s">
        <v>54</v>
      </c>
      <c r="R720" s="11">
        <v>15</v>
      </c>
      <c r="S720" s="11" t="str">
        <f t="shared" si="106"/>
        <v>13 - 16 yrs</v>
      </c>
      <c r="T720" s="12">
        <v>150.80000000000001</v>
      </c>
      <c r="U720" s="11" t="str">
        <f t="shared" si="99"/>
        <v>(151 - 200)</v>
      </c>
      <c r="V720" s="12">
        <f t="shared" si="100"/>
        <v>7.0481927710843371</v>
      </c>
      <c r="W720" s="12">
        <f t="shared" si="101"/>
        <v>212.88461538461539</v>
      </c>
      <c r="X720" s="12">
        <f t="shared" si="102"/>
        <v>0.32222222222222224</v>
      </c>
    </row>
    <row r="721" spans="1:24">
      <c r="A721" s="11">
        <v>720</v>
      </c>
      <c r="B721" s="11" t="s">
        <v>1877</v>
      </c>
      <c r="C721" s="11" t="s">
        <v>39</v>
      </c>
      <c r="D721" s="11" t="s">
        <v>33</v>
      </c>
      <c r="E721" s="12">
        <v>12.2</v>
      </c>
      <c r="F721" s="11" t="s">
        <v>41</v>
      </c>
      <c r="G721" s="11" t="str">
        <f t="shared" si="107"/>
        <v>Litres</v>
      </c>
      <c r="H721" s="13">
        <v>233</v>
      </c>
      <c r="I721" s="11" t="s">
        <v>19</v>
      </c>
      <c r="J721" s="12">
        <v>63432</v>
      </c>
      <c r="K721" s="12" t="str">
        <f t="shared" si="103"/>
        <v>Moderate</v>
      </c>
      <c r="L721" s="11" t="s">
        <v>20</v>
      </c>
      <c r="M721" s="14">
        <v>45616</v>
      </c>
      <c r="N721" s="14" t="str">
        <f t="shared" si="104"/>
        <v>20/11/2024</v>
      </c>
      <c r="O721" s="14" t="str">
        <f t="shared" si="105"/>
        <v>2024</v>
      </c>
      <c r="P721" s="11" t="s">
        <v>1878</v>
      </c>
      <c r="Q721" s="11" t="s">
        <v>112</v>
      </c>
      <c r="R721" s="11">
        <v>7</v>
      </c>
      <c r="S721" s="11" t="str">
        <f t="shared" si="106"/>
        <v>5 - 8 yrs</v>
      </c>
      <c r="T721" s="12">
        <v>29.4</v>
      </c>
      <c r="U721" s="11" t="str">
        <f t="shared" si="99"/>
        <v>(0 - 50)</v>
      </c>
      <c r="V721" s="12">
        <f t="shared" si="100"/>
        <v>19.098360655737707</v>
      </c>
      <c r="W721" s="12">
        <f t="shared" si="101"/>
        <v>272.24034334763951</v>
      </c>
      <c r="X721" s="12">
        <f t="shared" si="102"/>
        <v>0.12618025751072962</v>
      </c>
    </row>
    <row r="722" spans="1:24">
      <c r="A722" s="11">
        <v>721</v>
      </c>
      <c r="B722" s="11" t="s">
        <v>2585</v>
      </c>
      <c r="C722" s="11" t="s">
        <v>16</v>
      </c>
      <c r="D722" s="11" t="s">
        <v>33</v>
      </c>
      <c r="E722" s="12">
        <v>97.2</v>
      </c>
      <c r="F722" s="11" t="s">
        <v>2643</v>
      </c>
      <c r="G722" s="11" t="str">
        <f t="shared" si="107"/>
        <v>Litres</v>
      </c>
      <c r="H722" s="13">
        <v>636</v>
      </c>
      <c r="I722" s="11" t="s">
        <v>19</v>
      </c>
      <c r="J722" s="12">
        <v>117571</v>
      </c>
      <c r="K722" s="12" t="str">
        <f t="shared" si="103"/>
        <v>Extreme</v>
      </c>
      <c r="L722" s="11" t="s">
        <v>20</v>
      </c>
      <c r="M722" s="14">
        <v>45737</v>
      </c>
      <c r="N722" s="14" t="str">
        <f t="shared" si="104"/>
        <v>21/03/2025</v>
      </c>
      <c r="O722" s="14" t="str">
        <f t="shared" si="105"/>
        <v>2025</v>
      </c>
      <c r="P722" s="11" t="s">
        <v>1044</v>
      </c>
      <c r="Q722" s="11" t="s">
        <v>54</v>
      </c>
      <c r="R722" s="11">
        <v>18</v>
      </c>
      <c r="S722" s="11" t="str">
        <f t="shared" si="106"/>
        <v>17 + yrs</v>
      </c>
      <c r="T722" s="12">
        <v>313.3</v>
      </c>
      <c r="U722" s="11" t="str">
        <f t="shared" si="99"/>
        <v>(301 - 350)</v>
      </c>
      <c r="V722" s="12">
        <f t="shared" si="100"/>
        <v>6.5432098765432096</v>
      </c>
      <c r="W722" s="12">
        <f t="shared" si="101"/>
        <v>184.86006289308176</v>
      </c>
      <c r="X722" s="12">
        <f t="shared" si="102"/>
        <v>0.49261006289308179</v>
      </c>
    </row>
    <row r="723" spans="1:24">
      <c r="A723" s="11">
        <v>722</v>
      </c>
      <c r="B723" s="11" t="s">
        <v>1881</v>
      </c>
      <c r="C723" s="11" t="s">
        <v>39</v>
      </c>
      <c r="D723" s="11" t="s">
        <v>17</v>
      </c>
      <c r="E723" s="12">
        <v>51.2</v>
      </c>
      <c r="F723" s="11" t="s">
        <v>56</v>
      </c>
      <c r="G723" s="11" t="str">
        <f t="shared" si="107"/>
        <v>Litres</v>
      </c>
      <c r="H723" s="13">
        <v>564</v>
      </c>
      <c r="I723" s="11" t="s">
        <v>19</v>
      </c>
      <c r="J723" s="12">
        <v>22144</v>
      </c>
      <c r="K723" s="12" t="str">
        <f t="shared" si="103"/>
        <v>Low</v>
      </c>
      <c r="L723" s="11" t="s">
        <v>20</v>
      </c>
      <c r="M723" s="14">
        <v>45066</v>
      </c>
      <c r="N723" s="14" t="str">
        <f t="shared" si="104"/>
        <v>20/05/2023</v>
      </c>
      <c r="O723" s="14" t="str">
        <f t="shared" si="105"/>
        <v>2023</v>
      </c>
      <c r="P723" s="11" t="s">
        <v>1071</v>
      </c>
      <c r="Q723" s="11" t="s">
        <v>112</v>
      </c>
      <c r="R723" s="11">
        <v>3</v>
      </c>
      <c r="S723" s="11" t="str">
        <f t="shared" si="106"/>
        <v>0 - 4 yrs</v>
      </c>
      <c r="T723" s="12">
        <v>107.8</v>
      </c>
      <c r="U723" s="11" t="str">
        <f t="shared" si="99"/>
        <v>(101 - 150)</v>
      </c>
      <c r="V723" s="12">
        <f t="shared" si="100"/>
        <v>11.015625</v>
      </c>
      <c r="W723" s="12">
        <f t="shared" si="101"/>
        <v>39.262411347517734</v>
      </c>
      <c r="X723" s="12">
        <f t="shared" si="102"/>
        <v>0.19113475177304964</v>
      </c>
    </row>
    <row r="724" spans="1:24">
      <c r="A724" s="11">
        <v>723</v>
      </c>
      <c r="B724" s="11" t="s">
        <v>1883</v>
      </c>
      <c r="C724" s="11" t="s">
        <v>16</v>
      </c>
      <c r="D724" s="11" t="s">
        <v>33</v>
      </c>
      <c r="E724" s="12">
        <v>66.5</v>
      </c>
      <c r="F724" s="11" t="s">
        <v>56</v>
      </c>
      <c r="G724" s="11" t="str">
        <f t="shared" si="107"/>
        <v>Litres</v>
      </c>
      <c r="H724" s="13">
        <v>640</v>
      </c>
      <c r="I724" s="11" t="s">
        <v>19</v>
      </c>
      <c r="J724" s="12">
        <v>72205</v>
      </c>
      <c r="K724" s="12" t="str">
        <f t="shared" si="103"/>
        <v>High</v>
      </c>
      <c r="L724" s="11" t="s">
        <v>20</v>
      </c>
      <c r="M724" s="14">
        <v>45674</v>
      </c>
      <c r="N724" s="14" t="str">
        <f t="shared" si="104"/>
        <v>17/01/2025</v>
      </c>
      <c r="O724" s="14" t="str">
        <f t="shared" si="105"/>
        <v>2025</v>
      </c>
      <c r="P724" s="11" t="s">
        <v>1309</v>
      </c>
      <c r="Q724" s="11" t="s">
        <v>59</v>
      </c>
      <c r="R724" s="11">
        <v>9</v>
      </c>
      <c r="S724" s="11" t="str">
        <f t="shared" si="106"/>
        <v>9 - 12 yrs</v>
      </c>
      <c r="T724" s="12">
        <v>218.5</v>
      </c>
      <c r="U724" s="11" t="str">
        <f t="shared" si="99"/>
        <v>(201 - 250)</v>
      </c>
      <c r="V724" s="12">
        <f t="shared" si="100"/>
        <v>9.6240601503759393</v>
      </c>
      <c r="W724" s="12">
        <f t="shared" si="101"/>
        <v>112.8203125</v>
      </c>
      <c r="X724" s="12">
        <f t="shared" si="102"/>
        <v>0.34140625000000002</v>
      </c>
    </row>
    <row r="725" spans="1:24">
      <c r="A725" s="11">
        <v>724</v>
      </c>
      <c r="B725" s="11" t="s">
        <v>2586</v>
      </c>
      <c r="C725" s="11" t="s">
        <v>50</v>
      </c>
      <c r="D725" s="11" t="s">
        <v>33</v>
      </c>
      <c r="E725" s="12">
        <v>15</v>
      </c>
      <c r="F725" s="11" t="s">
        <v>56</v>
      </c>
      <c r="G725" s="11" t="str">
        <f t="shared" si="107"/>
        <v>Litres</v>
      </c>
      <c r="H725" s="13">
        <v>214</v>
      </c>
      <c r="I725" s="11" t="s">
        <v>19</v>
      </c>
      <c r="J725" s="12">
        <v>40959</v>
      </c>
      <c r="K725" s="12" t="str">
        <f t="shared" si="103"/>
        <v>Medium</v>
      </c>
      <c r="L725" s="11" t="s">
        <v>20</v>
      </c>
      <c r="M725" s="14">
        <v>45319</v>
      </c>
      <c r="N725" s="14" t="str">
        <f t="shared" si="104"/>
        <v>28/01/2024</v>
      </c>
      <c r="O725" s="14" t="str">
        <f t="shared" si="105"/>
        <v>2024</v>
      </c>
      <c r="P725" s="11" t="s">
        <v>1886</v>
      </c>
      <c r="Q725" s="11" t="s">
        <v>86</v>
      </c>
      <c r="R725" s="11">
        <v>15</v>
      </c>
      <c r="S725" s="11" t="str">
        <f t="shared" si="106"/>
        <v>13 - 16 yrs</v>
      </c>
      <c r="T725" s="12">
        <v>45.4</v>
      </c>
      <c r="U725" s="11" t="str">
        <f t="shared" si="99"/>
        <v>(0 - 50)</v>
      </c>
      <c r="V725" s="12">
        <f t="shared" si="100"/>
        <v>14.266666666666667</v>
      </c>
      <c r="W725" s="12">
        <f t="shared" si="101"/>
        <v>191.39719626168224</v>
      </c>
      <c r="X725" s="12">
        <f t="shared" si="102"/>
        <v>0.21214953271028036</v>
      </c>
    </row>
    <row r="726" spans="1:24">
      <c r="A726" s="11">
        <v>725</v>
      </c>
      <c r="B726" s="11" t="s">
        <v>1887</v>
      </c>
      <c r="C726" s="11" t="s">
        <v>39</v>
      </c>
      <c r="D726" s="11" t="s">
        <v>17</v>
      </c>
      <c r="E726" s="12">
        <v>77.599999999999994</v>
      </c>
      <c r="F726" s="11" t="s">
        <v>2643</v>
      </c>
      <c r="G726" s="11" t="str">
        <f t="shared" si="107"/>
        <v>Litres</v>
      </c>
      <c r="H726" s="13">
        <v>301</v>
      </c>
      <c r="I726" s="11" t="s">
        <v>19</v>
      </c>
      <c r="J726" s="12">
        <v>58487</v>
      </c>
      <c r="K726" s="12" t="str">
        <f t="shared" si="103"/>
        <v>Moderate</v>
      </c>
      <c r="L726" s="11" t="s">
        <v>20</v>
      </c>
      <c r="M726" s="14">
        <v>45177</v>
      </c>
      <c r="N726" s="14" t="str">
        <f t="shared" si="104"/>
        <v>08/09/2023</v>
      </c>
      <c r="O726" s="14" t="str">
        <f t="shared" si="105"/>
        <v>2023</v>
      </c>
      <c r="P726" s="11" t="s">
        <v>413</v>
      </c>
      <c r="Q726" s="11" t="s">
        <v>86</v>
      </c>
      <c r="R726" s="11">
        <v>2</v>
      </c>
      <c r="S726" s="11" t="str">
        <f t="shared" si="106"/>
        <v>0 - 4 yrs</v>
      </c>
      <c r="T726" s="12">
        <v>219.2</v>
      </c>
      <c r="U726" s="11" t="str">
        <f t="shared" si="99"/>
        <v>(201 - 250)</v>
      </c>
      <c r="V726" s="12">
        <f t="shared" si="100"/>
        <v>3.8788659793814437</v>
      </c>
      <c r="W726" s="12">
        <f t="shared" si="101"/>
        <v>194.30897009966776</v>
      </c>
      <c r="X726" s="12">
        <f t="shared" si="102"/>
        <v>0.72823920265780728</v>
      </c>
    </row>
    <row r="727" spans="1:24">
      <c r="A727" s="11">
        <v>726</v>
      </c>
      <c r="B727" s="11" t="s">
        <v>2587</v>
      </c>
      <c r="C727" s="11" t="s">
        <v>32</v>
      </c>
      <c r="D727" s="11" t="s">
        <v>61</v>
      </c>
      <c r="E727" s="12">
        <v>10</v>
      </c>
      <c r="F727" s="11" t="s">
        <v>41</v>
      </c>
      <c r="G727" s="11" t="str">
        <f t="shared" si="107"/>
        <v>Litres</v>
      </c>
      <c r="H727" s="13">
        <v>79</v>
      </c>
      <c r="I727" s="11" t="s">
        <v>19</v>
      </c>
      <c r="J727" s="12">
        <v>82583</v>
      </c>
      <c r="K727" s="12" t="str">
        <f t="shared" si="103"/>
        <v>High</v>
      </c>
      <c r="L727" s="11" t="s">
        <v>20</v>
      </c>
      <c r="M727" s="14">
        <v>45039</v>
      </c>
      <c r="N727" s="14" t="str">
        <f t="shared" si="104"/>
        <v>23/04/2023</v>
      </c>
      <c r="O727" s="14" t="str">
        <f t="shared" si="105"/>
        <v>2023</v>
      </c>
      <c r="P727" s="11" t="s">
        <v>1227</v>
      </c>
      <c r="Q727" s="11" t="s">
        <v>2648</v>
      </c>
      <c r="R727" s="11">
        <v>5</v>
      </c>
      <c r="S727" s="11" t="str">
        <f t="shared" si="106"/>
        <v>5 - 8 yrs</v>
      </c>
      <c r="T727" s="12">
        <v>0</v>
      </c>
      <c r="U727" s="11" t="str">
        <f t="shared" si="99"/>
        <v>(0 - 50)</v>
      </c>
      <c r="V727" s="12">
        <f t="shared" si="100"/>
        <v>7.9</v>
      </c>
      <c r="W727" s="12">
        <f t="shared" si="101"/>
        <v>1045.3544303797469</v>
      </c>
      <c r="X727" s="12">
        <f t="shared" si="102"/>
        <v>0</v>
      </c>
    </row>
    <row r="728" spans="1:24">
      <c r="A728" s="11">
        <v>727</v>
      </c>
      <c r="B728" s="11" t="s">
        <v>1891</v>
      </c>
      <c r="C728" s="11" t="s">
        <v>39</v>
      </c>
      <c r="D728" s="11" t="s">
        <v>17</v>
      </c>
      <c r="E728" s="12">
        <v>73.8</v>
      </c>
      <c r="F728" s="11" t="s">
        <v>56</v>
      </c>
      <c r="G728" s="11" t="str">
        <f t="shared" si="107"/>
        <v>Litres</v>
      </c>
      <c r="H728" s="13">
        <v>532</v>
      </c>
      <c r="I728" s="11" t="s">
        <v>19</v>
      </c>
      <c r="J728" s="12">
        <v>86996</v>
      </c>
      <c r="K728" s="12" t="str">
        <f t="shared" si="103"/>
        <v>High</v>
      </c>
      <c r="L728" s="11" t="s">
        <v>20</v>
      </c>
      <c r="M728" s="14">
        <v>45124</v>
      </c>
      <c r="N728" s="14" t="str">
        <f t="shared" si="104"/>
        <v>17/07/2023</v>
      </c>
      <c r="O728" s="14" t="str">
        <f t="shared" si="105"/>
        <v>2023</v>
      </c>
      <c r="P728" s="11" t="s">
        <v>1893</v>
      </c>
      <c r="Q728" s="11" t="s">
        <v>86</v>
      </c>
      <c r="R728" s="11">
        <v>4</v>
      </c>
      <c r="S728" s="11" t="str">
        <f t="shared" si="106"/>
        <v>0 - 4 yrs</v>
      </c>
      <c r="T728" s="12">
        <v>152.5</v>
      </c>
      <c r="U728" s="11" t="str">
        <f t="shared" si="99"/>
        <v>(151 - 200)</v>
      </c>
      <c r="V728" s="12">
        <f t="shared" si="100"/>
        <v>7.2086720867208678</v>
      </c>
      <c r="W728" s="12">
        <f t="shared" si="101"/>
        <v>163.52631578947367</v>
      </c>
      <c r="X728" s="12">
        <f t="shared" si="102"/>
        <v>0.28665413533834588</v>
      </c>
    </row>
    <row r="729" spans="1:24">
      <c r="A729" s="11">
        <v>728</v>
      </c>
      <c r="B729" s="11" t="s">
        <v>1214</v>
      </c>
      <c r="C729" s="11" t="s">
        <v>39</v>
      </c>
      <c r="D729" s="11" t="s">
        <v>61</v>
      </c>
      <c r="E729" s="12">
        <v>10</v>
      </c>
      <c r="F729" s="11" t="s">
        <v>26</v>
      </c>
      <c r="G729" s="11" t="str">
        <f t="shared" si="107"/>
        <v>Litres</v>
      </c>
      <c r="H729" s="13">
        <v>274</v>
      </c>
      <c r="I729" s="11" t="s">
        <v>19</v>
      </c>
      <c r="J729" s="12">
        <v>20501</v>
      </c>
      <c r="K729" s="12" t="str">
        <f t="shared" si="103"/>
        <v>Low</v>
      </c>
      <c r="L729" s="11" t="s">
        <v>20</v>
      </c>
      <c r="M729" s="14">
        <v>45721</v>
      </c>
      <c r="N729" s="14" t="str">
        <f t="shared" si="104"/>
        <v>05/03/2025</v>
      </c>
      <c r="O729" s="14" t="str">
        <f t="shared" si="105"/>
        <v>2025</v>
      </c>
      <c r="P729" s="11" t="s">
        <v>1895</v>
      </c>
      <c r="Q729" s="11" t="s">
        <v>69</v>
      </c>
      <c r="R729" s="11">
        <v>19</v>
      </c>
      <c r="S729" s="11" t="str">
        <f t="shared" si="106"/>
        <v>17 + yrs</v>
      </c>
      <c r="T729" s="12">
        <v>0</v>
      </c>
      <c r="U729" s="11" t="str">
        <f t="shared" si="99"/>
        <v>(0 - 50)</v>
      </c>
      <c r="V729" s="12">
        <f t="shared" si="100"/>
        <v>27.4</v>
      </c>
      <c r="W729" s="12">
        <f t="shared" si="101"/>
        <v>74.821167883211672</v>
      </c>
      <c r="X729" s="12">
        <f t="shared" si="102"/>
        <v>0</v>
      </c>
    </row>
    <row r="730" spans="1:24">
      <c r="A730" s="11">
        <v>729</v>
      </c>
      <c r="B730" s="11" t="s">
        <v>1896</v>
      </c>
      <c r="C730" s="11" t="s">
        <v>16</v>
      </c>
      <c r="D730" s="11" t="s">
        <v>33</v>
      </c>
      <c r="E730" s="12">
        <v>15.7</v>
      </c>
      <c r="F730" s="11" t="s">
        <v>56</v>
      </c>
      <c r="G730" s="11" t="str">
        <f t="shared" si="107"/>
        <v>Litres</v>
      </c>
      <c r="H730" s="13">
        <v>518</v>
      </c>
      <c r="I730" s="11" t="s">
        <v>19</v>
      </c>
      <c r="J730" s="12">
        <v>100021</v>
      </c>
      <c r="K730" s="12" t="str">
        <f t="shared" si="103"/>
        <v>Very High</v>
      </c>
      <c r="L730" s="11" t="s">
        <v>20</v>
      </c>
      <c r="M730" s="14">
        <v>45356</v>
      </c>
      <c r="N730" s="14" t="str">
        <f t="shared" si="104"/>
        <v>05/03/2024</v>
      </c>
      <c r="O730" s="14" t="str">
        <f t="shared" si="105"/>
        <v>2024</v>
      </c>
      <c r="P730" s="11" t="s">
        <v>1898</v>
      </c>
      <c r="Q730" s="11" t="s">
        <v>117</v>
      </c>
      <c r="R730" s="11">
        <v>5</v>
      </c>
      <c r="S730" s="11" t="str">
        <f t="shared" si="106"/>
        <v>5 - 8 yrs</v>
      </c>
      <c r="T730" s="12">
        <v>32</v>
      </c>
      <c r="U730" s="11" t="str">
        <f t="shared" si="99"/>
        <v>(0 - 50)</v>
      </c>
      <c r="V730" s="12">
        <f t="shared" si="100"/>
        <v>32.99363057324841</v>
      </c>
      <c r="W730" s="12">
        <f t="shared" si="101"/>
        <v>193.09073359073358</v>
      </c>
      <c r="X730" s="12">
        <f t="shared" si="102"/>
        <v>6.1776061776061778E-2</v>
      </c>
    </row>
    <row r="731" spans="1:24">
      <c r="A731" s="11">
        <v>730</v>
      </c>
      <c r="B731" s="11" t="s">
        <v>1899</v>
      </c>
      <c r="C731" s="11" t="s">
        <v>39</v>
      </c>
      <c r="D731" s="11" t="s">
        <v>33</v>
      </c>
      <c r="E731" s="12">
        <v>36.299999999999997</v>
      </c>
      <c r="F731" s="11" t="s">
        <v>2643</v>
      </c>
      <c r="G731" s="11" t="str">
        <f t="shared" si="107"/>
        <v>Litres</v>
      </c>
      <c r="H731" s="13">
        <v>93</v>
      </c>
      <c r="I731" s="11" t="s">
        <v>19</v>
      </c>
      <c r="J731" s="12">
        <v>53529</v>
      </c>
      <c r="K731" s="12" t="str">
        <f t="shared" si="103"/>
        <v>Medium</v>
      </c>
      <c r="L731" s="11" t="s">
        <v>20</v>
      </c>
      <c r="M731" s="14">
        <v>45359</v>
      </c>
      <c r="N731" s="14" t="str">
        <f t="shared" si="104"/>
        <v>08/03/2024</v>
      </c>
      <c r="O731" s="14" t="str">
        <f t="shared" si="105"/>
        <v>2024</v>
      </c>
      <c r="P731" s="11" t="s">
        <v>1900</v>
      </c>
      <c r="Q731" s="11" t="s">
        <v>112</v>
      </c>
      <c r="R731" s="11">
        <v>7</v>
      </c>
      <c r="S731" s="11" t="str">
        <f t="shared" si="106"/>
        <v>5 - 8 yrs</v>
      </c>
      <c r="T731" s="12">
        <v>105.7</v>
      </c>
      <c r="U731" s="11" t="str">
        <f t="shared" si="99"/>
        <v>(101 - 150)</v>
      </c>
      <c r="V731" s="12">
        <f t="shared" si="100"/>
        <v>2.5619834710743805</v>
      </c>
      <c r="W731" s="12">
        <f t="shared" si="101"/>
        <v>575.58064516129036</v>
      </c>
      <c r="X731" s="12">
        <f t="shared" si="102"/>
        <v>1.1365591397849462</v>
      </c>
    </row>
    <row r="732" spans="1:24">
      <c r="A732" s="11">
        <v>731</v>
      </c>
      <c r="B732" s="11" t="s">
        <v>2588</v>
      </c>
      <c r="C732" s="11" t="s">
        <v>39</v>
      </c>
      <c r="D732" s="11" t="s">
        <v>61</v>
      </c>
      <c r="E732" s="12">
        <v>10</v>
      </c>
      <c r="F732" s="11" t="s">
        <v>62</v>
      </c>
      <c r="G732" s="11" t="str">
        <f t="shared" si="107"/>
        <v>kWh</v>
      </c>
      <c r="H732" s="13">
        <v>306</v>
      </c>
      <c r="I732" s="11" t="s">
        <v>19</v>
      </c>
      <c r="J732" s="12">
        <v>48631</v>
      </c>
      <c r="K732" s="12" t="str">
        <f t="shared" si="103"/>
        <v>Medium</v>
      </c>
      <c r="L732" s="11" t="s">
        <v>20</v>
      </c>
      <c r="M732" s="14">
        <v>45457</v>
      </c>
      <c r="N732" s="14" t="str">
        <f t="shared" si="104"/>
        <v>14/06/2024</v>
      </c>
      <c r="O732" s="14" t="str">
        <f t="shared" si="105"/>
        <v>2024</v>
      </c>
      <c r="P732" s="11" t="s">
        <v>452</v>
      </c>
      <c r="Q732" s="11" t="s">
        <v>59</v>
      </c>
      <c r="R732" s="11">
        <v>7</v>
      </c>
      <c r="S732" s="11" t="str">
        <f t="shared" si="106"/>
        <v>5 - 8 yrs</v>
      </c>
      <c r="T732" s="12">
        <v>0</v>
      </c>
      <c r="U732" s="11" t="str">
        <f t="shared" si="99"/>
        <v>(0 - 50)</v>
      </c>
      <c r="V732" s="12">
        <f t="shared" si="100"/>
        <v>30.6</v>
      </c>
      <c r="W732" s="12">
        <f t="shared" si="101"/>
        <v>158.92483660130719</v>
      </c>
      <c r="X732" s="12">
        <f t="shared" si="102"/>
        <v>0</v>
      </c>
    </row>
    <row r="733" spans="1:24">
      <c r="A733" s="11">
        <v>732</v>
      </c>
      <c r="B733" s="11" t="s">
        <v>2589</v>
      </c>
      <c r="C733" s="11" t="s">
        <v>39</v>
      </c>
      <c r="D733" s="11" t="s">
        <v>17</v>
      </c>
      <c r="E733" s="12">
        <v>75</v>
      </c>
      <c r="F733" s="11" t="s">
        <v>2643</v>
      </c>
      <c r="G733" s="11" t="str">
        <f t="shared" si="107"/>
        <v>Litres</v>
      </c>
      <c r="H733" s="13">
        <v>43</v>
      </c>
      <c r="I733" s="11" t="s">
        <v>19</v>
      </c>
      <c r="J733" s="12">
        <v>44297</v>
      </c>
      <c r="K733" s="12" t="str">
        <f t="shared" si="103"/>
        <v>Medium</v>
      </c>
      <c r="L733" s="11" t="s">
        <v>20</v>
      </c>
      <c r="M733" s="14">
        <v>45480</v>
      </c>
      <c r="N733" s="14" t="str">
        <f t="shared" si="104"/>
        <v>07/07/2024</v>
      </c>
      <c r="O733" s="14" t="str">
        <f t="shared" si="105"/>
        <v>2024</v>
      </c>
      <c r="P733" s="11" t="s">
        <v>1905</v>
      </c>
      <c r="Q733" s="11" t="s">
        <v>59</v>
      </c>
      <c r="R733" s="11">
        <v>18</v>
      </c>
      <c r="S733" s="11" t="str">
        <f t="shared" si="106"/>
        <v>17 + yrs</v>
      </c>
      <c r="T733" s="12">
        <v>255</v>
      </c>
      <c r="U733" s="11" t="str">
        <f t="shared" si="99"/>
        <v>(251 - 300)</v>
      </c>
      <c r="V733" s="12">
        <f t="shared" si="100"/>
        <v>0.57333333333333336</v>
      </c>
      <c r="W733" s="12">
        <f t="shared" si="101"/>
        <v>1030.1627906976744</v>
      </c>
      <c r="X733" s="12">
        <f t="shared" si="102"/>
        <v>5.9302325581395348</v>
      </c>
    </row>
    <row r="734" spans="1:24">
      <c r="A734" s="11">
        <v>733</v>
      </c>
      <c r="B734" s="11" t="s">
        <v>1906</v>
      </c>
      <c r="C734" s="11" t="s">
        <v>32</v>
      </c>
      <c r="D734" s="11" t="s">
        <v>17</v>
      </c>
      <c r="E734" s="12">
        <v>30</v>
      </c>
      <c r="F734" s="11" t="s">
        <v>62</v>
      </c>
      <c r="G734" s="11" t="str">
        <f t="shared" si="107"/>
        <v>kWh</v>
      </c>
      <c r="H734" s="13">
        <v>540</v>
      </c>
      <c r="I734" s="11" t="s">
        <v>19</v>
      </c>
      <c r="J734" s="12">
        <v>25491</v>
      </c>
      <c r="K734" s="12" t="str">
        <f t="shared" si="103"/>
        <v>Low</v>
      </c>
      <c r="L734" s="11" t="s">
        <v>20</v>
      </c>
      <c r="M734" s="14">
        <v>45690</v>
      </c>
      <c r="N734" s="14" t="str">
        <f t="shared" si="104"/>
        <v>02/02/2025</v>
      </c>
      <c r="O734" s="14" t="str">
        <f t="shared" si="105"/>
        <v>2025</v>
      </c>
      <c r="P734" s="11" t="s">
        <v>1907</v>
      </c>
      <c r="Q734" s="11" t="s">
        <v>441</v>
      </c>
      <c r="R734" s="11">
        <v>7</v>
      </c>
      <c r="S734" s="11" t="str">
        <f t="shared" si="106"/>
        <v>5 - 8 yrs</v>
      </c>
      <c r="T734" s="12">
        <v>96.4</v>
      </c>
      <c r="U734" s="11" t="str">
        <f t="shared" si="99"/>
        <v>(51 - 100)</v>
      </c>
      <c r="V734" s="12">
        <f t="shared" si="100"/>
        <v>18</v>
      </c>
      <c r="W734" s="12">
        <f t="shared" si="101"/>
        <v>47.205555555555556</v>
      </c>
      <c r="X734" s="12">
        <f t="shared" si="102"/>
        <v>0.17851851851851852</v>
      </c>
    </row>
    <row r="735" spans="1:24">
      <c r="A735" s="11">
        <v>734</v>
      </c>
      <c r="B735" s="11" t="s">
        <v>2590</v>
      </c>
      <c r="C735" s="11" t="s">
        <v>50</v>
      </c>
      <c r="D735" s="11" t="s">
        <v>61</v>
      </c>
      <c r="E735" s="12">
        <v>10</v>
      </c>
      <c r="F735" s="11" t="s">
        <v>2643</v>
      </c>
      <c r="G735" s="11" t="str">
        <f t="shared" si="107"/>
        <v>Litres</v>
      </c>
      <c r="H735" s="13">
        <v>288</v>
      </c>
      <c r="I735" s="11" t="s">
        <v>19</v>
      </c>
      <c r="J735" s="12">
        <v>83044</v>
      </c>
      <c r="K735" s="12" t="str">
        <f t="shared" si="103"/>
        <v>High</v>
      </c>
      <c r="L735" s="11" t="s">
        <v>20</v>
      </c>
      <c r="M735" s="14">
        <v>45074</v>
      </c>
      <c r="N735" s="14" t="str">
        <f t="shared" si="104"/>
        <v>28/05/2023</v>
      </c>
      <c r="O735" s="14" t="str">
        <f t="shared" si="105"/>
        <v>2023</v>
      </c>
      <c r="P735" s="11" t="s">
        <v>1249</v>
      </c>
      <c r="Q735" s="11" t="s">
        <v>48</v>
      </c>
      <c r="R735" s="11">
        <v>14</v>
      </c>
      <c r="S735" s="11" t="str">
        <f t="shared" si="106"/>
        <v>13 - 16 yrs</v>
      </c>
      <c r="T735" s="12">
        <v>0</v>
      </c>
      <c r="U735" s="11" t="str">
        <f t="shared" si="99"/>
        <v>(0 - 50)</v>
      </c>
      <c r="V735" s="12">
        <f t="shared" si="100"/>
        <v>28.8</v>
      </c>
      <c r="W735" s="12">
        <f t="shared" si="101"/>
        <v>288.34722222222223</v>
      </c>
      <c r="X735" s="12">
        <f t="shared" si="102"/>
        <v>0</v>
      </c>
    </row>
    <row r="736" spans="1:24">
      <c r="A736" s="11">
        <v>735</v>
      </c>
      <c r="B736" s="11" t="s">
        <v>1910</v>
      </c>
      <c r="C736" s="11" t="s">
        <v>32</v>
      </c>
      <c r="D736" s="11" t="s">
        <v>17</v>
      </c>
      <c r="E736" s="12">
        <v>85.3</v>
      </c>
      <c r="F736" s="11" t="s">
        <v>56</v>
      </c>
      <c r="G736" s="11" t="str">
        <f t="shared" si="107"/>
        <v>Litres</v>
      </c>
      <c r="H736" s="13">
        <v>199</v>
      </c>
      <c r="I736" s="11" t="s">
        <v>19</v>
      </c>
      <c r="J736" s="12">
        <v>79165</v>
      </c>
      <c r="K736" s="12" t="str">
        <f t="shared" si="103"/>
        <v>High</v>
      </c>
      <c r="L736" s="11" t="s">
        <v>20</v>
      </c>
      <c r="M736" s="14">
        <v>44995</v>
      </c>
      <c r="N736" s="14" t="str">
        <f t="shared" si="104"/>
        <v>10/03/2023</v>
      </c>
      <c r="O736" s="14" t="str">
        <f t="shared" si="105"/>
        <v>2023</v>
      </c>
      <c r="P736" s="11" t="s">
        <v>918</v>
      </c>
      <c r="Q736" s="11" t="s">
        <v>112</v>
      </c>
      <c r="R736" s="11">
        <v>3</v>
      </c>
      <c r="S736" s="11" t="str">
        <f t="shared" si="106"/>
        <v>0 - 4 yrs</v>
      </c>
      <c r="T736" s="12">
        <v>297.3</v>
      </c>
      <c r="U736" s="11" t="str">
        <f t="shared" si="99"/>
        <v>(251 - 300)</v>
      </c>
      <c r="V736" s="12">
        <f t="shared" si="100"/>
        <v>2.3329425556858148</v>
      </c>
      <c r="W736" s="12">
        <f t="shared" si="101"/>
        <v>397.8140703517588</v>
      </c>
      <c r="X736" s="12">
        <f t="shared" si="102"/>
        <v>1.4939698492462312</v>
      </c>
    </row>
    <row r="737" spans="1:24">
      <c r="A737" s="11">
        <v>736</v>
      </c>
      <c r="B737" s="11" t="s">
        <v>313</v>
      </c>
      <c r="C737" s="11" t="s">
        <v>32</v>
      </c>
      <c r="D737" s="11" t="s">
        <v>114</v>
      </c>
      <c r="E737" s="12">
        <v>99.5</v>
      </c>
      <c r="F737" s="11" t="s">
        <v>2643</v>
      </c>
      <c r="G737" s="11" t="str">
        <f t="shared" si="107"/>
        <v>Litres</v>
      </c>
      <c r="H737" s="13">
        <v>402</v>
      </c>
      <c r="I737" s="11" t="s">
        <v>19</v>
      </c>
      <c r="J737" s="12">
        <v>50052</v>
      </c>
      <c r="K737" s="12" t="str">
        <f t="shared" si="103"/>
        <v>Medium</v>
      </c>
      <c r="L737" s="11" t="s">
        <v>20</v>
      </c>
      <c r="M737" s="14">
        <v>45070</v>
      </c>
      <c r="N737" s="14" t="str">
        <f t="shared" si="104"/>
        <v>24/05/2023</v>
      </c>
      <c r="O737" s="14" t="str">
        <f t="shared" si="105"/>
        <v>2023</v>
      </c>
      <c r="P737" s="11" t="s">
        <v>1232</v>
      </c>
      <c r="Q737" s="11" t="s">
        <v>69</v>
      </c>
      <c r="R737" s="11">
        <v>7</v>
      </c>
      <c r="S737" s="11" t="str">
        <f t="shared" si="106"/>
        <v>5 - 8 yrs</v>
      </c>
      <c r="T737" s="12">
        <v>329.9</v>
      </c>
      <c r="U737" s="11" t="str">
        <f t="shared" ref="U737:U800" si="108">IF(T737&lt;=50,"(0 - 50)",IF(T737&lt;=100,"(51 - 100)",IF(T737&lt;=150,"(101 - 150)",IF(T737&lt;=200,"(151 - 200)",IF(T737&lt;=250,"(201 - 250)",IF(T737&lt;=300,"(251 - 300)","(301 - 350)"))))))</f>
        <v>(301 - 350)</v>
      </c>
      <c r="V737" s="12">
        <f t="shared" ref="V737:V800" si="109">H737/E737</f>
        <v>4.0402010050251258</v>
      </c>
      <c r="W737" s="12">
        <f t="shared" ref="W737:W800" si="110">J737/H737</f>
        <v>124.50746268656717</v>
      </c>
      <c r="X737" s="12">
        <f t="shared" ref="X737:X800" si="111">T737/H737</f>
        <v>0.82064676616915422</v>
      </c>
    </row>
    <row r="738" spans="1:24">
      <c r="A738" s="11">
        <v>737</v>
      </c>
      <c r="B738" s="11" t="s">
        <v>1913</v>
      </c>
      <c r="C738" s="11" t="s">
        <v>50</v>
      </c>
      <c r="D738" s="11" t="s">
        <v>33</v>
      </c>
      <c r="E738" s="12">
        <v>41.5</v>
      </c>
      <c r="F738" s="11" t="s">
        <v>41</v>
      </c>
      <c r="G738" s="11" t="str">
        <f t="shared" si="107"/>
        <v>Litres</v>
      </c>
      <c r="H738" s="13">
        <v>620</v>
      </c>
      <c r="I738" s="11" t="s">
        <v>19</v>
      </c>
      <c r="J738" s="12">
        <v>9416</v>
      </c>
      <c r="K738" s="12" t="str">
        <f t="shared" si="103"/>
        <v>Very Low</v>
      </c>
      <c r="L738" s="11" t="s">
        <v>20</v>
      </c>
      <c r="M738" s="14">
        <v>45578</v>
      </c>
      <c r="N738" s="14" t="str">
        <f t="shared" si="104"/>
        <v>13/10/2024</v>
      </c>
      <c r="O738" s="14" t="str">
        <f t="shared" si="105"/>
        <v>2024</v>
      </c>
      <c r="P738" s="11" t="s">
        <v>1915</v>
      </c>
      <c r="Q738" s="11" t="s">
        <v>54</v>
      </c>
      <c r="R738" s="11">
        <v>16</v>
      </c>
      <c r="S738" s="11" t="str">
        <f t="shared" si="106"/>
        <v>13 - 16 yrs</v>
      </c>
      <c r="T738" s="12">
        <v>127.9</v>
      </c>
      <c r="U738" s="11" t="str">
        <f t="shared" si="108"/>
        <v>(101 - 150)</v>
      </c>
      <c r="V738" s="12">
        <f t="shared" si="109"/>
        <v>14.939759036144578</v>
      </c>
      <c r="W738" s="12">
        <f t="shared" si="110"/>
        <v>15.187096774193549</v>
      </c>
      <c r="X738" s="12">
        <f t="shared" si="111"/>
        <v>0.20629032258064517</v>
      </c>
    </row>
    <row r="739" spans="1:24">
      <c r="A739" s="11">
        <v>738</v>
      </c>
      <c r="B739" s="11" t="s">
        <v>1916</v>
      </c>
      <c r="C739" s="11" t="s">
        <v>32</v>
      </c>
      <c r="D739" s="11" t="s">
        <v>17</v>
      </c>
      <c r="E739" s="12">
        <v>15.7</v>
      </c>
      <c r="F739" s="11" t="s">
        <v>41</v>
      </c>
      <c r="G739" s="11" t="str">
        <f t="shared" si="107"/>
        <v>Litres</v>
      </c>
      <c r="H739" s="13">
        <v>500</v>
      </c>
      <c r="I739" s="11" t="s">
        <v>19</v>
      </c>
      <c r="J739" s="12">
        <v>89022</v>
      </c>
      <c r="K739" s="12" t="str">
        <f t="shared" si="103"/>
        <v>High</v>
      </c>
      <c r="L739" s="11" t="s">
        <v>20</v>
      </c>
      <c r="M739" s="14">
        <v>44964</v>
      </c>
      <c r="N739" s="14" t="str">
        <f t="shared" si="104"/>
        <v>07/02/2023</v>
      </c>
      <c r="O739" s="14" t="str">
        <f t="shared" si="105"/>
        <v>2023</v>
      </c>
      <c r="P739" s="11" t="s">
        <v>1918</v>
      </c>
      <c r="Q739" s="11" t="s">
        <v>48</v>
      </c>
      <c r="R739" s="11">
        <v>3</v>
      </c>
      <c r="S739" s="11" t="str">
        <f t="shared" si="106"/>
        <v>0 - 4 yrs</v>
      </c>
      <c r="T739" s="12">
        <v>38.4</v>
      </c>
      <c r="U739" s="11" t="str">
        <f t="shared" si="108"/>
        <v>(0 - 50)</v>
      </c>
      <c r="V739" s="12">
        <f t="shared" si="109"/>
        <v>31.847133757961785</v>
      </c>
      <c r="W739" s="12">
        <f t="shared" si="110"/>
        <v>178.04400000000001</v>
      </c>
      <c r="X739" s="12">
        <f t="shared" si="111"/>
        <v>7.6799999999999993E-2</v>
      </c>
    </row>
    <row r="740" spans="1:24">
      <c r="A740" s="11">
        <v>739</v>
      </c>
      <c r="B740" s="11" t="s">
        <v>1919</v>
      </c>
      <c r="C740" s="11" t="s">
        <v>16</v>
      </c>
      <c r="D740" s="11" t="s">
        <v>61</v>
      </c>
      <c r="E740" s="12">
        <v>10</v>
      </c>
      <c r="F740" s="11" t="s">
        <v>56</v>
      </c>
      <c r="G740" s="11" t="str">
        <f t="shared" si="107"/>
        <v>Litres</v>
      </c>
      <c r="H740" s="13">
        <v>123</v>
      </c>
      <c r="I740" s="11" t="s">
        <v>19</v>
      </c>
      <c r="J740" s="12">
        <v>94900</v>
      </c>
      <c r="K740" s="12" t="str">
        <f t="shared" si="103"/>
        <v>Very High</v>
      </c>
      <c r="L740" s="11" t="s">
        <v>20</v>
      </c>
      <c r="M740" s="14">
        <v>45284</v>
      </c>
      <c r="N740" s="14" t="str">
        <f t="shared" si="104"/>
        <v>24/12/2023</v>
      </c>
      <c r="O740" s="14" t="str">
        <f t="shared" si="105"/>
        <v>2023</v>
      </c>
      <c r="P740" s="11" t="s">
        <v>1921</v>
      </c>
      <c r="Q740" s="11" t="s">
        <v>441</v>
      </c>
      <c r="R740" s="11">
        <v>19</v>
      </c>
      <c r="S740" s="11" t="str">
        <f t="shared" si="106"/>
        <v>17 + yrs</v>
      </c>
      <c r="T740" s="12">
        <v>0</v>
      </c>
      <c r="U740" s="11" t="str">
        <f t="shared" si="108"/>
        <v>(0 - 50)</v>
      </c>
      <c r="V740" s="12">
        <f t="shared" si="109"/>
        <v>12.3</v>
      </c>
      <c r="W740" s="12">
        <f t="shared" si="110"/>
        <v>771.54471544715443</v>
      </c>
      <c r="X740" s="12">
        <f t="shared" si="111"/>
        <v>0</v>
      </c>
    </row>
    <row r="741" spans="1:24">
      <c r="A741" s="11">
        <v>740</v>
      </c>
      <c r="B741" s="11" t="s">
        <v>625</v>
      </c>
      <c r="C741" s="11" t="s">
        <v>50</v>
      </c>
      <c r="D741" s="11" t="s">
        <v>61</v>
      </c>
      <c r="E741" s="12">
        <v>10</v>
      </c>
      <c r="F741" s="11" t="s">
        <v>26</v>
      </c>
      <c r="G741" s="11" t="str">
        <f t="shared" si="107"/>
        <v>Litres</v>
      </c>
      <c r="H741" s="13">
        <v>57</v>
      </c>
      <c r="I741" s="11" t="s">
        <v>19</v>
      </c>
      <c r="J741" s="12">
        <v>47483</v>
      </c>
      <c r="K741" s="12" t="str">
        <f t="shared" si="103"/>
        <v>Medium</v>
      </c>
      <c r="L741" s="11" t="s">
        <v>20</v>
      </c>
      <c r="M741" s="14">
        <v>45723</v>
      </c>
      <c r="N741" s="14" t="str">
        <f t="shared" si="104"/>
        <v>07/03/2025</v>
      </c>
      <c r="O741" s="14" t="str">
        <f t="shared" si="105"/>
        <v>2025</v>
      </c>
      <c r="P741" s="11" t="s">
        <v>1129</v>
      </c>
      <c r="Q741" s="11" t="s">
        <v>59</v>
      </c>
      <c r="R741" s="11">
        <v>7</v>
      </c>
      <c r="S741" s="11" t="str">
        <f t="shared" si="106"/>
        <v>5 - 8 yrs</v>
      </c>
      <c r="T741" s="12">
        <v>0</v>
      </c>
      <c r="U741" s="11" t="str">
        <f t="shared" si="108"/>
        <v>(0 - 50)</v>
      </c>
      <c r="V741" s="12">
        <f t="shared" si="109"/>
        <v>5.7</v>
      </c>
      <c r="W741" s="12">
        <f t="shared" si="110"/>
        <v>833.03508771929819</v>
      </c>
      <c r="X741" s="12">
        <f t="shared" si="111"/>
        <v>0</v>
      </c>
    </row>
    <row r="742" spans="1:24">
      <c r="A742" s="11">
        <v>741</v>
      </c>
      <c r="B742" s="11" t="s">
        <v>1761</v>
      </c>
      <c r="C742" s="11" t="s">
        <v>50</v>
      </c>
      <c r="D742" s="11" t="s">
        <v>114</v>
      </c>
      <c r="E742" s="12">
        <v>42.8</v>
      </c>
      <c r="F742" s="11" t="s">
        <v>26</v>
      </c>
      <c r="G742" s="11" t="str">
        <f t="shared" si="107"/>
        <v>Litres</v>
      </c>
      <c r="H742" s="13">
        <v>185</v>
      </c>
      <c r="I742" s="11" t="s">
        <v>19</v>
      </c>
      <c r="J742" s="12">
        <v>7614</v>
      </c>
      <c r="K742" s="12" t="str">
        <f t="shared" ref="K742:K805" si="112">IF(J742&lt;18000,"Very Low",IF(J742&lt;36000,"Low",IF(J742&lt;54000,"Medium",IF(J742&lt;72000,"Moderate",IF(J742&lt;90000,"High",IF(J742&lt;108000,"Very High","Extreme"))))))</f>
        <v>Very Low</v>
      </c>
      <c r="L742" s="11" t="s">
        <v>20</v>
      </c>
      <c r="M742" s="14">
        <v>45179</v>
      </c>
      <c r="N742" s="14" t="str">
        <f t="shared" ref="N742:N805" si="113">TEXT(M742,"dd/mm/yyyy")</f>
        <v>10/09/2023</v>
      </c>
      <c r="O742" s="14" t="str">
        <f t="shared" ref="O742:O805" si="114">TEXT(M742,"yyyy")</f>
        <v>2023</v>
      </c>
      <c r="P742" s="11" t="s">
        <v>1924</v>
      </c>
      <c r="Q742" s="11" t="s">
        <v>121</v>
      </c>
      <c r="R742" s="11">
        <v>13</v>
      </c>
      <c r="S742" s="11" t="str">
        <f t="shared" ref="S742:S805" si="115">IF(R742&lt;=4,"0 - 4 yrs",IF(R742&lt;=8,"5 - 8 yrs",IF(R742&lt;=12,"9 - 12 yrs",IF(R742&lt;=16,"13 - 16 yrs","17 + yrs"))))</f>
        <v>13 - 16 yrs</v>
      </c>
      <c r="T742" s="12">
        <v>92.9</v>
      </c>
      <c r="U742" s="11" t="str">
        <f t="shared" si="108"/>
        <v>(51 - 100)</v>
      </c>
      <c r="V742" s="12">
        <f t="shared" si="109"/>
        <v>4.3224299065420562</v>
      </c>
      <c r="W742" s="12">
        <f t="shared" si="110"/>
        <v>41.156756756756756</v>
      </c>
      <c r="X742" s="12">
        <f t="shared" si="111"/>
        <v>0.50216216216216214</v>
      </c>
    </row>
    <row r="743" spans="1:24">
      <c r="A743" s="11">
        <v>742</v>
      </c>
      <c r="B743" s="11" t="s">
        <v>1925</v>
      </c>
      <c r="C743" s="11" t="s">
        <v>32</v>
      </c>
      <c r="D743" s="11" t="s">
        <v>17</v>
      </c>
      <c r="E743" s="12">
        <v>95.8</v>
      </c>
      <c r="F743" s="11" t="s">
        <v>26</v>
      </c>
      <c r="G743" s="11" t="str">
        <f t="shared" si="107"/>
        <v>Litres</v>
      </c>
      <c r="H743" s="13">
        <v>441</v>
      </c>
      <c r="I743" s="11" t="s">
        <v>19</v>
      </c>
      <c r="J743" s="12">
        <v>91077</v>
      </c>
      <c r="K743" s="12" t="str">
        <f t="shared" si="112"/>
        <v>Very High</v>
      </c>
      <c r="L743" s="11" t="s">
        <v>20</v>
      </c>
      <c r="M743" s="14">
        <v>45408</v>
      </c>
      <c r="N743" s="14" t="str">
        <f t="shared" si="113"/>
        <v>26/04/2024</v>
      </c>
      <c r="O743" s="14" t="str">
        <f t="shared" si="114"/>
        <v>2024</v>
      </c>
      <c r="P743" s="11" t="s">
        <v>1927</v>
      </c>
      <c r="Q743" s="11" t="s">
        <v>69</v>
      </c>
      <c r="R743" s="11">
        <v>8</v>
      </c>
      <c r="S743" s="11" t="str">
        <f t="shared" si="115"/>
        <v>5 - 8 yrs</v>
      </c>
      <c r="T743" s="12">
        <v>270.39999999999998</v>
      </c>
      <c r="U743" s="11" t="str">
        <f t="shared" si="108"/>
        <v>(251 - 300)</v>
      </c>
      <c r="V743" s="12">
        <f t="shared" si="109"/>
        <v>4.6033402922755746</v>
      </c>
      <c r="W743" s="12">
        <f t="shared" si="110"/>
        <v>206.52380952380952</v>
      </c>
      <c r="X743" s="12">
        <f t="shared" si="111"/>
        <v>0.61315192743764169</v>
      </c>
    </row>
    <row r="744" spans="1:24">
      <c r="A744" s="11">
        <v>743</v>
      </c>
      <c r="B744" s="11" t="s">
        <v>1928</v>
      </c>
      <c r="C744" s="11" t="s">
        <v>39</v>
      </c>
      <c r="D744" s="11" t="s">
        <v>114</v>
      </c>
      <c r="E744" s="12">
        <v>79.599999999999994</v>
      </c>
      <c r="F744" s="11" t="s">
        <v>26</v>
      </c>
      <c r="G744" s="11" t="str">
        <f t="shared" si="107"/>
        <v>Litres</v>
      </c>
      <c r="H744" s="13">
        <v>509</v>
      </c>
      <c r="I744" s="11" t="s">
        <v>19</v>
      </c>
      <c r="J744" s="12">
        <v>6114</v>
      </c>
      <c r="K744" s="12" t="str">
        <f t="shared" si="112"/>
        <v>Very Low</v>
      </c>
      <c r="L744" s="11" t="s">
        <v>20</v>
      </c>
      <c r="M744" s="14">
        <v>45077</v>
      </c>
      <c r="N744" s="14" t="str">
        <f t="shared" si="113"/>
        <v>31/05/2023</v>
      </c>
      <c r="O744" s="14" t="str">
        <f t="shared" si="114"/>
        <v>2023</v>
      </c>
      <c r="P744" s="11" t="s">
        <v>639</v>
      </c>
      <c r="Q744" s="11" t="s">
        <v>121</v>
      </c>
      <c r="R744" s="11">
        <v>3</v>
      </c>
      <c r="S744" s="11" t="str">
        <f t="shared" si="115"/>
        <v>0 - 4 yrs</v>
      </c>
      <c r="T744" s="12">
        <v>165.2</v>
      </c>
      <c r="U744" s="11" t="str">
        <f t="shared" si="108"/>
        <v>(151 - 200)</v>
      </c>
      <c r="V744" s="12">
        <f t="shared" si="109"/>
        <v>6.3944723618090453</v>
      </c>
      <c r="W744" s="12">
        <f t="shared" si="110"/>
        <v>12.011787819253438</v>
      </c>
      <c r="X744" s="12">
        <f t="shared" si="111"/>
        <v>0.32455795677799604</v>
      </c>
    </row>
    <row r="745" spans="1:24">
      <c r="A745" s="11">
        <v>744</v>
      </c>
      <c r="B745" s="11" t="s">
        <v>2591</v>
      </c>
      <c r="C745" s="11" t="s">
        <v>32</v>
      </c>
      <c r="D745" s="11" t="s">
        <v>33</v>
      </c>
      <c r="E745" s="12">
        <v>86.3</v>
      </c>
      <c r="F745" s="11" t="s">
        <v>62</v>
      </c>
      <c r="G745" s="11" t="str">
        <f t="shared" si="107"/>
        <v>kWh</v>
      </c>
      <c r="H745" s="13">
        <v>574</v>
      </c>
      <c r="I745" s="11" t="s">
        <v>19</v>
      </c>
      <c r="J745" s="12">
        <v>14356</v>
      </c>
      <c r="K745" s="12" t="str">
        <f t="shared" si="112"/>
        <v>Very Low</v>
      </c>
      <c r="L745" s="11" t="s">
        <v>20</v>
      </c>
      <c r="M745" s="14">
        <v>45489</v>
      </c>
      <c r="N745" s="14" t="str">
        <f t="shared" si="113"/>
        <v>16/07/2024</v>
      </c>
      <c r="O745" s="14" t="str">
        <f t="shared" si="114"/>
        <v>2024</v>
      </c>
      <c r="P745" s="11" t="s">
        <v>924</v>
      </c>
      <c r="Q745" s="11" t="s">
        <v>59</v>
      </c>
      <c r="R745" s="11">
        <v>3</v>
      </c>
      <c r="S745" s="11" t="str">
        <f t="shared" si="115"/>
        <v>0 - 4 yrs</v>
      </c>
      <c r="T745" s="12">
        <v>202.3</v>
      </c>
      <c r="U745" s="11" t="str">
        <f t="shared" si="108"/>
        <v>(201 - 250)</v>
      </c>
      <c r="V745" s="12">
        <f t="shared" si="109"/>
        <v>6.6512166859791426</v>
      </c>
      <c r="W745" s="12">
        <f t="shared" si="110"/>
        <v>25.010452961672474</v>
      </c>
      <c r="X745" s="12">
        <f t="shared" si="111"/>
        <v>0.35243902439024394</v>
      </c>
    </row>
    <row r="746" spans="1:24">
      <c r="A746" s="11">
        <v>745</v>
      </c>
      <c r="B746" s="11" t="s">
        <v>1932</v>
      </c>
      <c r="C746" s="11" t="s">
        <v>50</v>
      </c>
      <c r="D746" s="11" t="s">
        <v>17</v>
      </c>
      <c r="E746" s="12">
        <v>15.1</v>
      </c>
      <c r="F746" s="11" t="s">
        <v>41</v>
      </c>
      <c r="G746" s="11" t="str">
        <f t="shared" si="107"/>
        <v>Litres</v>
      </c>
      <c r="H746" s="13">
        <v>630</v>
      </c>
      <c r="I746" s="11" t="s">
        <v>19</v>
      </c>
      <c r="J746" s="12">
        <v>89041</v>
      </c>
      <c r="K746" s="12" t="str">
        <f t="shared" si="112"/>
        <v>High</v>
      </c>
      <c r="L746" s="11" t="s">
        <v>20</v>
      </c>
      <c r="M746" s="14">
        <v>45321</v>
      </c>
      <c r="N746" s="14" t="str">
        <f t="shared" si="113"/>
        <v>30/01/2024</v>
      </c>
      <c r="O746" s="14" t="str">
        <f t="shared" si="114"/>
        <v>2024</v>
      </c>
      <c r="P746" s="11" t="s">
        <v>1934</v>
      </c>
      <c r="Q746" s="11" t="s">
        <v>117</v>
      </c>
      <c r="R746" s="11">
        <v>15</v>
      </c>
      <c r="S746" s="11" t="str">
        <f t="shared" si="115"/>
        <v>13 - 16 yrs</v>
      </c>
      <c r="T746" s="12">
        <v>42.7</v>
      </c>
      <c r="U746" s="11" t="str">
        <f t="shared" si="108"/>
        <v>(0 - 50)</v>
      </c>
      <c r="V746" s="12">
        <f t="shared" si="109"/>
        <v>41.721854304635762</v>
      </c>
      <c r="W746" s="12">
        <f t="shared" si="110"/>
        <v>141.33492063492062</v>
      </c>
      <c r="X746" s="12">
        <f t="shared" si="111"/>
        <v>6.7777777777777784E-2</v>
      </c>
    </row>
    <row r="747" spans="1:24">
      <c r="A747" s="11">
        <v>746</v>
      </c>
      <c r="B747" s="11" t="s">
        <v>1935</v>
      </c>
      <c r="C747" s="11" t="s">
        <v>50</v>
      </c>
      <c r="D747" s="11" t="s">
        <v>17</v>
      </c>
      <c r="E747" s="12">
        <v>51.6</v>
      </c>
      <c r="F747" s="11" t="s">
        <v>56</v>
      </c>
      <c r="G747" s="11" t="str">
        <f t="shared" si="107"/>
        <v>Litres</v>
      </c>
      <c r="H747" s="13">
        <v>601</v>
      </c>
      <c r="I747" s="11" t="s">
        <v>19</v>
      </c>
      <c r="J747" s="12">
        <v>118097</v>
      </c>
      <c r="K747" s="12" t="str">
        <f t="shared" si="112"/>
        <v>Extreme</v>
      </c>
      <c r="L747" s="11" t="s">
        <v>20</v>
      </c>
      <c r="M747" s="14">
        <v>45767</v>
      </c>
      <c r="N747" s="14" t="str">
        <f t="shared" si="113"/>
        <v>20/04/2025</v>
      </c>
      <c r="O747" s="14" t="str">
        <f t="shared" si="114"/>
        <v>2025</v>
      </c>
      <c r="P747" s="11" t="s">
        <v>1886</v>
      </c>
      <c r="Q747" s="11" t="s">
        <v>2648</v>
      </c>
      <c r="R747" s="11">
        <v>7</v>
      </c>
      <c r="S747" s="11" t="str">
        <f t="shared" si="115"/>
        <v>5 - 8 yrs</v>
      </c>
      <c r="T747" s="12">
        <v>177.4</v>
      </c>
      <c r="U747" s="11" t="str">
        <f t="shared" si="108"/>
        <v>(151 - 200)</v>
      </c>
      <c r="V747" s="12">
        <f t="shared" si="109"/>
        <v>11.647286821705427</v>
      </c>
      <c r="W747" s="12">
        <f t="shared" si="110"/>
        <v>196.5008319467554</v>
      </c>
      <c r="X747" s="12">
        <f t="shared" si="111"/>
        <v>0.29517470881863561</v>
      </c>
    </row>
    <row r="748" spans="1:24">
      <c r="A748" s="11">
        <v>747</v>
      </c>
      <c r="B748" s="11" t="s">
        <v>1937</v>
      </c>
      <c r="C748" s="11" t="s">
        <v>39</v>
      </c>
      <c r="D748" s="11" t="s">
        <v>61</v>
      </c>
      <c r="E748" s="12">
        <v>10</v>
      </c>
      <c r="F748" s="11" t="s">
        <v>56</v>
      </c>
      <c r="G748" s="11" t="str">
        <f t="shared" si="107"/>
        <v>Litres</v>
      </c>
      <c r="H748" s="13">
        <v>467</v>
      </c>
      <c r="I748" s="11" t="s">
        <v>19</v>
      </c>
      <c r="J748" s="12">
        <v>16001</v>
      </c>
      <c r="K748" s="12" t="str">
        <f t="shared" si="112"/>
        <v>Very Low</v>
      </c>
      <c r="L748" s="11" t="s">
        <v>20</v>
      </c>
      <c r="M748" s="14">
        <v>45498</v>
      </c>
      <c r="N748" s="14" t="str">
        <f t="shared" si="113"/>
        <v>25/07/2024</v>
      </c>
      <c r="O748" s="14" t="str">
        <f t="shared" si="114"/>
        <v>2024</v>
      </c>
      <c r="P748" s="11" t="s">
        <v>770</v>
      </c>
      <c r="Q748" s="11" t="s">
        <v>121</v>
      </c>
      <c r="R748" s="11">
        <v>17</v>
      </c>
      <c r="S748" s="11" t="str">
        <f t="shared" si="115"/>
        <v>17 + yrs</v>
      </c>
      <c r="T748" s="12">
        <v>0</v>
      </c>
      <c r="U748" s="11" t="str">
        <f t="shared" si="108"/>
        <v>(0 - 50)</v>
      </c>
      <c r="V748" s="12">
        <f t="shared" si="109"/>
        <v>46.7</v>
      </c>
      <c r="W748" s="12">
        <f t="shared" si="110"/>
        <v>34.263383297644538</v>
      </c>
      <c r="X748" s="12">
        <f t="shared" si="111"/>
        <v>0</v>
      </c>
    </row>
    <row r="749" spans="1:24">
      <c r="A749" s="11">
        <v>748</v>
      </c>
      <c r="B749" s="11" t="s">
        <v>1939</v>
      </c>
      <c r="C749" s="11" t="s">
        <v>16</v>
      </c>
      <c r="D749" s="11" t="s">
        <v>17</v>
      </c>
      <c r="E749" s="12">
        <v>38.9</v>
      </c>
      <c r="F749" s="11" t="s">
        <v>41</v>
      </c>
      <c r="G749" s="11" t="str">
        <f t="shared" si="107"/>
        <v>Litres</v>
      </c>
      <c r="H749" s="13">
        <v>85</v>
      </c>
      <c r="I749" s="11" t="s">
        <v>19</v>
      </c>
      <c r="J749" s="12">
        <v>38861</v>
      </c>
      <c r="K749" s="12" t="str">
        <f t="shared" si="112"/>
        <v>Medium</v>
      </c>
      <c r="L749" s="11" t="s">
        <v>20</v>
      </c>
      <c r="M749" s="14">
        <v>45548</v>
      </c>
      <c r="N749" s="14" t="str">
        <f t="shared" si="113"/>
        <v>13/09/2024</v>
      </c>
      <c r="O749" s="14" t="str">
        <f t="shared" si="114"/>
        <v>2024</v>
      </c>
      <c r="P749" s="11" t="s">
        <v>1941</v>
      </c>
      <c r="Q749" s="11" t="s">
        <v>121</v>
      </c>
      <c r="R749" s="11">
        <v>10</v>
      </c>
      <c r="S749" s="11" t="str">
        <f t="shared" si="115"/>
        <v>9 - 12 yrs</v>
      </c>
      <c r="T749" s="12">
        <v>92.7</v>
      </c>
      <c r="U749" s="11" t="str">
        <f t="shared" si="108"/>
        <v>(51 - 100)</v>
      </c>
      <c r="V749" s="12">
        <f t="shared" si="109"/>
        <v>2.1850899742930592</v>
      </c>
      <c r="W749" s="12">
        <f t="shared" si="110"/>
        <v>457.18823529411765</v>
      </c>
      <c r="X749" s="12">
        <f t="shared" si="111"/>
        <v>1.0905882352941176</v>
      </c>
    </row>
    <row r="750" spans="1:24">
      <c r="A750" s="11">
        <v>749</v>
      </c>
      <c r="B750" s="11" t="s">
        <v>1942</v>
      </c>
      <c r="C750" s="11" t="s">
        <v>39</v>
      </c>
      <c r="D750" s="11" t="s">
        <v>114</v>
      </c>
      <c r="E750" s="12">
        <v>50.3</v>
      </c>
      <c r="F750" s="11" t="s">
        <v>56</v>
      </c>
      <c r="G750" s="11" t="str">
        <f t="shared" si="107"/>
        <v>Litres</v>
      </c>
      <c r="H750" s="13">
        <v>437</v>
      </c>
      <c r="I750" s="11" t="s">
        <v>19</v>
      </c>
      <c r="J750" s="12">
        <v>99103</v>
      </c>
      <c r="K750" s="12" t="str">
        <f t="shared" si="112"/>
        <v>Very High</v>
      </c>
      <c r="L750" s="11" t="s">
        <v>20</v>
      </c>
      <c r="M750" s="14">
        <v>45012</v>
      </c>
      <c r="N750" s="14" t="str">
        <f t="shared" si="113"/>
        <v>27/03/2023</v>
      </c>
      <c r="O750" s="14" t="str">
        <f t="shared" si="114"/>
        <v>2023</v>
      </c>
      <c r="P750" s="11" t="s">
        <v>1224</v>
      </c>
      <c r="Q750" s="11" t="s">
        <v>48</v>
      </c>
      <c r="R750" s="11">
        <v>12</v>
      </c>
      <c r="S750" s="11" t="str">
        <f t="shared" si="115"/>
        <v>9 - 12 yrs</v>
      </c>
      <c r="T750" s="12">
        <v>128.80000000000001</v>
      </c>
      <c r="U750" s="11" t="str">
        <f t="shared" si="108"/>
        <v>(101 - 150)</v>
      </c>
      <c r="V750" s="12">
        <f t="shared" si="109"/>
        <v>8.6878727634194828</v>
      </c>
      <c r="W750" s="12">
        <f t="shared" si="110"/>
        <v>226.78032036613271</v>
      </c>
      <c r="X750" s="12">
        <f t="shared" si="111"/>
        <v>0.29473684210526319</v>
      </c>
    </row>
    <row r="751" spans="1:24">
      <c r="A751" s="11">
        <v>750</v>
      </c>
      <c r="B751" s="11" t="s">
        <v>1944</v>
      </c>
      <c r="C751" s="11" t="s">
        <v>50</v>
      </c>
      <c r="D751" s="11" t="s">
        <v>33</v>
      </c>
      <c r="E751" s="12">
        <v>68.7</v>
      </c>
      <c r="F751" s="11" t="s">
        <v>26</v>
      </c>
      <c r="G751" s="11" t="str">
        <f t="shared" si="107"/>
        <v>Litres</v>
      </c>
      <c r="H751" s="13">
        <v>665</v>
      </c>
      <c r="I751" s="11" t="s">
        <v>19</v>
      </c>
      <c r="J751" s="12">
        <v>57827</v>
      </c>
      <c r="K751" s="12" t="str">
        <f t="shared" si="112"/>
        <v>Moderate</v>
      </c>
      <c r="L751" s="11" t="s">
        <v>20</v>
      </c>
      <c r="M751" s="14">
        <v>45285</v>
      </c>
      <c r="N751" s="14" t="str">
        <f t="shared" si="113"/>
        <v>25/12/2023</v>
      </c>
      <c r="O751" s="14" t="str">
        <f t="shared" si="114"/>
        <v>2023</v>
      </c>
      <c r="P751" s="11" t="s">
        <v>636</v>
      </c>
      <c r="Q751" s="11" t="s">
        <v>69</v>
      </c>
      <c r="R751" s="11">
        <v>3</v>
      </c>
      <c r="S751" s="11" t="str">
        <f t="shared" si="115"/>
        <v>0 - 4 yrs</v>
      </c>
      <c r="T751" s="12">
        <v>238.8</v>
      </c>
      <c r="U751" s="11" t="str">
        <f t="shared" si="108"/>
        <v>(201 - 250)</v>
      </c>
      <c r="V751" s="12">
        <f t="shared" si="109"/>
        <v>9.6797671033478885</v>
      </c>
      <c r="W751" s="12">
        <f t="shared" si="110"/>
        <v>86.957894736842107</v>
      </c>
      <c r="X751" s="12">
        <f t="shared" si="111"/>
        <v>0.35909774436090225</v>
      </c>
    </row>
    <row r="752" spans="1:24">
      <c r="A752" s="11">
        <v>751</v>
      </c>
      <c r="B752" s="11" t="s">
        <v>1945</v>
      </c>
      <c r="C752" s="11" t="s">
        <v>32</v>
      </c>
      <c r="D752" s="11" t="s">
        <v>17</v>
      </c>
      <c r="E752" s="12">
        <v>41.5</v>
      </c>
      <c r="F752" s="11" t="s">
        <v>41</v>
      </c>
      <c r="G752" s="11" t="str">
        <f t="shared" si="107"/>
        <v>Litres</v>
      </c>
      <c r="H752" s="13">
        <v>445</v>
      </c>
      <c r="I752" s="11" t="s">
        <v>19</v>
      </c>
      <c r="J752" s="12">
        <v>50887</v>
      </c>
      <c r="K752" s="12" t="str">
        <f t="shared" si="112"/>
        <v>Medium</v>
      </c>
      <c r="L752" s="11" t="s">
        <v>20</v>
      </c>
      <c r="M752" s="14">
        <v>45799</v>
      </c>
      <c r="N752" s="14" t="str">
        <f t="shared" si="113"/>
        <v>22/05/2025</v>
      </c>
      <c r="O752" s="14" t="str">
        <f t="shared" si="114"/>
        <v>2025</v>
      </c>
      <c r="P752" s="11" t="s">
        <v>1947</v>
      </c>
      <c r="Q752" s="11" t="s">
        <v>48</v>
      </c>
      <c r="R752" s="11">
        <v>15</v>
      </c>
      <c r="S752" s="11" t="str">
        <f t="shared" si="115"/>
        <v>13 - 16 yrs</v>
      </c>
      <c r="T752" s="12">
        <v>101.8</v>
      </c>
      <c r="U752" s="11" t="str">
        <f t="shared" si="108"/>
        <v>(101 - 150)</v>
      </c>
      <c r="V752" s="12">
        <f t="shared" si="109"/>
        <v>10.72289156626506</v>
      </c>
      <c r="W752" s="12">
        <f t="shared" si="110"/>
        <v>114.35280898876404</v>
      </c>
      <c r="X752" s="12">
        <f t="shared" si="111"/>
        <v>0.22876404494382022</v>
      </c>
    </row>
    <row r="753" spans="1:24">
      <c r="A753" s="11">
        <v>752</v>
      </c>
      <c r="B753" s="11" t="s">
        <v>1948</v>
      </c>
      <c r="C753" s="11" t="s">
        <v>39</v>
      </c>
      <c r="D753" s="11" t="s">
        <v>17</v>
      </c>
      <c r="E753" s="12">
        <v>74.900000000000006</v>
      </c>
      <c r="F753" s="11" t="s">
        <v>2643</v>
      </c>
      <c r="G753" s="11" t="str">
        <f t="shared" si="107"/>
        <v>Litres</v>
      </c>
      <c r="H753" s="13">
        <v>145</v>
      </c>
      <c r="I753" s="11" t="s">
        <v>19</v>
      </c>
      <c r="J753" s="12">
        <v>91915</v>
      </c>
      <c r="K753" s="12" t="str">
        <f t="shared" si="112"/>
        <v>Very High</v>
      </c>
      <c r="L753" s="11" t="s">
        <v>20</v>
      </c>
      <c r="M753" s="14">
        <v>45685</v>
      </c>
      <c r="N753" s="14" t="str">
        <f t="shared" si="113"/>
        <v>28/01/2025</v>
      </c>
      <c r="O753" s="14" t="str">
        <f t="shared" si="114"/>
        <v>2025</v>
      </c>
      <c r="P753" s="11" t="s">
        <v>788</v>
      </c>
      <c r="Q753" s="11" t="s">
        <v>117</v>
      </c>
      <c r="R753" s="11">
        <v>2</v>
      </c>
      <c r="S753" s="11" t="str">
        <f t="shared" si="115"/>
        <v>0 - 4 yrs</v>
      </c>
      <c r="T753" s="12">
        <v>252.6</v>
      </c>
      <c r="U753" s="11" t="str">
        <f t="shared" si="108"/>
        <v>(251 - 300)</v>
      </c>
      <c r="V753" s="12">
        <f t="shared" si="109"/>
        <v>1.9359145527369825</v>
      </c>
      <c r="W753" s="12">
        <f t="shared" si="110"/>
        <v>633.89655172413791</v>
      </c>
      <c r="X753" s="12">
        <f t="shared" si="111"/>
        <v>1.7420689655172414</v>
      </c>
    </row>
    <row r="754" spans="1:24">
      <c r="A754" s="11">
        <v>753</v>
      </c>
      <c r="B754" s="11" t="s">
        <v>2592</v>
      </c>
      <c r="C754" s="11" t="s">
        <v>16</v>
      </c>
      <c r="D754" s="11" t="s">
        <v>61</v>
      </c>
      <c r="E754" s="12">
        <v>10</v>
      </c>
      <c r="F754" s="11" t="s">
        <v>2643</v>
      </c>
      <c r="G754" s="11" t="str">
        <f t="shared" si="107"/>
        <v>Litres</v>
      </c>
      <c r="H754" s="13">
        <v>84</v>
      </c>
      <c r="I754" s="11" t="s">
        <v>19</v>
      </c>
      <c r="J754" s="12">
        <v>101642</v>
      </c>
      <c r="K754" s="12" t="str">
        <f t="shared" si="112"/>
        <v>Very High</v>
      </c>
      <c r="L754" s="11" t="s">
        <v>20</v>
      </c>
      <c r="M754" s="14">
        <v>45195</v>
      </c>
      <c r="N754" s="14" t="str">
        <f t="shared" si="113"/>
        <v>26/09/2023</v>
      </c>
      <c r="O754" s="14" t="str">
        <f t="shared" si="114"/>
        <v>2023</v>
      </c>
      <c r="P754" s="11" t="s">
        <v>1952</v>
      </c>
      <c r="Q754" s="11" t="s">
        <v>2648</v>
      </c>
      <c r="R754" s="11">
        <v>11</v>
      </c>
      <c r="S754" s="11" t="str">
        <f t="shared" si="115"/>
        <v>9 - 12 yrs</v>
      </c>
      <c r="T754" s="12">
        <v>0</v>
      </c>
      <c r="U754" s="11" t="str">
        <f t="shared" si="108"/>
        <v>(0 - 50)</v>
      </c>
      <c r="V754" s="12">
        <f t="shared" si="109"/>
        <v>8.4</v>
      </c>
      <c r="W754" s="12">
        <f t="shared" si="110"/>
        <v>1210.0238095238096</v>
      </c>
      <c r="X754" s="12">
        <f t="shared" si="111"/>
        <v>0</v>
      </c>
    </row>
    <row r="755" spans="1:24">
      <c r="A755" s="11">
        <v>754</v>
      </c>
      <c r="B755" s="11" t="s">
        <v>2593</v>
      </c>
      <c r="C755" s="11" t="s">
        <v>32</v>
      </c>
      <c r="D755" s="11" t="s">
        <v>17</v>
      </c>
      <c r="E755" s="12">
        <v>99.4</v>
      </c>
      <c r="F755" s="11" t="s">
        <v>62</v>
      </c>
      <c r="G755" s="11" t="str">
        <f t="shared" si="107"/>
        <v>kWh</v>
      </c>
      <c r="H755" s="13">
        <v>264</v>
      </c>
      <c r="I755" s="11" t="s">
        <v>19</v>
      </c>
      <c r="J755" s="12">
        <v>17380</v>
      </c>
      <c r="K755" s="12" t="str">
        <f t="shared" si="112"/>
        <v>Very Low</v>
      </c>
      <c r="L755" s="11" t="s">
        <v>20</v>
      </c>
      <c r="M755" s="14">
        <v>45605</v>
      </c>
      <c r="N755" s="14" t="str">
        <f t="shared" si="113"/>
        <v>09/11/2024</v>
      </c>
      <c r="O755" s="14" t="str">
        <f t="shared" si="114"/>
        <v>2024</v>
      </c>
      <c r="P755" s="11" t="s">
        <v>1860</v>
      </c>
      <c r="Q755" s="11" t="s">
        <v>54</v>
      </c>
      <c r="R755" s="11">
        <v>6</v>
      </c>
      <c r="S755" s="11" t="str">
        <f t="shared" si="115"/>
        <v>5 - 8 yrs</v>
      </c>
      <c r="T755" s="12">
        <v>248.7</v>
      </c>
      <c r="U755" s="11" t="str">
        <f t="shared" si="108"/>
        <v>(201 - 250)</v>
      </c>
      <c r="V755" s="12">
        <f t="shared" si="109"/>
        <v>2.6559356136820922</v>
      </c>
      <c r="W755" s="12">
        <f t="shared" si="110"/>
        <v>65.833333333333329</v>
      </c>
      <c r="X755" s="12">
        <f t="shared" si="111"/>
        <v>0.94204545454545452</v>
      </c>
    </row>
    <row r="756" spans="1:24">
      <c r="A756" s="11">
        <v>755</v>
      </c>
      <c r="B756" s="11" t="s">
        <v>1692</v>
      </c>
      <c r="C756" s="11" t="s">
        <v>32</v>
      </c>
      <c r="D756" s="11" t="s">
        <v>33</v>
      </c>
      <c r="E756" s="12">
        <v>40.799999999999997</v>
      </c>
      <c r="F756" s="11" t="s">
        <v>62</v>
      </c>
      <c r="G756" s="11" t="str">
        <f t="shared" si="107"/>
        <v>kWh</v>
      </c>
      <c r="H756" s="13">
        <v>109</v>
      </c>
      <c r="I756" s="11" t="s">
        <v>19</v>
      </c>
      <c r="J756" s="12">
        <v>8392</v>
      </c>
      <c r="K756" s="12" t="str">
        <f t="shared" si="112"/>
        <v>Very Low</v>
      </c>
      <c r="L756" s="11" t="s">
        <v>20</v>
      </c>
      <c r="M756" s="14">
        <v>45583</v>
      </c>
      <c r="N756" s="14" t="str">
        <f t="shared" si="113"/>
        <v>18/10/2024</v>
      </c>
      <c r="O756" s="14" t="str">
        <f t="shared" si="114"/>
        <v>2024</v>
      </c>
      <c r="P756" s="11" t="s">
        <v>1956</v>
      </c>
      <c r="Q756" s="11" t="s">
        <v>441</v>
      </c>
      <c r="R756" s="11">
        <v>14</v>
      </c>
      <c r="S756" s="11" t="str">
        <f t="shared" si="115"/>
        <v>13 - 16 yrs</v>
      </c>
      <c r="T756" s="12">
        <v>132.9</v>
      </c>
      <c r="U756" s="11" t="str">
        <f t="shared" si="108"/>
        <v>(101 - 150)</v>
      </c>
      <c r="V756" s="12">
        <f t="shared" si="109"/>
        <v>2.6715686274509807</v>
      </c>
      <c r="W756" s="12">
        <f t="shared" si="110"/>
        <v>76.9908256880734</v>
      </c>
      <c r="X756" s="12">
        <f t="shared" si="111"/>
        <v>1.2192660550458716</v>
      </c>
    </row>
    <row r="757" spans="1:24">
      <c r="A757" s="11">
        <v>756</v>
      </c>
      <c r="B757" s="11" t="s">
        <v>1957</v>
      </c>
      <c r="C757" s="11" t="s">
        <v>16</v>
      </c>
      <c r="D757" s="11" t="s">
        <v>61</v>
      </c>
      <c r="E757" s="12">
        <v>10</v>
      </c>
      <c r="F757" s="11" t="s">
        <v>62</v>
      </c>
      <c r="G757" s="11" t="str">
        <f t="shared" si="107"/>
        <v>kWh</v>
      </c>
      <c r="H757" s="13">
        <v>543</v>
      </c>
      <c r="I757" s="11" t="s">
        <v>19</v>
      </c>
      <c r="J757" s="12">
        <v>78827</v>
      </c>
      <c r="K757" s="12" t="str">
        <f t="shared" si="112"/>
        <v>High</v>
      </c>
      <c r="L757" s="11" t="s">
        <v>20</v>
      </c>
      <c r="M757" s="14">
        <v>45457</v>
      </c>
      <c r="N757" s="14" t="str">
        <f t="shared" si="113"/>
        <v>14/06/2024</v>
      </c>
      <c r="O757" s="14" t="str">
        <f t="shared" si="114"/>
        <v>2024</v>
      </c>
      <c r="P757" s="11" t="s">
        <v>1958</v>
      </c>
      <c r="Q757" s="11" t="s">
        <v>59</v>
      </c>
      <c r="R757" s="11">
        <v>17</v>
      </c>
      <c r="S757" s="11" t="str">
        <f t="shared" si="115"/>
        <v>17 + yrs</v>
      </c>
      <c r="T757" s="12">
        <v>0</v>
      </c>
      <c r="U757" s="11" t="str">
        <f t="shared" si="108"/>
        <v>(0 - 50)</v>
      </c>
      <c r="V757" s="12">
        <f t="shared" si="109"/>
        <v>54.3</v>
      </c>
      <c r="W757" s="12">
        <f t="shared" si="110"/>
        <v>145.1694290976059</v>
      </c>
      <c r="X757" s="12">
        <f t="shared" si="111"/>
        <v>0</v>
      </c>
    </row>
    <row r="758" spans="1:24">
      <c r="A758" s="11">
        <v>757</v>
      </c>
      <c r="B758" s="11" t="s">
        <v>1959</v>
      </c>
      <c r="C758" s="11" t="s">
        <v>16</v>
      </c>
      <c r="D758" s="11" t="s">
        <v>33</v>
      </c>
      <c r="E758" s="12">
        <v>59.5</v>
      </c>
      <c r="F758" s="11" t="s">
        <v>2643</v>
      </c>
      <c r="G758" s="11" t="str">
        <f t="shared" si="107"/>
        <v>Litres</v>
      </c>
      <c r="H758" s="13">
        <v>85</v>
      </c>
      <c r="I758" s="11" t="s">
        <v>19</v>
      </c>
      <c r="J758" s="12">
        <v>56968</v>
      </c>
      <c r="K758" s="12" t="str">
        <f t="shared" si="112"/>
        <v>Moderate</v>
      </c>
      <c r="L758" s="11" t="s">
        <v>20</v>
      </c>
      <c r="M758" s="14">
        <v>45571</v>
      </c>
      <c r="N758" s="14" t="str">
        <f t="shared" si="113"/>
        <v>06/10/2024</v>
      </c>
      <c r="O758" s="14" t="str">
        <f t="shared" si="114"/>
        <v>2024</v>
      </c>
      <c r="P758" s="11" t="s">
        <v>1961</v>
      </c>
      <c r="Q758" s="11" t="s">
        <v>54</v>
      </c>
      <c r="R758" s="11">
        <v>12</v>
      </c>
      <c r="S758" s="11" t="str">
        <f t="shared" si="115"/>
        <v>9 - 12 yrs</v>
      </c>
      <c r="T758" s="12">
        <v>120</v>
      </c>
      <c r="U758" s="11" t="str">
        <f t="shared" si="108"/>
        <v>(101 - 150)</v>
      </c>
      <c r="V758" s="12">
        <f t="shared" si="109"/>
        <v>1.4285714285714286</v>
      </c>
      <c r="W758" s="12">
        <f t="shared" si="110"/>
        <v>670.21176470588239</v>
      </c>
      <c r="X758" s="12">
        <f t="shared" si="111"/>
        <v>1.411764705882353</v>
      </c>
    </row>
    <row r="759" spans="1:24">
      <c r="A759" s="11">
        <v>758</v>
      </c>
      <c r="B759" s="11" t="s">
        <v>1962</v>
      </c>
      <c r="C759" s="11" t="s">
        <v>39</v>
      </c>
      <c r="D759" s="11" t="s">
        <v>33</v>
      </c>
      <c r="E759" s="12">
        <v>5.4</v>
      </c>
      <c r="F759" s="11" t="s">
        <v>26</v>
      </c>
      <c r="G759" s="11" t="str">
        <f t="shared" si="107"/>
        <v>Litres</v>
      </c>
      <c r="H759" s="13">
        <v>105</v>
      </c>
      <c r="I759" s="11" t="s">
        <v>19</v>
      </c>
      <c r="J759" s="12">
        <v>92884</v>
      </c>
      <c r="K759" s="12" t="str">
        <f t="shared" si="112"/>
        <v>Very High</v>
      </c>
      <c r="L759" s="11" t="s">
        <v>20</v>
      </c>
      <c r="M759" s="14">
        <v>45214</v>
      </c>
      <c r="N759" s="14" t="str">
        <f t="shared" si="113"/>
        <v>15/10/2023</v>
      </c>
      <c r="O759" s="14" t="str">
        <f t="shared" si="114"/>
        <v>2023</v>
      </c>
      <c r="P759" s="11" t="s">
        <v>1963</v>
      </c>
      <c r="Q759" s="11" t="s">
        <v>121</v>
      </c>
      <c r="R759" s="11">
        <v>2</v>
      </c>
      <c r="S759" s="11" t="str">
        <f t="shared" si="115"/>
        <v>0 - 4 yrs</v>
      </c>
      <c r="T759" s="12">
        <v>17.7</v>
      </c>
      <c r="U759" s="11" t="str">
        <f t="shared" si="108"/>
        <v>(0 - 50)</v>
      </c>
      <c r="V759" s="12">
        <f t="shared" si="109"/>
        <v>19.444444444444443</v>
      </c>
      <c r="W759" s="12">
        <f t="shared" si="110"/>
        <v>884.60952380952381</v>
      </c>
      <c r="X759" s="12">
        <f t="shared" si="111"/>
        <v>0.16857142857142857</v>
      </c>
    </row>
    <row r="760" spans="1:24">
      <c r="A760" s="11">
        <v>759</v>
      </c>
      <c r="B760" s="11" t="s">
        <v>1964</v>
      </c>
      <c r="C760" s="11" t="s">
        <v>16</v>
      </c>
      <c r="D760" s="11" t="s">
        <v>61</v>
      </c>
      <c r="E760" s="12">
        <v>10</v>
      </c>
      <c r="F760" s="11" t="s">
        <v>62</v>
      </c>
      <c r="G760" s="11" t="str">
        <f t="shared" si="107"/>
        <v>kWh</v>
      </c>
      <c r="H760" s="13">
        <v>254</v>
      </c>
      <c r="I760" s="11" t="s">
        <v>19</v>
      </c>
      <c r="J760" s="12">
        <v>119571</v>
      </c>
      <c r="K760" s="12" t="str">
        <f t="shared" si="112"/>
        <v>Extreme</v>
      </c>
      <c r="L760" s="11" t="s">
        <v>20</v>
      </c>
      <c r="M760" s="14">
        <v>45708</v>
      </c>
      <c r="N760" s="14" t="str">
        <f t="shared" si="113"/>
        <v>20/02/2025</v>
      </c>
      <c r="O760" s="14" t="str">
        <f t="shared" si="114"/>
        <v>2025</v>
      </c>
      <c r="P760" s="11" t="s">
        <v>1966</v>
      </c>
      <c r="Q760" s="11" t="s">
        <v>54</v>
      </c>
      <c r="R760" s="11">
        <v>1</v>
      </c>
      <c r="S760" s="11" t="str">
        <f t="shared" si="115"/>
        <v>0 - 4 yrs</v>
      </c>
      <c r="T760" s="12">
        <v>0</v>
      </c>
      <c r="U760" s="11" t="str">
        <f t="shared" si="108"/>
        <v>(0 - 50)</v>
      </c>
      <c r="V760" s="12">
        <f t="shared" si="109"/>
        <v>25.4</v>
      </c>
      <c r="W760" s="12">
        <f t="shared" si="110"/>
        <v>470.75196850393701</v>
      </c>
      <c r="X760" s="12">
        <f t="shared" si="111"/>
        <v>0</v>
      </c>
    </row>
    <row r="761" spans="1:24">
      <c r="A761" s="11">
        <v>760</v>
      </c>
      <c r="B761" s="11" t="s">
        <v>1967</v>
      </c>
      <c r="C761" s="11" t="s">
        <v>50</v>
      </c>
      <c r="D761" s="11" t="s">
        <v>33</v>
      </c>
      <c r="E761" s="12">
        <v>90.4</v>
      </c>
      <c r="F761" s="11" t="s">
        <v>26</v>
      </c>
      <c r="G761" s="11" t="str">
        <f t="shared" si="107"/>
        <v>Litres</v>
      </c>
      <c r="H761" s="13">
        <v>57</v>
      </c>
      <c r="I761" s="11" t="s">
        <v>19</v>
      </c>
      <c r="J761" s="12">
        <v>112241</v>
      </c>
      <c r="K761" s="12" t="str">
        <f t="shared" si="112"/>
        <v>Extreme</v>
      </c>
      <c r="L761" s="11" t="s">
        <v>20</v>
      </c>
      <c r="M761" s="14">
        <v>45272</v>
      </c>
      <c r="N761" s="14" t="str">
        <f t="shared" si="113"/>
        <v>12/12/2023</v>
      </c>
      <c r="O761" s="14" t="str">
        <f t="shared" si="114"/>
        <v>2023</v>
      </c>
      <c r="P761" s="11" t="s">
        <v>1968</v>
      </c>
      <c r="Q761" s="11" t="s">
        <v>441</v>
      </c>
      <c r="R761" s="11">
        <v>13</v>
      </c>
      <c r="S761" s="11" t="str">
        <f t="shared" si="115"/>
        <v>13 - 16 yrs</v>
      </c>
      <c r="T761" s="12">
        <v>289.2</v>
      </c>
      <c r="U761" s="11" t="str">
        <f t="shared" si="108"/>
        <v>(251 - 300)</v>
      </c>
      <c r="V761" s="12">
        <f t="shared" si="109"/>
        <v>0.63053097345132736</v>
      </c>
      <c r="W761" s="12">
        <f t="shared" si="110"/>
        <v>1969.140350877193</v>
      </c>
      <c r="X761" s="12">
        <f t="shared" si="111"/>
        <v>5.0736842105263156</v>
      </c>
    </row>
    <row r="762" spans="1:24">
      <c r="A762" s="11">
        <v>761</v>
      </c>
      <c r="B762" s="11" t="s">
        <v>1969</v>
      </c>
      <c r="C762" s="11" t="s">
        <v>32</v>
      </c>
      <c r="D762" s="11" t="s">
        <v>17</v>
      </c>
      <c r="E762" s="12">
        <v>66.7</v>
      </c>
      <c r="F762" s="11" t="s">
        <v>62</v>
      </c>
      <c r="G762" s="11" t="str">
        <f t="shared" si="107"/>
        <v>kWh</v>
      </c>
      <c r="H762" s="13">
        <v>323</v>
      </c>
      <c r="I762" s="11" t="s">
        <v>19</v>
      </c>
      <c r="J762" s="12">
        <v>67773</v>
      </c>
      <c r="K762" s="12" t="str">
        <f t="shared" si="112"/>
        <v>Moderate</v>
      </c>
      <c r="L762" s="11" t="s">
        <v>20</v>
      </c>
      <c r="M762" s="14">
        <v>45182</v>
      </c>
      <c r="N762" s="14" t="str">
        <f t="shared" si="113"/>
        <v>13/09/2023</v>
      </c>
      <c r="O762" s="14" t="str">
        <f t="shared" si="114"/>
        <v>2023</v>
      </c>
      <c r="P762" s="11" t="s">
        <v>1970</v>
      </c>
      <c r="Q762" s="11" t="s">
        <v>54</v>
      </c>
      <c r="R762" s="11">
        <v>3</v>
      </c>
      <c r="S762" s="11" t="str">
        <f t="shared" si="115"/>
        <v>0 - 4 yrs</v>
      </c>
      <c r="T762" s="12">
        <v>209.3</v>
      </c>
      <c r="U762" s="11" t="str">
        <f t="shared" si="108"/>
        <v>(201 - 250)</v>
      </c>
      <c r="V762" s="12">
        <f t="shared" si="109"/>
        <v>4.8425787106446778</v>
      </c>
      <c r="W762" s="12">
        <f t="shared" si="110"/>
        <v>209.8235294117647</v>
      </c>
      <c r="X762" s="12">
        <f t="shared" si="111"/>
        <v>0.6479876160990713</v>
      </c>
    </row>
    <row r="763" spans="1:24">
      <c r="A763" s="11">
        <v>762</v>
      </c>
      <c r="B763" s="11" t="s">
        <v>1971</v>
      </c>
      <c r="C763" s="11" t="s">
        <v>50</v>
      </c>
      <c r="D763" s="11" t="s">
        <v>114</v>
      </c>
      <c r="E763" s="12">
        <v>24.6</v>
      </c>
      <c r="F763" s="11" t="s">
        <v>26</v>
      </c>
      <c r="G763" s="11" t="str">
        <f t="shared" si="107"/>
        <v>Litres</v>
      </c>
      <c r="H763" s="13">
        <v>292</v>
      </c>
      <c r="I763" s="11" t="s">
        <v>19</v>
      </c>
      <c r="J763" s="12">
        <v>116388</v>
      </c>
      <c r="K763" s="12" t="str">
        <f t="shared" si="112"/>
        <v>Extreme</v>
      </c>
      <c r="L763" s="11" t="s">
        <v>20</v>
      </c>
      <c r="M763" s="14">
        <v>45664</v>
      </c>
      <c r="N763" s="14" t="str">
        <f t="shared" si="113"/>
        <v>07/01/2025</v>
      </c>
      <c r="O763" s="14" t="str">
        <f t="shared" si="114"/>
        <v>2025</v>
      </c>
      <c r="P763" s="11" t="s">
        <v>930</v>
      </c>
      <c r="Q763" s="11" t="s">
        <v>69</v>
      </c>
      <c r="R763" s="11">
        <v>15</v>
      </c>
      <c r="S763" s="11" t="str">
        <f t="shared" si="115"/>
        <v>13 - 16 yrs</v>
      </c>
      <c r="T763" s="12">
        <v>54.6</v>
      </c>
      <c r="U763" s="11" t="str">
        <f t="shared" si="108"/>
        <v>(51 - 100)</v>
      </c>
      <c r="V763" s="12">
        <f t="shared" si="109"/>
        <v>11.869918699186991</v>
      </c>
      <c r="W763" s="12">
        <f t="shared" si="110"/>
        <v>398.58904109589042</v>
      </c>
      <c r="X763" s="12">
        <f t="shared" si="111"/>
        <v>0.18698630136986302</v>
      </c>
    </row>
    <row r="764" spans="1:24">
      <c r="A764" s="11">
        <v>763</v>
      </c>
      <c r="B764" s="11" t="s">
        <v>1973</v>
      </c>
      <c r="C764" s="11" t="s">
        <v>39</v>
      </c>
      <c r="D764" s="11" t="s">
        <v>114</v>
      </c>
      <c r="E764" s="12">
        <v>43.8</v>
      </c>
      <c r="F764" s="11" t="s">
        <v>56</v>
      </c>
      <c r="G764" s="11" t="str">
        <f t="shared" si="107"/>
        <v>Litres</v>
      </c>
      <c r="H764" s="13">
        <v>495</v>
      </c>
      <c r="I764" s="11" t="s">
        <v>19</v>
      </c>
      <c r="J764" s="12">
        <v>102442</v>
      </c>
      <c r="K764" s="12" t="str">
        <f t="shared" si="112"/>
        <v>Very High</v>
      </c>
      <c r="L764" s="11" t="s">
        <v>20</v>
      </c>
      <c r="M764" s="14">
        <v>45801</v>
      </c>
      <c r="N764" s="14" t="str">
        <f t="shared" si="113"/>
        <v>24/05/2025</v>
      </c>
      <c r="O764" s="14" t="str">
        <f t="shared" si="114"/>
        <v>2025</v>
      </c>
      <c r="P764" s="11" t="s">
        <v>1630</v>
      </c>
      <c r="Q764" s="11" t="s">
        <v>86</v>
      </c>
      <c r="R764" s="11">
        <v>5</v>
      </c>
      <c r="S764" s="11" t="str">
        <f t="shared" si="115"/>
        <v>5 - 8 yrs</v>
      </c>
      <c r="T764" s="12">
        <v>133.4</v>
      </c>
      <c r="U764" s="11" t="str">
        <f t="shared" si="108"/>
        <v>(101 - 150)</v>
      </c>
      <c r="V764" s="12">
        <f t="shared" si="109"/>
        <v>11.301369863013699</v>
      </c>
      <c r="W764" s="12">
        <f t="shared" si="110"/>
        <v>206.95353535353536</v>
      </c>
      <c r="X764" s="12">
        <f t="shared" si="111"/>
        <v>0.26949494949494951</v>
      </c>
    </row>
    <row r="765" spans="1:24">
      <c r="A765" s="11">
        <v>764</v>
      </c>
      <c r="B765" s="11" t="s">
        <v>1975</v>
      </c>
      <c r="C765" s="11" t="s">
        <v>39</v>
      </c>
      <c r="D765" s="11" t="s">
        <v>17</v>
      </c>
      <c r="E765" s="12">
        <v>43.8</v>
      </c>
      <c r="F765" s="11" t="s">
        <v>62</v>
      </c>
      <c r="G765" s="11" t="str">
        <f t="shared" si="107"/>
        <v>kWh</v>
      </c>
      <c r="H765" s="13">
        <v>656</v>
      </c>
      <c r="I765" s="11" t="s">
        <v>19</v>
      </c>
      <c r="J765" s="12">
        <v>71132</v>
      </c>
      <c r="K765" s="12" t="str">
        <f t="shared" si="112"/>
        <v>Moderate</v>
      </c>
      <c r="L765" s="11" t="s">
        <v>20</v>
      </c>
      <c r="M765" s="14">
        <v>45581</v>
      </c>
      <c r="N765" s="14" t="str">
        <f t="shared" si="113"/>
        <v>16/10/2024</v>
      </c>
      <c r="O765" s="14" t="str">
        <f t="shared" si="114"/>
        <v>2024</v>
      </c>
      <c r="P765" s="11" t="s">
        <v>1977</v>
      </c>
      <c r="Q765" s="11" t="s">
        <v>48</v>
      </c>
      <c r="R765" s="11">
        <v>14</v>
      </c>
      <c r="S765" s="11" t="str">
        <f t="shared" si="115"/>
        <v>13 - 16 yrs</v>
      </c>
      <c r="T765" s="12">
        <v>105.2</v>
      </c>
      <c r="U765" s="11" t="str">
        <f t="shared" si="108"/>
        <v>(101 - 150)</v>
      </c>
      <c r="V765" s="12">
        <f t="shared" si="109"/>
        <v>14.977168949771691</v>
      </c>
      <c r="W765" s="12">
        <f t="shared" si="110"/>
        <v>108.4329268292683</v>
      </c>
      <c r="X765" s="12">
        <f t="shared" si="111"/>
        <v>0.16036585365853659</v>
      </c>
    </row>
    <row r="766" spans="1:24">
      <c r="A766" s="11">
        <v>765</v>
      </c>
      <c r="B766" s="11" t="s">
        <v>2594</v>
      </c>
      <c r="C766" s="11" t="s">
        <v>39</v>
      </c>
      <c r="D766" s="11" t="s">
        <v>17</v>
      </c>
      <c r="E766" s="12">
        <v>25.6</v>
      </c>
      <c r="F766" s="11" t="s">
        <v>2643</v>
      </c>
      <c r="G766" s="11" t="str">
        <f t="shared" si="107"/>
        <v>Litres</v>
      </c>
      <c r="H766" s="13">
        <v>387</v>
      </c>
      <c r="I766" s="11" t="s">
        <v>19</v>
      </c>
      <c r="J766" s="12">
        <v>52335</v>
      </c>
      <c r="K766" s="12" t="str">
        <f t="shared" si="112"/>
        <v>Medium</v>
      </c>
      <c r="L766" s="11" t="s">
        <v>20</v>
      </c>
      <c r="M766" s="14">
        <v>44932</v>
      </c>
      <c r="N766" s="14" t="str">
        <f t="shared" si="113"/>
        <v>06/01/2023</v>
      </c>
      <c r="O766" s="14" t="str">
        <f t="shared" si="114"/>
        <v>2023</v>
      </c>
      <c r="P766" s="11" t="s">
        <v>1348</v>
      </c>
      <c r="Q766" s="11" t="s">
        <v>48</v>
      </c>
      <c r="R766" s="11">
        <v>8</v>
      </c>
      <c r="S766" s="11" t="str">
        <f t="shared" si="115"/>
        <v>5 - 8 yrs</v>
      </c>
      <c r="T766" s="12">
        <v>67.5</v>
      </c>
      <c r="U766" s="11" t="str">
        <f t="shared" si="108"/>
        <v>(51 - 100)</v>
      </c>
      <c r="V766" s="12">
        <f t="shared" si="109"/>
        <v>15.1171875</v>
      </c>
      <c r="W766" s="12">
        <f t="shared" si="110"/>
        <v>135.23255813953489</v>
      </c>
      <c r="X766" s="12">
        <f t="shared" si="111"/>
        <v>0.1744186046511628</v>
      </c>
    </row>
    <row r="767" spans="1:24">
      <c r="A767" s="11">
        <v>766</v>
      </c>
      <c r="B767" s="11" t="s">
        <v>2473</v>
      </c>
      <c r="C767" s="11" t="s">
        <v>16</v>
      </c>
      <c r="D767" s="11" t="s">
        <v>33</v>
      </c>
      <c r="E767" s="12">
        <v>38.4</v>
      </c>
      <c r="F767" s="11" t="s">
        <v>26</v>
      </c>
      <c r="G767" s="11" t="str">
        <f t="shared" si="107"/>
        <v>Litres</v>
      </c>
      <c r="H767" s="13">
        <v>618</v>
      </c>
      <c r="I767" s="11" t="s">
        <v>19</v>
      </c>
      <c r="J767" s="12">
        <v>115570</v>
      </c>
      <c r="K767" s="12" t="str">
        <f t="shared" si="112"/>
        <v>Extreme</v>
      </c>
      <c r="L767" s="11" t="s">
        <v>20</v>
      </c>
      <c r="M767" s="14">
        <v>45931</v>
      </c>
      <c r="N767" s="14" t="str">
        <f t="shared" si="113"/>
        <v>01/10/2025</v>
      </c>
      <c r="O767" s="14" t="str">
        <f t="shared" si="114"/>
        <v>2025</v>
      </c>
      <c r="P767" s="11" t="s">
        <v>717</v>
      </c>
      <c r="Q767" s="11" t="s">
        <v>117</v>
      </c>
      <c r="R767" s="11">
        <v>20</v>
      </c>
      <c r="S767" s="11" t="str">
        <f t="shared" si="115"/>
        <v>17 + yrs</v>
      </c>
      <c r="T767" s="12">
        <v>118.1</v>
      </c>
      <c r="U767" s="11" t="str">
        <f t="shared" si="108"/>
        <v>(101 - 150)</v>
      </c>
      <c r="V767" s="12">
        <f t="shared" si="109"/>
        <v>16.09375</v>
      </c>
      <c r="W767" s="12">
        <f t="shared" si="110"/>
        <v>187.00647249190939</v>
      </c>
      <c r="X767" s="12">
        <f t="shared" si="111"/>
        <v>0.19110032362459545</v>
      </c>
    </row>
    <row r="768" spans="1:24">
      <c r="A768" s="11">
        <v>767</v>
      </c>
      <c r="B768" s="11" t="s">
        <v>1980</v>
      </c>
      <c r="C768" s="11" t="s">
        <v>32</v>
      </c>
      <c r="D768" s="11" t="s">
        <v>33</v>
      </c>
      <c r="E768" s="12">
        <v>43.5</v>
      </c>
      <c r="F768" s="11" t="s">
        <v>26</v>
      </c>
      <c r="G768" s="11" t="str">
        <f t="shared" si="107"/>
        <v>Litres</v>
      </c>
      <c r="H768" s="13">
        <v>403</v>
      </c>
      <c r="I768" s="11" t="s">
        <v>19</v>
      </c>
      <c r="J768" s="12">
        <v>104207</v>
      </c>
      <c r="K768" s="12" t="str">
        <f t="shared" si="112"/>
        <v>Very High</v>
      </c>
      <c r="L768" s="11" t="s">
        <v>20</v>
      </c>
      <c r="M768" s="14">
        <v>45169</v>
      </c>
      <c r="N768" s="14" t="str">
        <f t="shared" si="113"/>
        <v>31/08/2023</v>
      </c>
      <c r="O768" s="14" t="str">
        <f t="shared" si="114"/>
        <v>2023</v>
      </c>
      <c r="P768" s="11" t="s">
        <v>1918</v>
      </c>
      <c r="Q768" s="11" t="s">
        <v>86</v>
      </c>
      <c r="R768" s="11">
        <v>13</v>
      </c>
      <c r="S768" s="11" t="str">
        <f t="shared" si="115"/>
        <v>13 - 16 yrs</v>
      </c>
      <c r="T768" s="12">
        <v>126.9</v>
      </c>
      <c r="U768" s="11" t="str">
        <f t="shared" si="108"/>
        <v>(101 - 150)</v>
      </c>
      <c r="V768" s="12">
        <f t="shared" si="109"/>
        <v>9.2643678160919531</v>
      </c>
      <c r="W768" s="12">
        <f t="shared" si="110"/>
        <v>258.57816377171218</v>
      </c>
      <c r="X768" s="12">
        <f t="shared" si="111"/>
        <v>0.31488833746898265</v>
      </c>
    </row>
    <row r="769" spans="1:24">
      <c r="A769" s="11">
        <v>768</v>
      </c>
      <c r="B769" s="11" t="s">
        <v>1982</v>
      </c>
      <c r="C769" s="11" t="s">
        <v>32</v>
      </c>
      <c r="D769" s="11" t="s">
        <v>33</v>
      </c>
      <c r="E769" s="12">
        <v>50.2</v>
      </c>
      <c r="F769" s="11" t="s">
        <v>2643</v>
      </c>
      <c r="G769" s="11" t="str">
        <f t="shared" si="107"/>
        <v>Litres</v>
      </c>
      <c r="H769" s="13">
        <v>31</v>
      </c>
      <c r="I769" s="11" t="s">
        <v>19</v>
      </c>
      <c r="J769" s="12">
        <v>114096</v>
      </c>
      <c r="K769" s="12" t="str">
        <f t="shared" si="112"/>
        <v>Extreme</v>
      </c>
      <c r="L769" s="11" t="s">
        <v>20</v>
      </c>
      <c r="M769" s="14">
        <v>45525</v>
      </c>
      <c r="N769" s="14" t="str">
        <f t="shared" si="113"/>
        <v>21/08/2024</v>
      </c>
      <c r="O769" s="14" t="str">
        <f t="shared" si="114"/>
        <v>2024</v>
      </c>
      <c r="P769" s="11" t="s">
        <v>872</v>
      </c>
      <c r="Q769" s="11" t="s">
        <v>441</v>
      </c>
      <c r="R769" s="11">
        <v>18</v>
      </c>
      <c r="S769" s="11" t="str">
        <f t="shared" si="115"/>
        <v>17 + yrs</v>
      </c>
      <c r="T769" s="12">
        <v>114</v>
      </c>
      <c r="U769" s="11" t="str">
        <f t="shared" si="108"/>
        <v>(101 - 150)</v>
      </c>
      <c r="V769" s="12">
        <f t="shared" si="109"/>
        <v>0.61752988047808766</v>
      </c>
      <c r="W769" s="12">
        <f t="shared" si="110"/>
        <v>3680.516129032258</v>
      </c>
      <c r="X769" s="12">
        <f t="shared" si="111"/>
        <v>3.6774193548387095</v>
      </c>
    </row>
    <row r="770" spans="1:24">
      <c r="A770" s="11">
        <v>769</v>
      </c>
      <c r="B770" s="11" t="s">
        <v>2595</v>
      </c>
      <c r="C770" s="11" t="s">
        <v>39</v>
      </c>
      <c r="D770" s="11" t="s">
        <v>114</v>
      </c>
      <c r="E770" s="12">
        <v>78.599999999999994</v>
      </c>
      <c r="F770" s="11" t="s">
        <v>56</v>
      </c>
      <c r="G770" s="11" t="str">
        <f t="shared" ref="G770:G833" si="116">IF(OR(F770="L",F770="ltrs",F770="liters"),"Litres",F770)</f>
        <v>Litres</v>
      </c>
      <c r="H770" s="13">
        <v>241</v>
      </c>
      <c r="I770" s="11" t="s">
        <v>19</v>
      </c>
      <c r="J770" s="12">
        <v>40791</v>
      </c>
      <c r="K770" s="12" t="str">
        <f t="shared" si="112"/>
        <v>Medium</v>
      </c>
      <c r="L770" s="11" t="s">
        <v>20</v>
      </c>
      <c r="M770" s="14">
        <v>45385</v>
      </c>
      <c r="N770" s="14" t="str">
        <f t="shared" si="113"/>
        <v>03/04/2024</v>
      </c>
      <c r="O770" s="14" t="str">
        <f t="shared" si="114"/>
        <v>2024</v>
      </c>
      <c r="P770" s="11" t="s">
        <v>1842</v>
      </c>
      <c r="Q770" s="11" t="s">
        <v>441</v>
      </c>
      <c r="R770" s="11">
        <v>18</v>
      </c>
      <c r="S770" s="11" t="str">
        <f t="shared" si="115"/>
        <v>17 + yrs</v>
      </c>
      <c r="T770" s="12">
        <v>164.7</v>
      </c>
      <c r="U770" s="11" t="str">
        <f t="shared" si="108"/>
        <v>(151 - 200)</v>
      </c>
      <c r="V770" s="12">
        <f t="shared" si="109"/>
        <v>3.0661577608142494</v>
      </c>
      <c r="W770" s="12">
        <f t="shared" si="110"/>
        <v>169.25726141078837</v>
      </c>
      <c r="X770" s="12">
        <f t="shared" si="111"/>
        <v>0.68340248962655592</v>
      </c>
    </row>
    <row r="771" spans="1:24">
      <c r="A771" s="11">
        <v>770</v>
      </c>
      <c r="B771" s="11" t="s">
        <v>1985</v>
      </c>
      <c r="C771" s="11" t="s">
        <v>16</v>
      </c>
      <c r="D771" s="11" t="s">
        <v>61</v>
      </c>
      <c r="E771" s="12">
        <v>10</v>
      </c>
      <c r="F771" s="11" t="s">
        <v>62</v>
      </c>
      <c r="G771" s="11" t="str">
        <f t="shared" si="116"/>
        <v>kWh</v>
      </c>
      <c r="H771" s="13">
        <v>293</v>
      </c>
      <c r="I771" s="11" t="s">
        <v>19</v>
      </c>
      <c r="J771" s="12">
        <v>115237</v>
      </c>
      <c r="K771" s="12" t="str">
        <f t="shared" si="112"/>
        <v>Extreme</v>
      </c>
      <c r="L771" s="11" t="s">
        <v>20</v>
      </c>
      <c r="M771" s="14">
        <v>45327</v>
      </c>
      <c r="N771" s="14" t="str">
        <f t="shared" si="113"/>
        <v>05/02/2024</v>
      </c>
      <c r="O771" s="14" t="str">
        <f t="shared" si="114"/>
        <v>2024</v>
      </c>
      <c r="P771" s="11" t="s">
        <v>1047</v>
      </c>
      <c r="Q771" s="11" t="s">
        <v>2648</v>
      </c>
      <c r="R771" s="11">
        <v>3</v>
      </c>
      <c r="S771" s="11" t="str">
        <f t="shared" si="115"/>
        <v>0 - 4 yrs</v>
      </c>
      <c r="T771" s="12">
        <v>0</v>
      </c>
      <c r="U771" s="11" t="str">
        <f t="shared" si="108"/>
        <v>(0 - 50)</v>
      </c>
      <c r="V771" s="12">
        <f t="shared" si="109"/>
        <v>29.3</v>
      </c>
      <c r="W771" s="12">
        <f t="shared" si="110"/>
        <v>393.30034129692831</v>
      </c>
      <c r="X771" s="12">
        <f t="shared" si="111"/>
        <v>0</v>
      </c>
    </row>
    <row r="772" spans="1:24">
      <c r="A772" s="11">
        <v>771</v>
      </c>
      <c r="B772" s="11" t="s">
        <v>2596</v>
      </c>
      <c r="C772" s="11" t="s">
        <v>16</v>
      </c>
      <c r="D772" s="11" t="s">
        <v>17</v>
      </c>
      <c r="E772" s="12">
        <v>37.1</v>
      </c>
      <c r="F772" s="11" t="s">
        <v>2643</v>
      </c>
      <c r="G772" s="11" t="str">
        <f t="shared" si="116"/>
        <v>Litres</v>
      </c>
      <c r="H772" s="13">
        <v>113</v>
      </c>
      <c r="I772" s="11" t="s">
        <v>19</v>
      </c>
      <c r="J772" s="12">
        <v>43963</v>
      </c>
      <c r="K772" s="12" t="str">
        <f t="shared" si="112"/>
        <v>Medium</v>
      </c>
      <c r="L772" s="11" t="s">
        <v>20</v>
      </c>
      <c r="M772" s="14">
        <v>45688</v>
      </c>
      <c r="N772" s="14" t="str">
        <f t="shared" si="113"/>
        <v>31/01/2025</v>
      </c>
      <c r="O772" s="14" t="str">
        <f t="shared" si="114"/>
        <v>2025</v>
      </c>
      <c r="P772" s="11" t="s">
        <v>1989</v>
      </c>
      <c r="Q772" s="11" t="s">
        <v>48</v>
      </c>
      <c r="R772" s="11">
        <v>18</v>
      </c>
      <c r="S772" s="11" t="str">
        <f t="shared" si="115"/>
        <v>17 + yrs</v>
      </c>
      <c r="T772" s="12">
        <v>82.4</v>
      </c>
      <c r="U772" s="11" t="str">
        <f t="shared" si="108"/>
        <v>(51 - 100)</v>
      </c>
      <c r="V772" s="12">
        <f t="shared" si="109"/>
        <v>3.045822102425876</v>
      </c>
      <c r="W772" s="12">
        <f t="shared" si="110"/>
        <v>389.05309734513276</v>
      </c>
      <c r="X772" s="12">
        <f t="shared" si="111"/>
        <v>0.72920353982300889</v>
      </c>
    </row>
    <row r="773" spans="1:24">
      <c r="A773" s="11">
        <v>772</v>
      </c>
      <c r="B773" s="11" t="s">
        <v>2597</v>
      </c>
      <c r="C773" s="11" t="s">
        <v>39</v>
      </c>
      <c r="D773" s="11" t="s">
        <v>114</v>
      </c>
      <c r="E773" s="12">
        <v>7.4</v>
      </c>
      <c r="F773" s="11" t="s">
        <v>26</v>
      </c>
      <c r="G773" s="11" t="str">
        <f t="shared" si="116"/>
        <v>Litres</v>
      </c>
      <c r="H773" s="13">
        <v>440</v>
      </c>
      <c r="I773" s="11" t="s">
        <v>19</v>
      </c>
      <c r="J773" s="12">
        <v>75548</v>
      </c>
      <c r="K773" s="12" t="str">
        <f t="shared" si="112"/>
        <v>High</v>
      </c>
      <c r="L773" s="11" t="s">
        <v>20</v>
      </c>
      <c r="M773" s="14">
        <v>45448</v>
      </c>
      <c r="N773" s="14" t="str">
        <f t="shared" si="113"/>
        <v>05/06/2024</v>
      </c>
      <c r="O773" s="14" t="str">
        <f t="shared" si="114"/>
        <v>2024</v>
      </c>
      <c r="P773" s="11" t="s">
        <v>1471</v>
      </c>
      <c r="Q773" s="11" t="s">
        <v>86</v>
      </c>
      <c r="R773" s="11">
        <v>3</v>
      </c>
      <c r="S773" s="11" t="str">
        <f t="shared" si="115"/>
        <v>0 - 4 yrs</v>
      </c>
      <c r="T773" s="12">
        <v>20.2</v>
      </c>
      <c r="U773" s="11" t="str">
        <f t="shared" si="108"/>
        <v>(0 - 50)</v>
      </c>
      <c r="V773" s="12">
        <f t="shared" si="109"/>
        <v>59.45945945945946</v>
      </c>
      <c r="W773" s="12">
        <f t="shared" si="110"/>
        <v>171.7</v>
      </c>
      <c r="X773" s="12">
        <f t="shared" si="111"/>
        <v>4.5909090909090906E-2</v>
      </c>
    </row>
    <row r="774" spans="1:24">
      <c r="A774" s="11">
        <v>773</v>
      </c>
      <c r="B774" s="11" t="s">
        <v>2598</v>
      </c>
      <c r="C774" s="11" t="s">
        <v>50</v>
      </c>
      <c r="D774" s="11" t="s">
        <v>17</v>
      </c>
      <c r="E774" s="12">
        <v>24.7</v>
      </c>
      <c r="F774" s="11" t="s">
        <v>2643</v>
      </c>
      <c r="G774" s="11" t="str">
        <f t="shared" si="116"/>
        <v>Litres</v>
      </c>
      <c r="H774" s="13">
        <v>156</v>
      </c>
      <c r="I774" s="11" t="s">
        <v>19</v>
      </c>
      <c r="J774" s="12">
        <v>37688</v>
      </c>
      <c r="K774" s="12" t="str">
        <f t="shared" si="112"/>
        <v>Medium</v>
      </c>
      <c r="L774" s="11" t="s">
        <v>20</v>
      </c>
      <c r="M774" s="14">
        <v>45793</v>
      </c>
      <c r="N774" s="14" t="str">
        <f t="shared" si="113"/>
        <v>16/05/2025</v>
      </c>
      <c r="O774" s="14" t="str">
        <f t="shared" si="114"/>
        <v>2025</v>
      </c>
      <c r="P774" s="11" t="s">
        <v>1994</v>
      </c>
      <c r="Q774" s="11" t="s">
        <v>112</v>
      </c>
      <c r="R774" s="11">
        <v>16</v>
      </c>
      <c r="S774" s="11" t="str">
        <f t="shared" si="115"/>
        <v>13 - 16 yrs</v>
      </c>
      <c r="T774" s="12">
        <v>83.2</v>
      </c>
      <c r="U774" s="11" t="str">
        <f t="shared" si="108"/>
        <v>(51 - 100)</v>
      </c>
      <c r="V774" s="12">
        <f t="shared" si="109"/>
        <v>6.3157894736842106</v>
      </c>
      <c r="W774" s="12">
        <f t="shared" si="110"/>
        <v>241.58974358974359</v>
      </c>
      <c r="X774" s="12">
        <f t="shared" si="111"/>
        <v>0.53333333333333333</v>
      </c>
    </row>
    <row r="775" spans="1:24">
      <c r="A775" s="11">
        <v>774</v>
      </c>
      <c r="B775" s="11" t="s">
        <v>2453</v>
      </c>
      <c r="C775" s="11" t="s">
        <v>32</v>
      </c>
      <c r="D775" s="11" t="s">
        <v>17</v>
      </c>
      <c r="E775" s="12">
        <v>45.2</v>
      </c>
      <c r="F775" s="11" t="s">
        <v>62</v>
      </c>
      <c r="G775" s="11" t="str">
        <f t="shared" si="116"/>
        <v>kWh</v>
      </c>
      <c r="H775" s="13">
        <v>94</v>
      </c>
      <c r="I775" s="11" t="s">
        <v>19</v>
      </c>
      <c r="J775" s="12">
        <v>55571</v>
      </c>
      <c r="K775" s="12" t="str">
        <f t="shared" si="112"/>
        <v>Moderate</v>
      </c>
      <c r="L775" s="11" t="s">
        <v>20</v>
      </c>
      <c r="M775" s="14">
        <v>45187</v>
      </c>
      <c r="N775" s="14" t="str">
        <f t="shared" si="113"/>
        <v>18/09/2023</v>
      </c>
      <c r="O775" s="14" t="str">
        <f t="shared" si="114"/>
        <v>2023</v>
      </c>
      <c r="P775" s="11" t="s">
        <v>652</v>
      </c>
      <c r="Q775" s="11" t="s">
        <v>69</v>
      </c>
      <c r="R775" s="11">
        <v>1</v>
      </c>
      <c r="S775" s="11" t="str">
        <f t="shared" si="115"/>
        <v>0 - 4 yrs</v>
      </c>
      <c r="T775" s="12">
        <v>154</v>
      </c>
      <c r="U775" s="11" t="str">
        <f t="shared" si="108"/>
        <v>(151 - 200)</v>
      </c>
      <c r="V775" s="12">
        <f t="shared" si="109"/>
        <v>2.0796460176991149</v>
      </c>
      <c r="W775" s="12">
        <f t="shared" si="110"/>
        <v>591.18085106382978</v>
      </c>
      <c r="X775" s="12">
        <f t="shared" si="111"/>
        <v>1.6382978723404256</v>
      </c>
    </row>
    <row r="776" spans="1:24">
      <c r="A776" s="11">
        <v>775</v>
      </c>
      <c r="B776" s="11" t="s">
        <v>1995</v>
      </c>
      <c r="C776" s="11" t="s">
        <v>39</v>
      </c>
      <c r="D776" s="11" t="s">
        <v>17</v>
      </c>
      <c r="E776" s="12">
        <v>75.900000000000006</v>
      </c>
      <c r="F776" s="11" t="s">
        <v>26</v>
      </c>
      <c r="G776" s="11" t="str">
        <f t="shared" si="116"/>
        <v>Litres</v>
      </c>
      <c r="H776" s="13">
        <v>580</v>
      </c>
      <c r="I776" s="11" t="s">
        <v>19</v>
      </c>
      <c r="J776" s="12">
        <v>77004</v>
      </c>
      <c r="K776" s="12" t="str">
        <f t="shared" si="112"/>
        <v>High</v>
      </c>
      <c r="L776" s="11" t="s">
        <v>20</v>
      </c>
      <c r="M776" s="14">
        <v>45409</v>
      </c>
      <c r="N776" s="14" t="str">
        <f t="shared" si="113"/>
        <v>27/04/2024</v>
      </c>
      <c r="O776" s="14" t="str">
        <f t="shared" si="114"/>
        <v>2024</v>
      </c>
      <c r="P776" s="11" t="s">
        <v>558</v>
      </c>
      <c r="Q776" s="11" t="s">
        <v>121</v>
      </c>
      <c r="R776" s="11">
        <v>18</v>
      </c>
      <c r="S776" s="11" t="str">
        <f t="shared" si="115"/>
        <v>17 + yrs</v>
      </c>
      <c r="T776" s="12">
        <v>204</v>
      </c>
      <c r="U776" s="11" t="str">
        <f t="shared" si="108"/>
        <v>(201 - 250)</v>
      </c>
      <c r="V776" s="12">
        <f t="shared" si="109"/>
        <v>7.64163372859025</v>
      </c>
      <c r="W776" s="12">
        <f t="shared" si="110"/>
        <v>132.76551724137931</v>
      </c>
      <c r="X776" s="12">
        <f t="shared" si="111"/>
        <v>0.35172413793103446</v>
      </c>
    </row>
    <row r="777" spans="1:24">
      <c r="A777" s="11">
        <v>776</v>
      </c>
      <c r="B777" s="11" t="s">
        <v>1168</v>
      </c>
      <c r="C777" s="11" t="s">
        <v>16</v>
      </c>
      <c r="D777" s="11" t="s">
        <v>33</v>
      </c>
      <c r="E777" s="12">
        <v>44</v>
      </c>
      <c r="F777" s="11" t="s">
        <v>26</v>
      </c>
      <c r="G777" s="11" t="str">
        <f t="shared" si="116"/>
        <v>Litres</v>
      </c>
      <c r="H777" s="13">
        <v>234</v>
      </c>
      <c r="I777" s="11" t="s">
        <v>19</v>
      </c>
      <c r="J777" s="12">
        <v>63586</v>
      </c>
      <c r="K777" s="12" t="str">
        <f t="shared" si="112"/>
        <v>Moderate</v>
      </c>
      <c r="L777" s="11" t="s">
        <v>20</v>
      </c>
      <c r="M777" s="14">
        <v>45454</v>
      </c>
      <c r="N777" s="14" t="str">
        <f t="shared" si="113"/>
        <v>11/06/2024</v>
      </c>
      <c r="O777" s="14" t="str">
        <f t="shared" si="114"/>
        <v>2024</v>
      </c>
      <c r="P777" s="11" t="s">
        <v>1998</v>
      </c>
      <c r="Q777" s="11" t="s">
        <v>117</v>
      </c>
      <c r="R777" s="11">
        <v>12</v>
      </c>
      <c r="S777" s="11" t="str">
        <f t="shared" si="115"/>
        <v>9 - 12 yrs</v>
      </c>
      <c r="T777" s="12">
        <v>127</v>
      </c>
      <c r="U777" s="11" t="str">
        <f t="shared" si="108"/>
        <v>(101 - 150)</v>
      </c>
      <c r="V777" s="12">
        <f t="shared" si="109"/>
        <v>5.3181818181818183</v>
      </c>
      <c r="W777" s="12">
        <f t="shared" si="110"/>
        <v>271.73504273504273</v>
      </c>
      <c r="X777" s="12">
        <f t="shared" si="111"/>
        <v>0.54273504273504269</v>
      </c>
    </row>
    <row r="778" spans="1:24">
      <c r="A778" s="11">
        <v>777</v>
      </c>
      <c r="B778" s="11" t="s">
        <v>1999</v>
      </c>
      <c r="C778" s="11" t="s">
        <v>32</v>
      </c>
      <c r="D778" s="11" t="s">
        <v>61</v>
      </c>
      <c r="E778" s="12">
        <v>10</v>
      </c>
      <c r="F778" s="11" t="s">
        <v>62</v>
      </c>
      <c r="G778" s="11" t="str">
        <f t="shared" si="116"/>
        <v>kWh</v>
      </c>
      <c r="H778" s="13">
        <v>103</v>
      </c>
      <c r="I778" s="11" t="s">
        <v>19</v>
      </c>
      <c r="J778" s="12">
        <v>69679</v>
      </c>
      <c r="K778" s="12" t="str">
        <f t="shared" si="112"/>
        <v>Moderate</v>
      </c>
      <c r="L778" s="11" t="s">
        <v>20</v>
      </c>
      <c r="M778" s="14">
        <v>45036</v>
      </c>
      <c r="N778" s="14" t="str">
        <f t="shared" si="113"/>
        <v>20/04/2023</v>
      </c>
      <c r="O778" s="14" t="str">
        <f t="shared" si="114"/>
        <v>2023</v>
      </c>
      <c r="P778" s="11" t="s">
        <v>1119</v>
      </c>
      <c r="Q778" s="11" t="s">
        <v>441</v>
      </c>
      <c r="R778" s="11">
        <v>7</v>
      </c>
      <c r="S778" s="11" t="str">
        <f t="shared" si="115"/>
        <v>5 - 8 yrs</v>
      </c>
      <c r="T778" s="12">
        <v>0</v>
      </c>
      <c r="U778" s="11" t="str">
        <f t="shared" si="108"/>
        <v>(0 - 50)</v>
      </c>
      <c r="V778" s="12">
        <f t="shared" si="109"/>
        <v>10.3</v>
      </c>
      <c r="W778" s="12">
        <f t="shared" si="110"/>
        <v>676.495145631068</v>
      </c>
      <c r="X778" s="12">
        <f t="shared" si="111"/>
        <v>0</v>
      </c>
    </row>
    <row r="779" spans="1:24">
      <c r="A779" s="11">
        <v>778</v>
      </c>
      <c r="B779" s="11" t="s">
        <v>2001</v>
      </c>
      <c r="C779" s="11" t="s">
        <v>39</v>
      </c>
      <c r="D779" s="11" t="s">
        <v>114</v>
      </c>
      <c r="E779" s="12">
        <v>13.7</v>
      </c>
      <c r="F779" s="11" t="s">
        <v>2643</v>
      </c>
      <c r="G779" s="11" t="str">
        <f t="shared" si="116"/>
        <v>Litres</v>
      </c>
      <c r="H779" s="13">
        <v>641</v>
      </c>
      <c r="I779" s="11" t="s">
        <v>19</v>
      </c>
      <c r="J779" s="12">
        <v>113361</v>
      </c>
      <c r="K779" s="12" t="str">
        <f t="shared" si="112"/>
        <v>Extreme</v>
      </c>
      <c r="L779" s="11" t="s">
        <v>20</v>
      </c>
      <c r="M779" s="14">
        <v>45129</v>
      </c>
      <c r="N779" s="14" t="str">
        <f t="shared" si="113"/>
        <v>22/07/2023</v>
      </c>
      <c r="O779" s="14" t="str">
        <f t="shared" si="114"/>
        <v>2023</v>
      </c>
      <c r="P779" s="11" t="s">
        <v>2003</v>
      </c>
      <c r="Q779" s="11" t="s">
        <v>86</v>
      </c>
      <c r="R779" s="11">
        <v>10</v>
      </c>
      <c r="S779" s="11" t="str">
        <f t="shared" si="115"/>
        <v>9 - 12 yrs</v>
      </c>
      <c r="T779" s="12">
        <v>27.8</v>
      </c>
      <c r="U779" s="11" t="str">
        <f t="shared" si="108"/>
        <v>(0 - 50)</v>
      </c>
      <c r="V779" s="12">
        <f t="shared" si="109"/>
        <v>46.788321167883211</v>
      </c>
      <c r="W779" s="12">
        <f t="shared" si="110"/>
        <v>176.85023400936038</v>
      </c>
      <c r="X779" s="12">
        <f t="shared" si="111"/>
        <v>4.336973478939158E-2</v>
      </c>
    </row>
    <row r="780" spans="1:24">
      <c r="A780" s="11">
        <v>779</v>
      </c>
      <c r="B780" s="11" t="s">
        <v>2004</v>
      </c>
      <c r="C780" s="11" t="s">
        <v>50</v>
      </c>
      <c r="D780" s="11" t="s">
        <v>114</v>
      </c>
      <c r="E780" s="12">
        <v>62.1</v>
      </c>
      <c r="F780" s="11" t="s">
        <v>26</v>
      </c>
      <c r="G780" s="11" t="str">
        <f t="shared" si="116"/>
        <v>Litres</v>
      </c>
      <c r="H780" s="13">
        <v>529</v>
      </c>
      <c r="I780" s="11" t="s">
        <v>19</v>
      </c>
      <c r="J780" s="12">
        <v>101372</v>
      </c>
      <c r="K780" s="12" t="str">
        <f t="shared" si="112"/>
        <v>Very High</v>
      </c>
      <c r="L780" s="11" t="s">
        <v>20</v>
      </c>
      <c r="M780" s="14">
        <v>45752</v>
      </c>
      <c r="N780" s="14" t="str">
        <f t="shared" si="113"/>
        <v>05/04/2025</v>
      </c>
      <c r="O780" s="14" t="str">
        <f t="shared" si="114"/>
        <v>2025</v>
      </c>
      <c r="P780" s="11" t="s">
        <v>2006</v>
      </c>
      <c r="Q780" s="11" t="s">
        <v>121</v>
      </c>
      <c r="R780" s="11">
        <v>8</v>
      </c>
      <c r="S780" s="11" t="str">
        <f t="shared" si="115"/>
        <v>5 - 8 yrs</v>
      </c>
      <c r="T780" s="12">
        <v>186.5</v>
      </c>
      <c r="U780" s="11" t="str">
        <f t="shared" si="108"/>
        <v>(151 - 200)</v>
      </c>
      <c r="V780" s="12">
        <f t="shared" si="109"/>
        <v>8.518518518518519</v>
      </c>
      <c r="W780" s="12">
        <f t="shared" si="110"/>
        <v>191.62948960302458</v>
      </c>
      <c r="X780" s="12">
        <f t="shared" si="111"/>
        <v>0.35255198487712663</v>
      </c>
    </row>
    <row r="781" spans="1:24">
      <c r="A781" s="11">
        <v>780</v>
      </c>
      <c r="B781" s="11" t="s">
        <v>2599</v>
      </c>
      <c r="C781" s="11" t="s">
        <v>39</v>
      </c>
      <c r="D781" s="11" t="s">
        <v>114</v>
      </c>
      <c r="E781" s="12">
        <v>32.299999999999997</v>
      </c>
      <c r="F781" s="11" t="s">
        <v>56</v>
      </c>
      <c r="G781" s="11" t="str">
        <f t="shared" si="116"/>
        <v>Litres</v>
      </c>
      <c r="H781" s="13">
        <v>78</v>
      </c>
      <c r="I781" s="11" t="s">
        <v>19</v>
      </c>
      <c r="J781" s="12">
        <v>60050</v>
      </c>
      <c r="K781" s="12" t="str">
        <f t="shared" si="112"/>
        <v>Moderate</v>
      </c>
      <c r="L781" s="11" t="s">
        <v>20</v>
      </c>
      <c r="M781" s="14">
        <v>45098</v>
      </c>
      <c r="N781" s="14" t="str">
        <f t="shared" si="113"/>
        <v>21/06/2023</v>
      </c>
      <c r="O781" s="14" t="str">
        <f t="shared" si="114"/>
        <v>2023</v>
      </c>
      <c r="P781" s="11" t="s">
        <v>2009</v>
      </c>
      <c r="Q781" s="11" t="s">
        <v>86</v>
      </c>
      <c r="R781" s="11">
        <v>8</v>
      </c>
      <c r="S781" s="11" t="str">
        <f t="shared" si="115"/>
        <v>5 - 8 yrs</v>
      </c>
      <c r="T781" s="12">
        <v>109.8</v>
      </c>
      <c r="U781" s="11" t="str">
        <f t="shared" si="108"/>
        <v>(101 - 150)</v>
      </c>
      <c r="V781" s="12">
        <f t="shared" si="109"/>
        <v>2.4148606811145514</v>
      </c>
      <c r="W781" s="12">
        <f t="shared" si="110"/>
        <v>769.87179487179492</v>
      </c>
      <c r="X781" s="12">
        <f t="shared" si="111"/>
        <v>1.4076923076923076</v>
      </c>
    </row>
    <row r="782" spans="1:24">
      <c r="A782" s="11">
        <v>781</v>
      </c>
      <c r="B782" s="11" t="s">
        <v>1692</v>
      </c>
      <c r="C782" s="11" t="s">
        <v>50</v>
      </c>
      <c r="D782" s="11" t="s">
        <v>114</v>
      </c>
      <c r="E782" s="12">
        <v>34.5</v>
      </c>
      <c r="F782" s="11" t="s">
        <v>26</v>
      </c>
      <c r="G782" s="11" t="str">
        <f t="shared" si="116"/>
        <v>Litres</v>
      </c>
      <c r="H782" s="13">
        <v>597</v>
      </c>
      <c r="I782" s="11" t="s">
        <v>19</v>
      </c>
      <c r="J782" s="12">
        <v>42573</v>
      </c>
      <c r="K782" s="12" t="str">
        <f t="shared" si="112"/>
        <v>Medium</v>
      </c>
      <c r="L782" s="11" t="s">
        <v>20</v>
      </c>
      <c r="M782" s="14">
        <v>45401</v>
      </c>
      <c r="N782" s="14" t="str">
        <f t="shared" si="113"/>
        <v>19/04/2024</v>
      </c>
      <c r="O782" s="14" t="str">
        <f t="shared" si="114"/>
        <v>2024</v>
      </c>
      <c r="P782" s="11" t="s">
        <v>675</v>
      </c>
      <c r="Q782" s="11" t="s">
        <v>69</v>
      </c>
      <c r="R782" s="11">
        <v>19</v>
      </c>
      <c r="S782" s="11" t="str">
        <f t="shared" si="115"/>
        <v>17 + yrs</v>
      </c>
      <c r="T782" s="12">
        <v>105.1</v>
      </c>
      <c r="U782" s="11" t="str">
        <f t="shared" si="108"/>
        <v>(101 - 150)</v>
      </c>
      <c r="V782" s="12">
        <f t="shared" si="109"/>
        <v>17.304347826086957</v>
      </c>
      <c r="W782" s="12">
        <f t="shared" si="110"/>
        <v>71.311557788944725</v>
      </c>
      <c r="X782" s="12">
        <f t="shared" si="111"/>
        <v>0.1760469011725293</v>
      </c>
    </row>
    <row r="783" spans="1:24">
      <c r="A783" s="11">
        <v>782</v>
      </c>
      <c r="B783" s="11" t="s">
        <v>2010</v>
      </c>
      <c r="C783" s="11" t="s">
        <v>39</v>
      </c>
      <c r="D783" s="11" t="s">
        <v>61</v>
      </c>
      <c r="E783" s="12">
        <v>10</v>
      </c>
      <c r="F783" s="11" t="s">
        <v>56</v>
      </c>
      <c r="G783" s="11" t="str">
        <f t="shared" si="116"/>
        <v>Litres</v>
      </c>
      <c r="H783" s="13">
        <v>548</v>
      </c>
      <c r="I783" s="11" t="s">
        <v>19</v>
      </c>
      <c r="J783" s="12">
        <v>81470</v>
      </c>
      <c r="K783" s="12" t="str">
        <f t="shared" si="112"/>
        <v>High</v>
      </c>
      <c r="L783" s="11" t="s">
        <v>20</v>
      </c>
      <c r="M783" s="14">
        <v>45049</v>
      </c>
      <c r="N783" s="14" t="str">
        <f t="shared" si="113"/>
        <v>03/05/2023</v>
      </c>
      <c r="O783" s="14" t="str">
        <f t="shared" si="114"/>
        <v>2023</v>
      </c>
      <c r="P783" s="11" t="s">
        <v>1140</v>
      </c>
      <c r="Q783" s="11" t="s">
        <v>59</v>
      </c>
      <c r="R783" s="11">
        <v>1</v>
      </c>
      <c r="S783" s="11" t="str">
        <f t="shared" si="115"/>
        <v>0 - 4 yrs</v>
      </c>
      <c r="T783" s="12">
        <v>0</v>
      </c>
      <c r="U783" s="11" t="str">
        <f t="shared" si="108"/>
        <v>(0 - 50)</v>
      </c>
      <c r="V783" s="12">
        <f t="shared" si="109"/>
        <v>54.8</v>
      </c>
      <c r="W783" s="12">
        <f t="shared" si="110"/>
        <v>148.66788321167883</v>
      </c>
      <c r="X783" s="12">
        <f t="shared" si="111"/>
        <v>0</v>
      </c>
    </row>
    <row r="784" spans="1:24">
      <c r="A784" s="11">
        <v>783</v>
      </c>
      <c r="B784" s="11" t="s">
        <v>2600</v>
      </c>
      <c r="C784" s="11" t="s">
        <v>39</v>
      </c>
      <c r="D784" s="11" t="s">
        <v>33</v>
      </c>
      <c r="E784" s="12">
        <v>51.6</v>
      </c>
      <c r="F784" s="11" t="s">
        <v>26</v>
      </c>
      <c r="G784" s="11" t="str">
        <f t="shared" si="116"/>
        <v>Litres</v>
      </c>
      <c r="H784" s="13">
        <v>410</v>
      </c>
      <c r="I784" s="11" t="s">
        <v>19</v>
      </c>
      <c r="J784" s="12">
        <v>33948</v>
      </c>
      <c r="K784" s="12" t="str">
        <f t="shared" si="112"/>
        <v>Low</v>
      </c>
      <c r="L784" s="11" t="s">
        <v>20</v>
      </c>
      <c r="M784" s="14">
        <v>45254</v>
      </c>
      <c r="N784" s="14" t="str">
        <f t="shared" si="113"/>
        <v>24/11/2023</v>
      </c>
      <c r="O784" s="14" t="str">
        <f t="shared" si="114"/>
        <v>2023</v>
      </c>
      <c r="P784" s="11" t="s">
        <v>1159</v>
      </c>
      <c r="Q784" s="11" t="s">
        <v>69</v>
      </c>
      <c r="R784" s="11">
        <v>4</v>
      </c>
      <c r="S784" s="11" t="str">
        <f t="shared" si="115"/>
        <v>0 - 4 yrs</v>
      </c>
      <c r="T784" s="12">
        <v>174.5</v>
      </c>
      <c r="U784" s="11" t="str">
        <f t="shared" si="108"/>
        <v>(151 - 200)</v>
      </c>
      <c r="V784" s="12">
        <f t="shared" si="109"/>
        <v>7.945736434108527</v>
      </c>
      <c r="W784" s="12">
        <f t="shared" si="110"/>
        <v>82.8</v>
      </c>
      <c r="X784" s="12">
        <f t="shared" si="111"/>
        <v>0.42560975609756097</v>
      </c>
    </row>
    <row r="785" spans="1:24">
      <c r="A785" s="11">
        <v>784</v>
      </c>
      <c r="B785" s="11" t="s">
        <v>2013</v>
      </c>
      <c r="C785" s="11" t="s">
        <v>16</v>
      </c>
      <c r="D785" s="11" t="s">
        <v>17</v>
      </c>
      <c r="E785" s="12">
        <v>76.099999999999994</v>
      </c>
      <c r="F785" s="11" t="s">
        <v>56</v>
      </c>
      <c r="G785" s="11" t="str">
        <f t="shared" si="116"/>
        <v>Litres</v>
      </c>
      <c r="H785" s="13">
        <v>175</v>
      </c>
      <c r="I785" s="11" t="s">
        <v>19</v>
      </c>
      <c r="J785" s="12">
        <v>67467</v>
      </c>
      <c r="K785" s="12" t="str">
        <f t="shared" si="112"/>
        <v>Moderate</v>
      </c>
      <c r="L785" s="11" t="s">
        <v>20</v>
      </c>
      <c r="M785" s="14">
        <v>45288</v>
      </c>
      <c r="N785" s="14" t="str">
        <f t="shared" si="113"/>
        <v>28/12/2023</v>
      </c>
      <c r="O785" s="14" t="str">
        <f t="shared" si="114"/>
        <v>2023</v>
      </c>
      <c r="P785" s="11" t="s">
        <v>793</v>
      </c>
      <c r="Q785" s="11" t="s">
        <v>48</v>
      </c>
      <c r="R785" s="11">
        <v>6</v>
      </c>
      <c r="S785" s="11" t="str">
        <f t="shared" si="115"/>
        <v>5 - 8 yrs</v>
      </c>
      <c r="T785" s="12">
        <v>237.5</v>
      </c>
      <c r="U785" s="11" t="str">
        <f t="shared" si="108"/>
        <v>(201 - 250)</v>
      </c>
      <c r="V785" s="12">
        <f t="shared" si="109"/>
        <v>2.2996057818659659</v>
      </c>
      <c r="W785" s="12">
        <f t="shared" si="110"/>
        <v>385.52571428571429</v>
      </c>
      <c r="X785" s="12">
        <f t="shared" si="111"/>
        <v>1.3571428571428572</v>
      </c>
    </row>
    <row r="786" spans="1:24">
      <c r="A786" s="11">
        <v>785</v>
      </c>
      <c r="B786" s="11" t="s">
        <v>2601</v>
      </c>
      <c r="C786" s="11" t="s">
        <v>39</v>
      </c>
      <c r="D786" s="11" t="s">
        <v>114</v>
      </c>
      <c r="E786" s="12">
        <v>57.1</v>
      </c>
      <c r="F786" s="11" t="s">
        <v>62</v>
      </c>
      <c r="G786" s="11" t="str">
        <f t="shared" si="116"/>
        <v>kWh</v>
      </c>
      <c r="H786" s="13">
        <v>407</v>
      </c>
      <c r="I786" s="11" t="s">
        <v>19</v>
      </c>
      <c r="J786" s="12">
        <v>51501</v>
      </c>
      <c r="K786" s="12" t="str">
        <f t="shared" si="112"/>
        <v>Medium</v>
      </c>
      <c r="L786" s="11" t="s">
        <v>20</v>
      </c>
      <c r="M786" s="14">
        <v>45270</v>
      </c>
      <c r="N786" s="14" t="str">
        <f t="shared" si="113"/>
        <v>10/12/2023</v>
      </c>
      <c r="O786" s="14" t="str">
        <f t="shared" si="114"/>
        <v>2023</v>
      </c>
      <c r="P786" s="11" t="s">
        <v>1164</v>
      </c>
      <c r="Q786" s="11" t="s">
        <v>117</v>
      </c>
      <c r="R786" s="11">
        <v>13</v>
      </c>
      <c r="S786" s="11" t="str">
        <f t="shared" si="115"/>
        <v>13 - 16 yrs</v>
      </c>
      <c r="T786" s="12">
        <v>139.4</v>
      </c>
      <c r="U786" s="11" t="str">
        <f t="shared" si="108"/>
        <v>(101 - 150)</v>
      </c>
      <c r="V786" s="12">
        <f t="shared" si="109"/>
        <v>7.1278458844133095</v>
      </c>
      <c r="W786" s="12">
        <f t="shared" si="110"/>
        <v>126.53808353808354</v>
      </c>
      <c r="X786" s="12">
        <f t="shared" si="111"/>
        <v>0.34250614250614253</v>
      </c>
    </row>
    <row r="787" spans="1:24">
      <c r="A787" s="11">
        <v>786</v>
      </c>
      <c r="B787" s="11" t="s">
        <v>341</v>
      </c>
      <c r="C787" s="11" t="s">
        <v>32</v>
      </c>
      <c r="D787" s="11" t="s">
        <v>61</v>
      </c>
      <c r="E787" s="12">
        <v>10</v>
      </c>
      <c r="F787" s="11" t="s">
        <v>26</v>
      </c>
      <c r="G787" s="11" t="str">
        <f t="shared" si="116"/>
        <v>Litres</v>
      </c>
      <c r="H787" s="13">
        <v>465</v>
      </c>
      <c r="I787" s="11" t="s">
        <v>19</v>
      </c>
      <c r="J787" s="12">
        <v>90821</v>
      </c>
      <c r="K787" s="12" t="str">
        <f t="shared" si="112"/>
        <v>Very High</v>
      </c>
      <c r="L787" s="11" t="s">
        <v>20</v>
      </c>
      <c r="M787" s="14">
        <v>45052</v>
      </c>
      <c r="N787" s="14" t="str">
        <f t="shared" si="113"/>
        <v>06/05/2023</v>
      </c>
      <c r="O787" s="14" t="str">
        <f t="shared" si="114"/>
        <v>2023</v>
      </c>
      <c r="P787" s="11" t="s">
        <v>1033</v>
      </c>
      <c r="Q787" s="11" t="s">
        <v>54</v>
      </c>
      <c r="R787" s="11">
        <v>16</v>
      </c>
      <c r="S787" s="11" t="str">
        <f t="shared" si="115"/>
        <v>13 - 16 yrs</v>
      </c>
      <c r="T787" s="12">
        <v>0</v>
      </c>
      <c r="U787" s="11" t="str">
        <f t="shared" si="108"/>
        <v>(0 - 50)</v>
      </c>
      <c r="V787" s="12">
        <f t="shared" si="109"/>
        <v>46.5</v>
      </c>
      <c r="W787" s="12">
        <f t="shared" si="110"/>
        <v>195.31397849462365</v>
      </c>
      <c r="X787" s="12">
        <f t="shared" si="111"/>
        <v>0</v>
      </c>
    </row>
    <row r="788" spans="1:24">
      <c r="A788" s="11">
        <v>787</v>
      </c>
      <c r="B788" s="11" t="s">
        <v>2602</v>
      </c>
      <c r="C788" s="11" t="s">
        <v>39</v>
      </c>
      <c r="D788" s="11" t="s">
        <v>17</v>
      </c>
      <c r="E788" s="12">
        <v>37.5</v>
      </c>
      <c r="F788" s="11" t="s">
        <v>62</v>
      </c>
      <c r="G788" s="11" t="str">
        <f t="shared" si="116"/>
        <v>kWh</v>
      </c>
      <c r="H788" s="13">
        <v>49</v>
      </c>
      <c r="I788" s="11" t="s">
        <v>19</v>
      </c>
      <c r="J788" s="12">
        <v>21872</v>
      </c>
      <c r="K788" s="12" t="str">
        <f t="shared" si="112"/>
        <v>Low</v>
      </c>
      <c r="L788" s="11" t="s">
        <v>20</v>
      </c>
      <c r="M788" s="14">
        <v>45610</v>
      </c>
      <c r="N788" s="14" t="str">
        <f t="shared" si="113"/>
        <v>14/11/2024</v>
      </c>
      <c r="O788" s="14" t="str">
        <f t="shared" si="114"/>
        <v>2024</v>
      </c>
      <c r="P788" s="11" t="s">
        <v>1227</v>
      </c>
      <c r="Q788" s="11" t="s">
        <v>117</v>
      </c>
      <c r="R788" s="11">
        <v>18</v>
      </c>
      <c r="S788" s="11" t="str">
        <f t="shared" si="115"/>
        <v>17 + yrs</v>
      </c>
      <c r="T788" s="12">
        <v>112.4</v>
      </c>
      <c r="U788" s="11" t="str">
        <f t="shared" si="108"/>
        <v>(101 - 150)</v>
      </c>
      <c r="V788" s="12">
        <f t="shared" si="109"/>
        <v>1.3066666666666666</v>
      </c>
      <c r="W788" s="12">
        <f t="shared" si="110"/>
        <v>446.36734693877548</v>
      </c>
      <c r="X788" s="12">
        <f t="shared" si="111"/>
        <v>2.2938775510204081</v>
      </c>
    </row>
    <row r="789" spans="1:24">
      <c r="A789" s="11">
        <v>788</v>
      </c>
      <c r="B789" s="11" t="s">
        <v>2603</v>
      </c>
      <c r="C789" s="11" t="s">
        <v>50</v>
      </c>
      <c r="D789" s="11" t="s">
        <v>33</v>
      </c>
      <c r="E789" s="12">
        <v>12.4</v>
      </c>
      <c r="F789" s="11" t="s">
        <v>41</v>
      </c>
      <c r="G789" s="11" t="str">
        <f t="shared" si="116"/>
        <v>Litres</v>
      </c>
      <c r="H789" s="13">
        <v>32</v>
      </c>
      <c r="I789" s="11" t="s">
        <v>19</v>
      </c>
      <c r="J789" s="12">
        <v>18748</v>
      </c>
      <c r="K789" s="12" t="str">
        <f t="shared" si="112"/>
        <v>Low</v>
      </c>
      <c r="L789" s="11" t="s">
        <v>20</v>
      </c>
      <c r="M789" s="14">
        <v>45375</v>
      </c>
      <c r="N789" s="14" t="str">
        <f t="shared" si="113"/>
        <v>24/03/2024</v>
      </c>
      <c r="O789" s="14" t="str">
        <f t="shared" si="114"/>
        <v>2024</v>
      </c>
      <c r="P789" s="11" t="s">
        <v>2021</v>
      </c>
      <c r="Q789" s="11" t="s">
        <v>69</v>
      </c>
      <c r="R789" s="11">
        <v>3</v>
      </c>
      <c r="S789" s="11" t="str">
        <f t="shared" si="115"/>
        <v>0 - 4 yrs</v>
      </c>
      <c r="T789" s="12">
        <v>41.7</v>
      </c>
      <c r="U789" s="11" t="str">
        <f t="shared" si="108"/>
        <v>(0 - 50)</v>
      </c>
      <c r="V789" s="12">
        <f t="shared" si="109"/>
        <v>2.5806451612903225</v>
      </c>
      <c r="W789" s="12">
        <f t="shared" si="110"/>
        <v>585.875</v>
      </c>
      <c r="X789" s="12">
        <f t="shared" si="111"/>
        <v>1.3031250000000001</v>
      </c>
    </row>
    <row r="790" spans="1:24">
      <c r="A790" s="11">
        <v>789</v>
      </c>
      <c r="B790" s="11" t="s">
        <v>2022</v>
      </c>
      <c r="C790" s="11" t="s">
        <v>16</v>
      </c>
      <c r="D790" s="11" t="s">
        <v>17</v>
      </c>
      <c r="E790" s="12">
        <v>52.2</v>
      </c>
      <c r="F790" s="11" t="s">
        <v>2643</v>
      </c>
      <c r="G790" s="11" t="str">
        <f t="shared" si="116"/>
        <v>Litres</v>
      </c>
      <c r="H790" s="13">
        <v>73</v>
      </c>
      <c r="I790" s="11" t="s">
        <v>19</v>
      </c>
      <c r="J790" s="12">
        <v>80729</v>
      </c>
      <c r="K790" s="12" t="str">
        <f t="shared" si="112"/>
        <v>High</v>
      </c>
      <c r="L790" s="11" t="s">
        <v>20</v>
      </c>
      <c r="M790" s="14">
        <v>45482</v>
      </c>
      <c r="N790" s="14" t="str">
        <f t="shared" si="113"/>
        <v>09/07/2024</v>
      </c>
      <c r="O790" s="14" t="str">
        <f t="shared" si="114"/>
        <v>2024</v>
      </c>
      <c r="P790" s="11" t="s">
        <v>822</v>
      </c>
      <c r="Q790" s="11" t="s">
        <v>59</v>
      </c>
      <c r="R790" s="11">
        <v>10</v>
      </c>
      <c r="S790" s="11" t="str">
        <f t="shared" si="115"/>
        <v>9 - 12 yrs</v>
      </c>
      <c r="T790" s="12">
        <v>174.3</v>
      </c>
      <c r="U790" s="11" t="str">
        <f t="shared" si="108"/>
        <v>(151 - 200)</v>
      </c>
      <c r="V790" s="12">
        <f t="shared" si="109"/>
        <v>1.3984674329501916</v>
      </c>
      <c r="W790" s="12">
        <f t="shared" si="110"/>
        <v>1105.8767123287671</v>
      </c>
      <c r="X790" s="12">
        <f t="shared" si="111"/>
        <v>2.3876712328767127</v>
      </c>
    </row>
    <row r="791" spans="1:24">
      <c r="A791" s="11">
        <v>790</v>
      </c>
      <c r="B791" s="11" t="s">
        <v>2024</v>
      </c>
      <c r="C791" s="11" t="s">
        <v>39</v>
      </c>
      <c r="D791" s="11" t="s">
        <v>114</v>
      </c>
      <c r="E791" s="12">
        <v>81.7</v>
      </c>
      <c r="F791" s="11" t="s">
        <v>26</v>
      </c>
      <c r="G791" s="11" t="str">
        <f t="shared" si="116"/>
        <v>Litres</v>
      </c>
      <c r="H791" s="13">
        <v>174</v>
      </c>
      <c r="I791" s="11" t="s">
        <v>19</v>
      </c>
      <c r="J791" s="12">
        <v>60960</v>
      </c>
      <c r="K791" s="12" t="str">
        <f t="shared" si="112"/>
        <v>Moderate</v>
      </c>
      <c r="L791" s="11" t="s">
        <v>20</v>
      </c>
      <c r="M791" s="14">
        <v>44967</v>
      </c>
      <c r="N791" s="14" t="str">
        <f t="shared" si="113"/>
        <v>10/02/2023</v>
      </c>
      <c r="O791" s="14" t="str">
        <f t="shared" si="114"/>
        <v>2023</v>
      </c>
      <c r="P791" s="11" t="s">
        <v>1019</v>
      </c>
      <c r="Q791" s="11" t="s">
        <v>2648</v>
      </c>
      <c r="R791" s="11">
        <v>20</v>
      </c>
      <c r="S791" s="11" t="str">
        <f t="shared" si="115"/>
        <v>17 + yrs</v>
      </c>
      <c r="T791" s="12">
        <v>199.9</v>
      </c>
      <c r="U791" s="11" t="str">
        <f t="shared" si="108"/>
        <v>(151 - 200)</v>
      </c>
      <c r="V791" s="12">
        <f t="shared" si="109"/>
        <v>2.1297429620563033</v>
      </c>
      <c r="W791" s="12">
        <f t="shared" si="110"/>
        <v>350.34482758620692</v>
      </c>
      <c r="X791" s="12">
        <f t="shared" si="111"/>
        <v>1.1488505747126436</v>
      </c>
    </row>
    <row r="792" spans="1:24">
      <c r="A792" s="11">
        <v>791</v>
      </c>
      <c r="B792" s="11" t="s">
        <v>2025</v>
      </c>
      <c r="C792" s="11" t="s">
        <v>50</v>
      </c>
      <c r="D792" s="11" t="s">
        <v>17</v>
      </c>
      <c r="E792" s="12">
        <v>56.1</v>
      </c>
      <c r="F792" s="11" t="s">
        <v>56</v>
      </c>
      <c r="G792" s="11" t="str">
        <f t="shared" si="116"/>
        <v>Litres</v>
      </c>
      <c r="H792" s="13">
        <v>142</v>
      </c>
      <c r="I792" s="11" t="s">
        <v>19</v>
      </c>
      <c r="J792" s="12">
        <v>28635</v>
      </c>
      <c r="K792" s="12" t="str">
        <f t="shared" si="112"/>
        <v>Low</v>
      </c>
      <c r="L792" s="11" t="s">
        <v>20</v>
      </c>
      <c r="M792" s="14">
        <v>45784</v>
      </c>
      <c r="N792" s="14" t="str">
        <f t="shared" si="113"/>
        <v>07/05/2025</v>
      </c>
      <c r="O792" s="14" t="str">
        <f t="shared" si="114"/>
        <v>2025</v>
      </c>
      <c r="P792" s="11" t="s">
        <v>791</v>
      </c>
      <c r="Q792" s="11" t="s">
        <v>121</v>
      </c>
      <c r="R792" s="11">
        <v>2</v>
      </c>
      <c r="S792" s="11" t="str">
        <f t="shared" si="115"/>
        <v>0 - 4 yrs</v>
      </c>
      <c r="T792" s="12">
        <v>168.8</v>
      </c>
      <c r="U792" s="11" t="str">
        <f t="shared" si="108"/>
        <v>(151 - 200)</v>
      </c>
      <c r="V792" s="12">
        <f t="shared" si="109"/>
        <v>2.5311942959001783</v>
      </c>
      <c r="W792" s="12">
        <f t="shared" si="110"/>
        <v>201.6549295774648</v>
      </c>
      <c r="X792" s="12">
        <f t="shared" si="111"/>
        <v>1.1887323943661972</v>
      </c>
    </row>
    <row r="793" spans="1:24">
      <c r="A793" s="11">
        <v>792</v>
      </c>
      <c r="B793" s="11" t="s">
        <v>2027</v>
      </c>
      <c r="C793" s="11" t="s">
        <v>50</v>
      </c>
      <c r="D793" s="11" t="s">
        <v>17</v>
      </c>
      <c r="E793" s="12">
        <v>41</v>
      </c>
      <c r="F793" s="11" t="s">
        <v>56</v>
      </c>
      <c r="G793" s="11" t="str">
        <f t="shared" si="116"/>
        <v>Litres</v>
      </c>
      <c r="H793" s="13">
        <v>192</v>
      </c>
      <c r="I793" s="11" t="s">
        <v>19</v>
      </c>
      <c r="J793" s="12">
        <v>8778</v>
      </c>
      <c r="K793" s="12" t="str">
        <f t="shared" si="112"/>
        <v>Very Low</v>
      </c>
      <c r="L793" s="11" t="s">
        <v>20</v>
      </c>
      <c r="M793" s="14">
        <v>45606</v>
      </c>
      <c r="N793" s="14" t="str">
        <f t="shared" si="113"/>
        <v>10/11/2024</v>
      </c>
      <c r="O793" s="14" t="str">
        <f t="shared" si="114"/>
        <v>2024</v>
      </c>
      <c r="P793" s="11" t="s">
        <v>519</v>
      </c>
      <c r="Q793" s="11" t="s">
        <v>441</v>
      </c>
      <c r="R793" s="11">
        <v>13</v>
      </c>
      <c r="S793" s="11" t="str">
        <f t="shared" si="115"/>
        <v>13 - 16 yrs</v>
      </c>
      <c r="T793" s="12">
        <v>90.2</v>
      </c>
      <c r="U793" s="11" t="str">
        <f t="shared" si="108"/>
        <v>(51 - 100)</v>
      </c>
      <c r="V793" s="12">
        <f t="shared" si="109"/>
        <v>4.6829268292682924</v>
      </c>
      <c r="W793" s="12">
        <f t="shared" si="110"/>
        <v>45.71875</v>
      </c>
      <c r="X793" s="12">
        <f t="shared" si="111"/>
        <v>0.46979166666666666</v>
      </c>
    </row>
    <row r="794" spans="1:24">
      <c r="A794" s="11">
        <v>793</v>
      </c>
      <c r="B794" s="11" t="s">
        <v>2029</v>
      </c>
      <c r="C794" s="11" t="s">
        <v>32</v>
      </c>
      <c r="D794" s="11" t="s">
        <v>17</v>
      </c>
      <c r="E794" s="12">
        <v>85.3</v>
      </c>
      <c r="F794" s="11" t="s">
        <v>26</v>
      </c>
      <c r="G794" s="11" t="str">
        <f t="shared" si="116"/>
        <v>Litres</v>
      </c>
      <c r="H794" s="13">
        <v>362</v>
      </c>
      <c r="I794" s="11" t="s">
        <v>19</v>
      </c>
      <c r="J794" s="12">
        <v>66279</v>
      </c>
      <c r="K794" s="12" t="str">
        <f t="shared" si="112"/>
        <v>Moderate</v>
      </c>
      <c r="L794" s="11" t="s">
        <v>20</v>
      </c>
      <c r="M794" s="14">
        <v>45052</v>
      </c>
      <c r="N794" s="14" t="str">
        <f t="shared" si="113"/>
        <v>06/05/2023</v>
      </c>
      <c r="O794" s="14" t="str">
        <f t="shared" si="114"/>
        <v>2023</v>
      </c>
      <c r="P794" s="11" t="s">
        <v>1093</v>
      </c>
      <c r="Q794" s="11" t="s">
        <v>48</v>
      </c>
      <c r="R794" s="11">
        <v>11</v>
      </c>
      <c r="S794" s="11" t="str">
        <f t="shared" si="115"/>
        <v>9 - 12 yrs</v>
      </c>
      <c r="T794" s="12">
        <v>183.4</v>
      </c>
      <c r="U794" s="11" t="str">
        <f t="shared" si="108"/>
        <v>(151 - 200)</v>
      </c>
      <c r="V794" s="12">
        <f t="shared" si="109"/>
        <v>4.2438452520515826</v>
      </c>
      <c r="W794" s="12">
        <f t="shared" si="110"/>
        <v>183.09116022099448</v>
      </c>
      <c r="X794" s="12">
        <f t="shared" si="111"/>
        <v>0.50662983425414365</v>
      </c>
    </row>
    <row r="795" spans="1:24">
      <c r="A795" s="11">
        <v>794</v>
      </c>
      <c r="B795" s="11" t="s">
        <v>2030</v>
      </c>
      <c r="C795" s="11" t="s">
        <v>32</v>
      </c>
      <c r="D795" s="11" t="s">
        <v>114</v>
      </c>
      <c r="E795" s="12">
        <v>31.8</v>
      </c>
      <c r="F795" s="11" t="s">
        <v>2643</v>
      </c>
      <c r="G795" s="11" t="str">
        <f t="shared" si="116"/>
        <v>Litres</v>
      </c>
      <c r="H795" s="13">
        <v>248</v>
      </c>
      <c r="I795" s="11" t="s">
        <v>19</v>
      </c>
      <c r="J795" s="12">
        <v>76620</v>
      </c>
      <c r="K795" s="12" t="str">
        <f t="shared" si="112"/>
        <v>High</v>
      </c>
      <c r="L795" s="11" t="s">
        <v>20</v>
      </c>
      <c r="M795" s="14">
        <v>45134</v>
      </c>
      <c r="N795" s="14" t="str">
        <f t="shared" si="113"/>
        <v>27/07/2023</v>
      </c>
      <c r="O795" s="14" t="str">
        <f t="shared" si="114"/>
        <v>2023</v>
      </c>
      <c r="P795" s="11" t="s">
        <v>437</v>
      </c>
      <c r="Q795" s="11" t="s">
        <v>441</v>
      </c>
      <c r="R795" s="11">
        <v>11</v>
      </c>
      <c r="S795" s="11" t="str">
        <f t="shared" si="115"/>
        <v>9 - 12 yrs</v>
      </c>
      <c r="T795" s="12">
        <v>67.7</v>
      </c>
      <c r="U795" s="11" t="str">
        <f t="shared" si="108"/>
        <v>(51 - 100)</v>
      </c>
      <c r="V795" s="12">
        <f t="shared" si="109"/>
        <v>7.7987421383647799</v>
      </c>
      <c r="W795" s="12">
        <f t="shared" si="110"/>
        <v>308.95161290322579</v>
      </c>
      <c r="X795" s="12">
        <f t="shared" si="111"/>
        <v>0.27298387096774196</v>
      </c>
    </row>
    <row r="796" spans="1:24">
      <c r="A796" s="11">
        <v>795</v>
      </c>
      <c r="B796" s="11" t="s">
        <v>2604</v>
      </c>
      <c r="C796" s="11" t="s">
        <v>16</v>
      </c>
      <c r="D796" s="11" t="s">
        <v>33</v>
      </c>
      <c r="E796" s="12">
        <v>10.4</v>
      </c>
      <c r="F796" s="11" t="s">
        <v>26</v>
      </c>
      <c r="G796" s="11" t="str">
        <f t="shared" si="116"/>
        <v>Litres</v>
      </c>
      <c r="H796" s="13">
        <v>445</v>
      </c>
      <c r="I796" s="11" t="s">
        <v>19</v>
      </c>
      <c r="J796" s="12">
        <v>18229</v>
      </c>
      <c r="K796" s="12" t="str">
        <f t="shared" si="112"/>
        <v>Low</v>
      </c>
      <c r="L796" s="11" t="s">
        <v>20</v>
      </c>
      <c r="M796" s="14">
        <v>45542</v>
      </c>
      <c r="N796" s="14" t="str">
        <f t="shared" si="113"/>
        <v>07/09/2024</v>
      </c>
      <c r="O796" s="14" t="str">
        <f t="shared" si="114"/>
        <v>2024</v>
      </c>
      <c r="P796" s="11" t="s">
        <v>657</v>
      </c>
      <c r="Q796" s="11" t="s">
        <v>59</v>
      </c>
      <c r="R796" s="11">
        <v>6</v>
      </c>
      <c r="S796" s="11" t="str">
        <f t="shared" si="115"/>
        <v>5 - 8 yrs</v>
      </c>
      <c r="T796" s="12">
        <v>29.7</v>
      </c>
      <c r="U796" s="11" t="str">
        <f t="shared" si="108"/>
        <v>(0 - 50)</v>
      </c>
      <c r="V796" s="12">
        <f t="shared" si="109"/>
        <v>42.78846153846154</v>
      </c>
      <c r="W796" s="12">
        <f t="shared" si="110"/>
        <v>40.964044943820227</v>
      </c>
      <c r="X796" s="12">
        <f t="shared" si="111"/>
        <v>6.6741573033707868E-2</v>
      </c>
    </row>
    <row r="797" spans="1:24">
      <c r="A797" s="11">
        <v>796</v>
      </c>
      <c r="B797" s="11" t="s">
        <v>2034</v>
      </c>
      <c r="C797" s="11" t="s">
        <v>50</v>
      </c>
      <c r="D797" s="11" t="s">
        <v>61</v>
      </c>
      <c r="E797" s="12">
        <v>10</v>
      </c>
      <c r="F797" s="11" t="s">
        <v>62</v>
      </c>
      <c r="G797" s="11" t="str">
        <f t="shared" si="116"/>
        <v>kWh</v>
      </c>
      <c r="H797" s="13">
        <v>36</v>
      </c>
      <c r="I797" s="11" t="s">
        <v>19</v>
      </c>
      <c r="J797" s="12">
        <v>24670</v>
      </c>
      <c r="K797" s="12" t="str">
        <f t="shared" si="112"/>
        <v>Low</v>
      </c>
      <c r="L797" s="11" t="s">
        <v>20</v>
      </c>
      <c r="M797" s="14">
        <v>45005</v>
      </c>
      <c r="N797" s="14" t="str">
        <f t="shared" si="113"/>
        <v>20/03/2023</v>
      </c>
      <c r="O797" s="14" t="str">
        <f t="shared" si="114"/>
        <v>2023</v>
      </c>
      <c r="P797" s="11" t="s">
        <v>1471</v>
      </c>
      <c r="Q797" s="11" t="s">
        <v>54</v>
      </c>
      <c r="R797" s="11">
        <v>14</v>
      </c>
      <c r="S797" s="11" t="str">
        <f t="shared" si="115"/>
        <v>13 - 16 yrs</v>
      </c>
      <c r="T797" s="12">
        <v>0</v>
      </c>
      <c r="U797" s="11" t="str">
        <f t="shared" si="108"/>
        <v>(0 - 50)</v>
      </c>
      <c r="V797" s="12">
        <f t="shared" si="109"/>
        <v>3.6</v>
      </c>
      <c r="W797" s="12">
        <f t="shared" si="110"/>
        <v>685.27777777777783</v>
      </c>
      <c r="X797" s="12">
        <f t="shared" si="111"/>
        <v>0</v>
      </c>
    </row>
    <row r="798" spans="1:24">
      <c r="A798" s="11">
        <v>797</v>
      </c>
      <c r="B798" s="11" t="s">
        <v>2605</v>
      </c>
      <c r="C798" s="11" t="s">
        <v>50</v>
      </c>
      <c r="D798" s="11" t="s">
        <v>17</v>
      </c>
      <c r="E798" s="12">
        <v>77.3</v>
      </c>
      <c r="F798" s="11" t="s">
        <v>41</v>
      </c>
      <c r="G798" s="11" t="str">
        <f t="shared" si="116"/>
        <v>Litres</v>
      </c>
      <c r="H798" s="13">
        <v>252</v>
      </c>
      <c r="I798" s="11" t="s">
        <v>19</v>
      </c>
      <c r="J798" s="12">
        <v>67200</v>
      </c>
      <c r="K798" s="12" t="str">
        <f t="shared" si="112"/>
        <v>Moderate</v>
      </c>
      <c r="L798" s="11" t="s">
        <v>20</v>
      </c>
      <c r="M798" s="14">
        <v>45521</v>
      </c>
      <c r="N798" s="14" t="str">
        <f t="shared" si="113"/>
        <v>17/08/2024</v>
      </c>
      <c r="O798" s="14" t="str">
        <f t="shared" si="114"/>
        <v>2024</v>
      </c>
      <c r="P798" s="11" t="s">
        <v>741</v>
      </c>
      <c r="Q798" s="11" t="s">
        <v>117</v>
      </c>
      <c r="R798" s="11">
        <v>12</v>
      </c>
      <c r="S798" s="11" t="str">
        <f t="shared" si="115"/>
        <v>9 - 12 yrs</v>
      </c>
      <c r="T798" s="12">
        <v>218.5</v>
      </c>
      <c r="U798" s="11" t="str">
        <f t="shared" si="108"/>
        <v>(201 - 250)</v>
      </c>
      <c r="V798" s="12">
        <f t="shared" si="109"/>
        <v>3.260025873221216</v>
      </c>
      <c r="W798" s="12">
        <f t="shared" si="110"/>
        <v>266.66666666666669</v>
      </c>
      <c r="X798" s="12">
        <f t="shared" si="111"/>
        <v>0.86706349206349209</v>
      </c>
    </row>
    <row r="799" spans="1:24">
      <c r="A799" s="11">
        <v>798</v>
      </c>
      <c r="B799" s="11" t="s">
        <v>2524</v>
      </c>
      <c r="C799" s="11" t="s">
        <v>16</v>
      </c>
      <c r="D799" s="11" t="s">
        <v>33</v>
      </c>
      <c r="E799" s="12">
        <v>44.5</v>
      </c>
      <c r="F799" s="11" t="s">
        <v>41</v>
      </c>
      <c r="G799" s="11" t="str">
        <f t="shared" si="116"/>
        <v>Litres</v>
      </c>
      <c r="H799" s="13">
        <v>62</v>
      </c>
      <c r="I799" s="11" t="s">
        <v>19</v>
      </c>
      <c r="J799" s="12">
        <v>36246</v>
      </c>
      <c r="K799" s="12" t="str">
        <f t="shared" si="112"/>
        <v>Medium</v>
      </c>
      <c r="L799" s="11" t="s">
        <v>20</v>
      </c>
      <c r="M799" s="14">
        <v>45725</v>
      </c>
      <c r="N799" s="14" t="str">
        <f t="shared" si="113"/>
        <v>09/03/2025</v>
      </c>
      <c r="O799" s="14" t="str">
        <f t="shared" si="114"/>
        <v>2025</v>
      </c>
      <c r="P799" s="11" t="s">
        <v>822</v>
      </c>
      <c r="Q799" s="11" t="s">
        <v>86</v>
      </c>
      <c r="R799" s="11">
        <v>4</v>
      </c>
      <c r="S799" s="11" t="str">
        <f t="shared" si="115"/>
        <v>0 - 4 yrs</v>
      </c>
      <c r="T799" s="12">
        <v>153.5</v>
      </c>
      <c r="U799" s="11" t="str">
        <f t="shared" si="108"/>
        <v>(151 - 200)</v>
      </c>
      <c r="V799" s="12">
        <f t="shared" si="109"/>
        <v>1.3932584269662922</v>
      </c>
      <c r="W799" s="12">
        <f t="shared" si="110"/>
        <v>584.61290322580646</v>
      </c>
      <c r="X799" s="12">
        <f t="shared" si="111"/>
        <v>2.475806451612903</v>
      </c>
    </row>
    <row r="800" spans="1:24">
      <c r="A800" s="11">
        <v>799</v>
      </c>
      <c r="B800" s="11" t="s">
        <v>2038</v>
      </c>
      <c r="C800" s="11" t="s">
        <v>16</v>
      </c>
      <c r="D800" s="11" t="s">
        <v>33</v>
      </c>
      <c r="E800" s="12">
        <v>70.900000000000006</v>
      </c>
      <c r="F800" s="11" t="s">
        <v>26</v>
      </c>
      <c r="G800" s="11" t="str">
        <f t="shared" si="116"/>
        <v>Litres</v>
      </c>
      <c r="H800" s="13">
        <v>241</v>
      </c>
      <c r="I800" s="11" t="s">
        <v>19</v>
      </c>
      <c r="J800" s="12">
        <v>13250</v>
      </c>
      <c r="K800" s="12" t="str">
        <f t="shared" si="112"/>
        <v>Very Low</v>
      </c>
      <c r="L800" s="11" t="s">
        <v>20</v>
      </c>
      <c r="M800" s="14">
        <v>45209</v>
      </c>
      <c r="N800" s="14" t="str">
        <f t="shared" si="113"/>
        <v>10/10/2023</v>
      </c>
      <c r="O800" s="14" t="str">
        <f t="shared" si="114"/>
        <v>2023</v>
      </c>
      <c r="P800" s="11" t="s">
        <v>413</v>
      </c>
      <c r="Q800" s="11" t="s">
        <v>86</v>
      </c>
      <c r="R800" s="11">
        <v>20</v>
      </c>
      <c r="S800" s="11" t="str">
        <f t="shared" si="115"/>
        <v>17 + yrs</v>
      </c>
      <c r="T800" s="12">
        <v>192.6</v>
      </c>
      <c r="U800" s="11" t="str">
        <f t="shared" si="108"/>
        <v>(151 - 200)</v>
      </c>
      <c r="V800" s="12">
        <f t="shared" si="109"/>
        <v>3.3991537376586738</v>
      </c>
      <c r="W800" s="12">
        <f t="shared" si="110"/>
        <v>54.979253112033192</v>
      </c>
      <c r="X800" s="12">
        <f t="shared" si="111"/>
        <v>0.79917012448132774</v>
      </c>
    </row>
    <row r="801" spans="1:24">
      <c r="A801" s="11">
        <v>800</v>
      </c>
      <c r="B801" s="11" t="s">
        <v>2040</v>
      </c>
      <c r="C801" s="11" t="s">
        <v>39</v>
      </c>
      <c r="D801" s="11" t="s">
        <v>33</v>
      </c>
      <c r="E801" s="12">
        <v>46.5</v>
      </c>
      <c r="F801" s="11" t="s">
        <v>56</v>
      </c>
      <c r="G801" s="11" t="str">
        <f t="shared" si="116"/>
        <v>Litres</v>
      </c>
      <c r="H801" s="13">
        <v>406</v>
      </c>
      <c r="I801" s="11" t="s">
        <v>19</v>
      </c>
      <c r="J801" s="12">
        <v>88803</v>
      </c>
      <c r="K801" s="12" t="str">
        <f t="shared" si="112"/>
        <v>High</v>
      </c>
      <c r="L801" s="11" t="s">
        <v>20</v>
      </c>
      <c r="M801" s="14">
        <v>45623</v>
      </c>
      <c r="N801" s="14" t="str">
        <f t="shared" si="113"/>
        <v>27/11/2024</v>
      </c>
      <c r="O801" s="14" t="str">
        <f t="shared" si="114"/>
        <v>2024</v>
      </c>
      <c r="P801" s="11" t="s">
        <v>906</v>
      </c>
      <c r="Q801" s="11" t="s">
        <v>48</v>
      </c>
      <c r="R801" s="11">
        <v>10</v>
      </c>
      <c r="S801" s="11" t="str">
        <f t="shared" si="115"/>
        <v>9 - 12 yrs</v>
      </c>
      <c r="T801" s="12">
        <v>154.9</v>
      </c>
      <c r="U801" s="11" t="str">
        <f t="shared" ref="U801:U864" si="117">IF(T801&lt;=50,"(0 - 50)",IF(T801&lt;=100,"(51 - 100)",IF(T801&lt;=150,"(101 - 150)",IF(T801&lt;=200,"(151 - 200)",IF(T801&lt;=250,"(201 - 250)",IF(T801&lt;=300,"(251 - 300)","(301 - 350)"))))))</f>
        <v>(151 - 200)</v>
      </c>
      <c r="V801" s="12">
        <f t="shared" ref="V801:V864" si="118">H801/E801</f>
        <v>8.7311827956989241</v>
      </c>
      <c r="W801" s="12">
        <f t="shared" ref="W801:W864" si="119">J801/H801</f>
        <v>218.72660098522167</v>
      </c>
      <c r="X801" s="12">
        <f t="shared" ref="X801:X864" si="120">T801/H801</f>
        <v>0.38152709359605913</v>
      </c>
    </row>
    <row r="802" spans="1:24">
      <c r="A802" s="11">
        <v>801</v>
      </c>
      <c r="B802" s="11" t="s">
        <v>2606</v>
      </c>
      <c r="C802" s="11" t="s">
        <v>32</v>
      </c>
      <c r="D802" s="11" t="s">
        <v>33</v>
      </c>
      <c r="E802" s="12">
        <v>73</v>
      </c>
      <c r="F802" s="11" t="s">
        <v>56</v>
      </c>
      <c r="G802" s="11" t="str">
        <f t="shared" si="116"/>
        <v>Litres</v>
      </c>
      <c r="H802" s="13">
        <v>127</v>
      </c>
      <c r="I802" s="11" t="s">
        <v>19</v>
      </c>
      <c r="J802" s="12">
        <v>92418</v>
      </c>
      <c r="K802" s="12" t="str">
        <f t="shared" si="112"/>
        <v>Very High</v>
      </c>
      <c r="L802" s="11" t="s">
        <v>20</v>
      </c>
      <c r="M802" s="14">
        <v>44998</v>
      </c>
      <c r="N802" s="14" t="str">
        <f t="shared" si="113"/>
        <v>13/03/2023</v>
      </c>
      <c r="O802" s="14" t="str">
        <f t="shared" si="114"/>
        <v>2023</v>
      </c>
      <c r="P802" s="11" t="s">
        <v>1538</v>
      </c>
      <c r="Q802" s="11" t="s">
        <v>117</v>
      </c>
      <c r="R802" s="11">
        <v>14</v>
      </c>
      <c r="S802" s="11" t="str">
        <f t="shared" si="115"/>
        <v>13 - 16 yrs</v>
      </c>
      <c r="T802" s="12">
        <v>161.5</v>
      </c>
      <c r="U802" s="11" t="str">
        <f t="shared" si="117"/>
        <v>(151 - 200)</v>
      </c>
      <c r="V802" s="12">
        <f t="shared" si="118"/>
        <v>1.7397260273972603</v>
      </c>
      <c r="W802" s="12">
        <f t="shared" si="119"/>
        <v>727.70078740157476</v>
      </c>
      <c r="X802" s="12">
        <f t="shared" si="120"/>
        <v>1.2716535433070866</v>
      </c>
    </row>
    <row r="803" spans="1:24">
      <c r="A803" s="11">
        <v>802</v>
      </c>
      <c r="B803" s="11" t="s">
        <v>2503</v>
      </c>
      <c r="C803" s="11" t="s">
        <v>16</v>
      </c>
      <c r="D803" s="11" t="s">
        <v>17</v>
      </c>
      <c r="E803" s="12">
        <v>31.2</v>
      </c>
      <c r="F803" s="11" t="s">
        <v>2643</v>
      </c>
      <c r="G803" s="11" t="str">
        <f t="shared" si="116"/>
        <v>Litres</v>
      </c>
      <c r="H803" s="13">
        <v>307</v>
      </c>
      <c r="I803" s="11" t="s">
        <v>19</v>
      </c>
      <c r="J803" s="12">
        <v>60785</v>
      </c>
      <c r="K803" s="12" t="str">
        <f t="shared" si="112"/>
        <v>Moderate</v>
      </c>
      <c r="L803" s="11" t="s">
        <v>20</v>
      </c>
      <c r="M803" s="14">
        <v>45702</v>
      </c>
      <c r="N803" s="14" t="str">
        <f t="shared" si="113"/>
        <v>14/02/2025</v>
      </c>
      <c r="O803" s="14" t="str">
        <f t="shared" si="114"/>
        <v>2025</v>
      </c>
      <c r="P803" s="11" t="s">
        <v>2045</v>
      </c>
      <c r="Q803" s="11" t="s">
        <v>112</v>
      </c>
      <c r="R803" s="11">
        <v>8</v>
      </c>
      <c r="S803" s="11" t="str">
        <f t="shared" si="115"/>
        <v>5 - 8 yrs</v>
      </c>
      <c r="T803" s="12">
        <v>69.599999999999994</v>
      </c>
      <c r="U803" s="11" t="str">
        <f t="shared" si="117"/>
        <v>(51 - 100)</v>
      </c>
      <c r="V803" s="12">
        <f t="shared" si="118"/>
        <v>9.8397435897435894</v>
      </c>
      <c r="W803" s="12">
        <f t="shared" si="119"/>
        <v>197.99674267100977</v>
      </c>
      <c r="X803" s="12">
        <f t="shared" si="120"/>
        <v>0.22671009771986969</v>
      </c>
    </row>
    <row r="804" spans="1:24">
      <c r="A804" s="11">
        <v>803</v>
      </c>
      <c r="B804" s="11" t="s">
        <v>2607</v>
      </c>
      <c r="C804" s="11" t="s">
        <v>32</v>
      </c>
      <c r="D804" s="11" t="s">
        <v>114</v>
      </c>
      <c r="E804" s="12">
        <v>36.799999999999997</v>
      </c>
      <c r="F804" s="11" t="s">
        <v>56</v>
      </c>
      <c r="G804" s="11" t="str">
        <f t="shared" si="116"/>
        <v>Litres</v>
      </c>
      <c r="H804" s="13">
        <v>298</v>
      </c>
      <c r="I804" s="11" t="s">
        <v>19</v>
      </c>
      <c r="J804" s="12">
        <v>64961</v>
      </c>
      <c r="K804" s="12" t="str">
        <f t="shared" si="112"/>
        <v>Moderate</v>
      </c>
      <c r="L804" s="11" t="s">
        <v>20</v>
      </c>
      <c r="M804" s="14">
        <v>45293</v>
      </c>
      <c r="N804" s="14" t="str">
        <f t="shared" si="113"/>
        <v>02/01/2024</v>
      </c>
      <c r="O804" s="14" t="str">
        <f t="shared" si="114"/>
        <v>2024</v>
      </c>
      <c r="P804" s="11" t="s">
        <v>983</v>
      </c>
      <c r="Q804" s="11" t="s">
        <v>48</v>
      </c>
      <c r="R804" s="11">
        <v>15</v>
      </c>
      <c r="S804" s="11" t="str">
        <f t="shared" si="115"/>
        <v>13 - 16 yrs</v>
      </c>
      <c r="T804" s="12">
        <v>84.1</v>
      </c>
      <c r="U804" s="11" t="str">
        <f t="shared" si="117"/>
        <v>(51 - 100)</v>
      </c>
      <c r="V804" s="12">
        <f t="shared" si="118"/>
        <v>8.0978260869565215</v>
      </c>
      <c r="W804" s="12">
        <f t="shared" si="119"/>
        <v>217.98993288590603</v>
      </c>
      <c r="X804" s="12">
        <f t="shared" si="120"/>
        <v>0.28221476510067112</v>
      </c>
    </row>
    <row r="805" spans="1:24">
      <c r="A805" s="11">
        <v>804</v>
      </c>
      <c r="B805" s="11" t="s">
        <v>2608</v>
      </c>
      <c r="C805" s="11" t="s">
        <v>50</v>
      </c>
      <c r="D805" s="11" t="s">
        <v>33</v>
      </c>
      <c r="E805" s="12">
        <v>40.200000000000003</v>
      </c>
      <c r="F805" s="11" t="s">
        <v>26</v>
      </c>
      <c r="G805" s="11" t="str">
        <f t="shared" si="116"/>
        <v>Litres</v>
      </c>
      <c r="H805" s="13">
        <v>543</v>
      </c>
      <c r="I805" s="11" t="s">
        <v>19</v>
      </c>
      <c r="J805" s="12">
        <v>80058</v>
      </c>
      <c r="K805" s="12" t="str">
        <f t="shared" si="112"/>
        <v>High</v>
      </c>
      <c r="L805" s="11" t="s">
        <v>20</v>
      </c>
      <c r="M805" s="14">
        <v>45176</v>
      </c>
      <c r="N805" s="14" t="str">
        <f t="shared" si="113"/>
        <v>07/09/2023</v>
      </c>
      <c r="O805" s="14" t="str">
        <f t="shared" si="114"/>
        <v>2023</v>
      </c>
      <c r="P805" s="11" t="s">
        <v>458</v>
      </c>
      <c r="Q805" s="11" t="s">
        <v>2648</v>
      </c>
      <c r="R805" s="11">
        <v>14</v>
      </c>
      <c r="S805" s="11" t="str">
        <f t="shared" si="115"/>
        <v>13 - 16 yrs</v>
      </c>
      <c r="T805" s="12">
        <v>80.8</v>
      </c>
      <c r="U805" s="11" t="str">
        <f t="shared" si="117"/>
        <v>(51 - 100)</v>
      </c>
      <c r="V805" s="12">
        <f t="shared" si="118"/>
        <v>13.507462686567163</v>
      </c>
      <c r="W805" s="12">
        <f t="shared" si="119"/>
        <v>147.4364640883978</v>
      </c>
      <c r="X805" s="12">
        <f t="shared" si="120"/>
        <v>0.14880294659300183</v>
      </c>
    </row>
    <row r="806" spans="1:24">
      <c r="A806" s="11">
        <v>805</v>
      </c>
      <c r="B806" s="11" t="s">
        <v>2050</v>
      </c>
      <c r="C806" s="11" t="s">
        <v>39</v>
      </c>
      <c r="D806" s="11" t="s">
        <v>33</v>
      </c>
      <c r="E806" s="12">
        <v>5.0999999999999996</v>
      </c>
      <c r="F806" s="11" t="s">
        <v>2643</v>
      </c>
      <c r="G806" s="11" t="str">
        <f t="shared" si="116"/>
        <v>Litres</v>
      </c>
      <c r="H806" s="13">
        <v>373</v>
      </c>
      <c r="I806" s="11" t="s">
        <v>19</v>
      </c>
      <c r="J806" s="12">
        <v>115387</v>
      </c>
      <c r="K806" s="12" t="str">
        <f t="shared" ref="K806:K869" si="121">IF(J806&lt;18000,"Very Low",IF(J806&lt;36000,"Low",IF(J806&lt;54000,"Medium",IF(J806&lt;72000,"Moderate",IF(J806&lt;90000,"High",IF(J806&lt;108000,"Very High","Extreme"))))))</f>
        <v>Extreme</v>
      </c>
      <c r="L806" s="11" t="s">
        <v>20</v>
      </c>
      <c r="M806" s="14">
        <v>45391</v>
      </c>
      <c r="N806" s="14" t="str">
        <f t="shared" ref="N806:N869" si="122">TEXT(M806,"dd/mm/yyyy")</f>
        <v>09/04/2024</v>
      </c>
      <c r="O806" s="14" t="str">
        <f t="shared" ref="O806:O869" si="123">TEXT(M806,"yyyy")</f>
        <v>2024</v>
      </c>
      <c r="P806" s="11" t="s">
        <v>819</v>
      </c>
      <c r="Q806" s="11" t="s">
        <v>112</v>
      </c>
      <c r="R806" s="11">
        <v>3</v>
      </c>
      <c r="S806" s="11" t="str">
        <f t="shared" ref="S806:S869" si="124">IF(R806&lt;=4,"0 - 4 yrs",IF(R806&lt;=8,"5 - 8 yrs",IF(R806&lt;=12,"9 - 12 yrs",IF(R806&lt;=16,"13 - 16 yrs","17 + yrs"))))</f>
        <v>0 - 4 yrs</v>
      </c>
      <c r="T806" s="12">
        <v>14.4</v>
      </c>
      <c r="U806" s="11" t="str">
        <f t="shared" si="117"/>
        <v>(0 - 50)</v>
      </c>
      <c r="V806" s="12">
        <f t="shared" si="118"/>
        <v>73.137254901960787</v>
      </c>
      <c r="W806" s="12">
        <f t="shared" si="119"/>
        <v>309.34852546916892</v>
      </c>
      <c r="X806" s="12">
        <f t="shared" si="120"/>
        <v>3.8605898123324399E-2</v>
      </c>
    </row>
    <row r="807" spans="1:24">
      <c r="A807" s="11">
        <v>806</v>
      </c>
      <c r="B807" s="11" t="s">
        <v>2444</v>
      </c>
      <c r="C807" s="11" t="s">
        <v>50</v>
      </c>
      <c r="D807" s="11" t="s">
        <v>33</v>
      </c>
      <c r="E807" s="12">
        <v>58.8</v>
      </c>
      <c r="F807" s="11" t="s">
        <v>62</v>
      </c>
      <c r="G807" s="11" t="str">
        <f t="shared" si="116"/>
        <v>kWh</v>
      </c>
      <c r="H807" s="13">
        <v>326</v>
      </c>
      <c r="I807" s="11" t="s">
        <v>19</v>
      </c>
      <c r="J807" s="12">
        <v>7995</v>
      </c>
      <c r="K807" s="12" t="str">
        <f t="shared" si="121"/>
        <v>Very Low</v>
      </c>
      <c r="L807" s="11" t="s">
        <v>20</v>
      </c>
      <c r="M807" s="14">
        <v>45205</v>
      </c>
      <c r="N807" s="14" t="str">
        <f t="shared" si="122"/>
        <v>06/10/2023</v>
      </c>
      <c r="O807" s="14" t="str">
        <f t="shared" si="123"/>
        <v>2023</v>
      </c>
      <c r="P807" s="11" t="s">
        <v>723</v>
      </c>
      <c r="Q807" s="11" t="s">
        <v>54</v>
      </c>
      <c r="R807" s="11">
        <v>16</v>
      </c>
      <c r="S807" s="11" t="str">
        <f t="shared" si="124"/>
        <v>13 - 16 yrs</v>
      </c>
      <c r="T807" s="12">
        <v>194.3</v>
      </c>
      <c r="U807" s="11" t="str">
        <f t="shared" si="117"/>
        <v>(151 - 200)</v>
      </c>
      <c r="V807" s="12">
        <f t="shared" si="118"/>
        <v>5.5442176870748305</v>
      </c>
      <c r="W807" s="12">
        <f t="shared" si="119"/>
        <v>24.524539877300615</v>
      </c>
      <c r="X807" s="12">
        <f t="shared" si="120"/>
        <v>0.59601226993865031</v>
      </c>
    </row>
    <row r="808" spans="1:24">
      <c r="A808" s="11">
        <v>807</v>
      </c>
      <c r="B808" s="11" t="s">
        <v>2053</v>
      </c>
      <c r="C808" s="11" t="s">
        <v>50</v>
      </c>
      <c r="D808" s="11" t="s">
        <v>114</v>
      </c>
      <c r="E808" s="12">
        <v>35.299999999999997</v>
      </c>
      <c r="F808" s="11" t="s">
        <v>56</v>
      </c>
      <c r="G808" s="11" t="str">
        <f t="shared" si="116"/>
        <v>Litres</v>
      </c>
      <c r="H808" s="13">
        <v>382</v>
      </c>
      <c r="I808" s="11" t="s">
        <v>19</v>
      </c>
      <c r="J808" s="12">
        <v>55225</v>
      </c>
      <c r="K808" s="12" t="str">
        <f t="shared" si="121"/>
        <v>Moderate</v>
      </c>
      <c r="L808" s="11" t="s">
        <v>20</v>
      </c>
      <c r="M808" s="14">
        <v>45534</v>
      </c>
      <c r="N808" s="14" t="str">
        <f t="shared" si="122"/>
        <v>30/08/2024</v>
      </c>
      <c r="O808" s="14" t="str">
        <f t="shared" si="123"/>
        <v>2024</v>
      </c>
      <c r="P808" s="11" t="s">
        <v>2055</v>
      </c>
      <c r="Q808" s="11" t="s">
        <v>2648</v>
      </c>
      <c r="R808" s="11">
        <v>4</v>
      </c>
      <c r="S808" s="11" t="str">
        <f t="shared" si="124"/>
        <v>0 - 4 yrs</v>
      </c>
      <c r="T808" s="12">
        <v>99.3</v>
      </c>
      <c r="U808" s="11" t="str">
        <f t="shared" si="117"/>
        <v>(51 - 100)</v>
      </c>
      <c r="V808" s="12">
        <f t="shared" si="118"/>
        <v>10.821529745042493</v>
      </c>
      <c r="W808" s="12">
        <f t="shared" si="119"/>
        <v>144.56806282722513</v>
      </c>
      <c r="X808" s="12">
        <f t="shared" si="120"/>
        <v>0.25994764397905756</v>
      </c>
    </row>
    <row r="809" spans="1:24">
      <c r="A809" s="11">
        <v>808</v>
      </c>
      <c r="B809" s="11" t="s">
        <v>2056</v>
      </c>
      <c r="C809" s="11" t="s">
        <v>16</v>
      </c>
      <c r="D809" s="11" t="s">
        <v>33</v>
      </c>
      <c r="E809" s="12">
        <v>28.4</v>
      </c>
      <c r="F809" s="11" t="s">
        <v>26</v>
      </c>
      <c r="G809" s="11" t="str">
        <f t="shared" si="116"/>
        <v>Litres</v>
      </c>
      <c r="H809" s="13">
        <v>179</v>
      </c>
      <c r="I809" s="11" t="s">
        <v>19</v>
      </c>
      <c r="J809" s="12">
        <v>2401</v>
      </c>
      <c r="K809" s="12" t="str">
        <f t="shared" si="121"/>
        <v>Very Low</v>
      </c>
      <c r="L809" s="11" t="s">
        <v>20</v>
      </c>
      <c r="M809" s="14">
        <v>45334</v>
      </c>
      <c r="N809" s="14" t="str">
        <f t="shared" si="122"/>
        <v>12/02/2024</v>
      </c>
      <c r="O809" s="14" t="str">
        <f t="shared" si="123"/>
        <v>2024</v>
      </c>
      <c r="P809" s="11" t="s">
        <v>2058</v>
      </c>
      <c r="Q809" s="11" t="s">
        <v>121</v>
      </c>
      <c r="R809" s="11">
        <v>5</v>
      </c>
      <c r="S809" s="11" t="str">
        <f t="shared" si="124"/>
        <v>5 - 8 yrs</v>
      </c>
      <c r="T809" s="12">
        <v>87.8</v>
      </c>
      <c r="U809" s="11" t="str">
        <f t="shared" si="117"/>
        <v>(51 - 100)</v>
      </c>
      <c r="V809" s="12">
        <f t="shared" si="118"/>
        <v>6.302816901408451</v>
      </c>
      <c r="W809" s="12">
        <f t="shared" si="119"/>
        <v>13.41340782122905</v>
      </c>
      <c r="X809" s="12">
        <f t="shared" si="120"/>
        <v>0.49050279329608937</v>
      </c>
    </row>
    <row r="810" spans="1:24">
      <c r="A810" s="11">
        <v>809</v>
      </c>
      <c r="B810" s="11" t="s">
        <v>2059</v>
      </c>
      <c r="C810" s="11" t="s">
        <v>39</v>
      </c>
      <c r="D810" s="11" t="s">
        <v>114</v>
      </c>
      <c r="E810" s="12">
        <v>89.9</v>
      </c>
      <c r="F810" s="11" t="s">
        <v>62</v>
      </c>
      <c r="G810" s="11" t="str">
        <f t="shared" si="116"/>
        <v>kWh</v>
      </c>
      <c r="H810" s="13">
        <v>654</v>
      </c>
      <c r="I810" s="11" t="s">
        <v>19</v>
      </c>
      <c r="J810" s="12">
        <v>108947</v>
      </c>
      <c r="K810" s="12" t="str">
        <f t="shared" si="121"/>
        <v>Extreme</v>
      </c>
      <c r="L810" s="11" t="s">
        <v>20</v>
      </c>
      <c r="M810" s="14">
        <v>45786</v>
      </c>
      <c r="N810" s="14" t="str">
        <f t="shared" si="122"/>
        <v>09/05/2025</v>
      </c>
      <c r="O810" s="14" t="str">
        <f t="shared" si="123"/>
        <v>2025</v>
      </c>
      <c r="P810" s="11" t="s">
        <v>120</v>
      </c>
      <c r="Q810" s="11" t="s">
        <v>117</v>
      </c>
      <c r="R810" s="11">
        <v>18</v>
      </c>
      <c r="S810" s="11" t="str">
        <f t="shared" si="124"/>
        <v>17 + yrs</v>
      </c>
      <c r="T810" s="12">
        <v>286.2</v>
      </c>
      <c r="U810" s="11" t="str">
        <f t="shared" si="117"/>
        <v>(251 - 300)</v>
      </c>
      <c r="V810" s="12">
        <f t="shared" si="118"/>
        <v>7.2747497219132367</v>
      </c>
      <c r="W810" s="12">
        <f t="shared" si="119"/>
        <v>166.58562691131499</v>
      </c>
      <c r="X810" s="12">
        <f t="shared" si="120"/>
        <v>0.43761467889908257</v>
      </c>
    </row>
    <row r="811" spans="1:24">
      <c r="A811" s="11">
        <v>810</v>
      </c>
      <c r="B811" s="11" t="s">
        <v>2609</v>
      </c>
      <c r="C811" s="11" t="s">
        <v>32</v>
      </c>
      <c r="D811" s="11" t="s">
        <v>33</v>
      </c>
      <c r="E811" s="12">
        <v>80.099999999999994</v>
      </c>
      <c r="F811" s="11" t="s">
        <v>41</v>
      </c>
      <c r="G811" s="11" t="str">
        <f t="shared" si="116"/>
        <v>Litres</v>
      </c>
      <c r="H811" s="13">
        <v>34</v>
      </c>
      <c r="I811" s="11" t="s">
        <v>19</v>
      </c>
      <c r="J811" s="12">
        <v>78895</v>
      </c>
      <c r="K811" s="12" t="str">
        <f t="shared" si="121"/>
        <v>High</v>
      </c>
      <c r="L811" s="11" t="s">
        <v>20</v>
      </c>
      <c r="M811" s="14">
        <v>45318</v>
      </c>
      <c r="N811" s="14" t="str">
        <f t="shared" si="122"/>
        <v>27/01/2024</v>
      </c>
      <c r="O811" s="14" t="str">
        <f t="shared" si="123"/>
        <v>2024</v>
      </c>
      <c r="P811" s="11" t="s">
        <v>2062</v>
      </c>
      <c r="Q811" s="11" t="s">
        <v>48</v>
      </c>
      <c r="R811" s="11">
        <v>2</v>
      </c>
      <c r="S811" s="11" t="str">
        <f t="shared" si="124"/>
        <v>0 - 4 yrs</v>
      </c>
      <c r="T811" s="12">
        <v>279.3</v>
      </c>
      <c r="U811" s="11" t="str">
        <f t="shared" si="117"/>
        <v>(251 - 300)</v>
      </c>
      <c r="V811" s="12">
        <f t="shared" si="118"/>
        <v>0.42446941323345821</v>
      </c>
      <c r="W811" s="12">
        <f t="shared" si="119"/>
        <v>2320.4411764705883</v>
      </c>
      <c r="X811" s="12">
        <f t="shared" si="120"/>
        <v>8.2147058823529413</v>
      </c>
    </row>
    <row r="812" spans="1:24">
      <c r="A812" s="11">
        <v>811</v>
      </c>
      <c r="B812" s="11" t="s">
        <v>2063</v>
      </c>
      <c r="C812" s="11" t="s">
        <v>39</v>
      </c>
      <c r="D812" s="11" t="s">
        <v>17</v>
      </c>
      <c r="E812" s="12">
        <v>54.7</v>
      </c>
      <c r="F812" s="11" t="s">
        <v>56</v>
      </c>
      <c r="G812" s="11" t="str">
        <f t="shared" si="116"/>
        <v>Litres</v>
      </c>
      <c r="H812" s="13">
        <v>270</v>
      </c>
      <c r="I812" s="11" t="s">
        <v>19</v>
      </c>
      <c r="J812" s="12">
        <v>75682</v>
      </c>
      <c r="K812" s="12" t="str">
        <f t="shared" si="121"/>
        <v>High</v>
      </c>
      <c r="L812" s="11" t="s">
        <v>20</v>
      </c>
      <c r="M812" s="14">
        <v>45657</v>
      </c>
      <c r="N812" s="14" t="str">
        <f t="shared" si="122"/>
        <v>31/12/2024</v>
      </c>
      <c r="O812" s="14" t="str">
        <f t="shared" si="123"/>
        <v>2024</v>
      </c>
      <c r="P812" s="11" t="s">
        <v>1805</v>
      </c>
      <c r="Q812" s="11" t="s">
        <v>69</v>
      </c>
      <c r="R812" s="11">
        <v>6</v>
      </c>
      <c r="S812" s="11" t="str">
        <f t="shared" si="124"/>
        <v>5 - 8 yrs</v>
      </c>
      <c r="T812" s="12">
        <v>140.80000000000001</v>
      </c>
      <c r="U812" s="11" t="str">
        <f t="shared" si="117"/>
        <v>(101 - 150)</v>
      </c>
      <c r="V812" s="12">
        <f t="shared" si="118"/>
        <v>4.9360146252285189</v>
      </c>
      <c r="W812" s="12">
        <f t="shared" si="119"/>
        <v>280.30370370370372</v>
      </c>
      <c r="X812" s="12">
        <f t="shared" si="120"/>
        <v>0.52148148148148155</v>
      </c>
    </row>
    <row r="813" spans="1:24">
      <c r="A813" s="11">
        <v>812</v>
      </c>
      <c r="B813" s="11" t="s">
        <v>2065</v>
      </c>
      <c r="C813" s="11" t="s">
        <v>16</v>
      </c>
      <c r="D813" s="11" t="s">
        <v>33</v>
      </c>
      <c r="E813" s="12">
        <v>33.9</v>
      </c>
      <c r="F813" s="11" t="s">
        <v>62</v>
      </c>
      <c r="G813" s="11" t="str">
        <f t="shared" si="116"/>
        <v>kWh</v>
      </c>
      <c r="H813" s="13">
        <v>231</v>
      </c>
      <c r="I813" s="11" t="s">
        <v>19</v>
      </c>
      <c r="J813" s="12">
        <v>49965</v>
      </c>
      <c r="K813" s="12" t="str">
        <f t="shared" si="121"/>
        <v>Medium</v>
      </c>
      <c r="L813" s="11" t="s">
        <v>20</v>
      </c>
      <c r="M813" s="14">
        <v>45521</v>
      </c>
      <c r="N813" s="14" t="str">
        <f t="shared" si="122"/>
        <v>17/08/2024</v>
      </c>
      <c r="O813" s="14" t="str">
        <f t="shared" si="123"/>
        <v>2024</v>
      </c>
      <c r="P813" s="11" t="s">
        <v>2066</v>
      </c>
      <c r="Q813" s="11" t="s">
        <v>59</v>
      </c>
      <c r="R813" s="11">
        <v>8</v>
      </c>
      <c r="S813" s="11" t="str">
        <f t="shared" si="124"/>
        <v>5 - 8 yrs</v>
      </c>
      <c r="T813" s="12">
        <v>88.1</v>
      </c>
      <c r="U813" s="11" t="str">
        <f t="shared" si="117"/>
        <v>(51 - 100)</v>
      </c>
      <c r="V813" s="12">
        <f t="shared" si="118"/>
        <v>6.8141592920353986</v>
      </c>
      <c r="W813" s="12">
        <f t="shared" si="119"/>
        <v>216.2987012987013</v>
      </c>
      <c r="X813" s="12">
        <f t="shared" si="120"/>
        <v>0.38138528138528138</v>
      </c>
    </row>
    <row r="814" spans="1:24">
      <c r="A814" s="11">
        <v>813</v>
      </c>
      <c r="B814" s="11" t="s">
        <v>2610</v>
      </c>
      <c r="C814" s="11" t="s">
        <v>32</v>
      </c>
      <c r="D814" s="11" t="s">
        <v>33</v>
      </c>
      <c r="E814" s="12">
        <v>92.8</v>
      </c>
      <c r="F814" s="11" t="s">
        <v>26</v>
      </c>
      <c r="G814" s="11" t="str">
        <f t="shared" si="116"/>
        <v>Litres</v>
      </c>
      <c r="H814" s="13">
        <v>529</v>
      </c>
      <c r="I814" s="11" t="s">
        <v>19</v>
      </c>
      <c r="J814" s="12">
        <v>53133</v>
      </c>
      <c r="K814" s="12" t="str">
        <f t="shared" si="121"/>
        <v>Medium</v>
      </c>
      <c r="L814" s="11" t="s">
        <v>20</v>
      </c>
      <c r="M814" s="14">
        <v>45405</v>
      </c>
      <c r="N814" s="14" t="str">
        <f t="shared" si="122"/>
        <v>23/04/2024</v>
      </c>
      <c r="O814" s="14" t="str">
        <f t="shared" si="123"/>
        <v>2024</v>
      </c>
      <c r="P814" s="11" t="s">
        <v>1149</v>
      </c>
      <c r="Q814" s="11" t="s">
        <v>121</v>
      </c>
      <c r="R814" s="11">
        <v>17</v>
      </c>
      <c r="S814" s="11" t="str">
        <f t="shared" si="124"/>
        <v>17 + yrs</v>
      </c>
      <c r="T814" s="12">
        <v>287.3</v>
      </c>
      <c r="U814" s="11" t="str">
        <f t="shared" si="117"/>
        <v>(251 - 300)</v>
      </c>
      <c r="V814" s="12">
        <f t="shared" si="118"/>
        <v>5.7004310344827589</v>
      </c>
      <c r="W814" s="12">
        <f t="shared" si="119"/>
        <v>100.44045368620039</v>
      </c>
      <c r="X814" s="12">
        <f t="shared" si="120"/>
        <v>0.54310018903591684</v>
      </c>
    </row>
    <row r="815" spans="1:24">
      <c r="A815" s="11">
        <v>814</v>
      </c>
      <c r="B815" s="11" t="s">
        <v>2069</v>
      </c>
      <c r="C815" s="11" t="s">
        <v>16</v>
      </c>
      <c r="D815" s="11" t="s">
        <v>114</v>
      </c>
      <c r="E815" s="12">
        <v>28.9</v>
      </c>
      <c r="F815" s="11" t="s">
        <v>41</v>
      </c>
      <c r="G815" s="11" t="str">
        <f t="shared" si="116"/>
        <v>Litres</v>
      </c>
      <c r="H815" s="13">
        <v>684</v>
      </c>
      <c r="I815" s="11" t="s">
        <v>19</v>
      </c>
      <c r="J815" s="12">
        <v>113260</v>
      </c>
      <c r="K815" s="12" t="str">
        <f t="shared" si="121"/>
        <v>Extreme</v>
      </c>
      <c r="L815" s="11" t="s">
        <v>20</v>
      </c>
      <c r="M815" s="14">
        <v>45146</v>
      </c>
      <c r="N815" s="14" t="str">
        <f t="shared" si="122"/>
        <v>08/08/2023</v>
      </c>
      <c r="O815" s="14" t="str">
        <f t="shared" si="123"/>
        <v>2023</v>
      </c>
      <c r="P815" s="11" t="s">
        <v>89</v>
      </c>
      <c r="Q815" s="11" t="s">
        <v>117</v>
      </c>
      <c r="R815" s="11">
        <v>6</v>
      </c>
      <c r="S815" s="11" t="str">
        <f t="shared" si="124"/>
        <v>5 - 8 yrs</v>
      </c>
      <c r="T815" s="12">
        <v>77.8</v>
      </c>
      <c r="U815" s="11" t="str">
        <f t="shared" si="117"/>
        <v>(51 - 100)</v>
      </c>
      <c r="V815" s="12">
        <f t="shared" si="118"/>
        <v>23.667820069204154</v>
      </c>
      <c r="W815" s="12">
        <f t="shared" si="119"/>
        <v>165.58479532163742</v>
      </c>
      <c r="X815" s="12">
        <f t="shared" si="120"/>
        <v>0.11374269005847953</v>
      </c>
    </row>
    <row r="816" spans="1:24">
      <c r="A816" s="11">
        <v>815</v>
      </c>
      <c r="B816" s="11" t="s">
        <v>2071</v>
      </c>
      <c r="C816" s="11" t="s">
        <v>16</v>
      </c>
      <c r="D816" s="11" t="s">
        <v>114</v>
      </c>
      <c r="E816" s="12">
        <v>58.3</v>
      </c>
      <c r="F816" s="11" t="s">
        <v>26</v>
      </c>
      <c r="G816" s="11" t="str">
        <f t="shared" si="116"/>
        <v>Litres</v>
      </c>
      <c r="H816" s="13">
        <v>193</v>
      </c>
      <c r="I816" s="11" t="s">
        <v>19</v>
      </c>
      <c r="J816" s="12">
        <v>49420</v>
      </c>
      <c r="K816" s="12" t="str">
        <f t="shared" si="121"/>
        <v>Medium</v>
      </c>
      <c r="L816" s="11" t="s">
        <v>20</v>
      </c>
      <c r="M816" s="14">
        <v>45252</v>
      </c>
      <c r="N816" s="14" t="str">
        <f t="shared" si="122"/>
        <v>22/11/2023</v>
      </c>
      <c r="O816" s="14" t="str">
        <f t="shared" si="123"/>
        <v>2023</v>
      </c>
      <c r="P816" s="11" t="s">
        <v>1793</v>
      </c>
      <c r="Q816" s="11" t="s">
        <v>117</v>
      </c>
      <c r="R816" s="11">
        <v>19</v>
      </c>
      <c r="S816" s="11" t="str">
        <f t="shared" si="124"/>
        <v>17 + yrs</v>
      </c>
      <c r="T816" s="12">
        <v>117.3</v>
      </c>
      <c r="U816" s="11" t="str">
        <f t="shared" si="117"/>
        <v>(101 - 150)</v>
      </c>
      <c r="V816" s="12">
        <f t="shared" si="118"/>
        <v>3.3104631217838767</v>
      </c>
      <c r="W816" s="12">
        <f t="shared" si="119"/>
        <v>256.06217616580312</v>
      </c>
      <c r="X816" s="12">
        <f t="shared" si="120"/>
        <v>0.60777202072538861</v>
      </c>
    </row>
    <row r="817" spans="1:24">
      <c r="A817" s="11">
        <v>816</v>
      </c>
      <c r="B817" s="11" t="s">
        <v>2073</v>
      </c>
      <c r="C817" s="11" t="s">
        <v>39</v>
      </c>
      <c r="D817" s="11" t="s">
        <v>17</v>
      </c>
      <c r="E817" s="12">
        <v>91.2</v>
      </c>
      <c r="F817" s="11" t="s">
        <v>26</v>
      </c>
      <c r="G817" s="11" t="str">
        <f t="shared" si="116"/>
        <v>Litres</v>
      </c>
      <c r="H817" s="13">
        <v>380</v>
      </c>
      <c r="I817" s="11" t="s">
        <v>19</v>
      </c>
      <c r="J817" s="12">
        <v>42622</v>
      </c>
      <c r="K817" s="12" t="str">
        <f t="shared" si="121"/>
        <v>Medium</v>
      </c>
      <c r="L817" s="11" t="s">
        <v>20</v>
      </c>
      <c r="M817" s="14">
        <v>45100</v>
      </c>
      <c r="N817" s="14" t="str">
        <f t="shared" si="122"/>
        <v>23/06/2023</v>
      </c>
      <c r="O817" s="14" t="str">
        <f t="shared" si="123"/>
        <v>2023</v>
      </c>
      <c r="P817" s="11" t="s">
        <v>2075</v>
      </c>
      <c r="Q817" s="11" t="s">
        <v>86</v>
      </c>
      <c r="R817" s="11">
        <v>16</v>
      </c>
      <c r="S817" s="11" t="str">
        <f t="shared" si="124"/>
        <v>13 - 16 yrs</v>
      </c>
      <c r="T817" s="12">
        <v>318.39999999999998</v>
      </c>
      <c r="U817" s="11" t="str">
        <f t="shared" si="117"/>
        <v>(301 - 350)</v>
      </c>
      <c r="V817" s="12">
        <f t="shared" si="118"/>
        <v>4.166666666666667</v>
      </c>
      <c r="W817" s="12">
        <f t="shared" si="119"/>
        <v>112.16315789473684</v>
      </c>
      <c r="X817" s="12">
        <f t="shared" si="120"/>
        <v>0.83789473684210525</v>
      </c>
    </row>
    <row r="818" spans="1:24">
      <c r="A818" s="11">
        <v>817</v>
      </c>
      <c r="B818" s="11" t="s">
        <v>2076</v>
      </c>
      <c r="C818" s="11" t="s">
        <v>39</v>
      </c>
      <c r="D818" s="11" t="s">
        <v>61</v>
      </c>
      <c r="E818" s="12">
        <v>10</v>
      </c>
      <c r="F818" s="11" t="s">
        <v>41</v>
      </c>
      <c r="G818" s="11" t="str">
        <f t="shared" si="116"/>
        <v>Litres</v>
      </c>
      <c r="H818" s="13">
        <v>477</v>
      </c>
      <c r="I818" s="11" t="s">
        <v>19</v>
      </c>
      <c r="J818" s="12">
        <v>110976</v>
      </c>
      <c r="K818" s="12" t="str">
        <f t="shared" si="121"/>
        <v>Extreme</v>
      </c>
      <c r="L818" s="11" t="s">
        <v>20</v>
      </c>
      <c r="M818" s="14">
        <v>45070</v>
      </c>
      <c r="N818" s="14" t="str">
        <f t="shared" si="122"/>
        <v>24/05/2023</v>
      </c>
      <c r="O818" s="14" t="str">
        <f t="shared" si="123"/>
        <v>2023</v>
      </c>
      <c r="P818" s="11" t="s">
        <v>1729</v>
      </c>
      <c r="Q818" s="11" t="s">
        <v>117</v>
      </c>
      <c r="R818" s="11">
        <v>3</v>
      </c>
      <c r="S818" s="11" t="str">
        <f t="shared" si="124"/>
        <v>0 - 4 yrs</v>
      </c>
      <c r="T818" s="12">
        <v>0</v>
      </c>
      <c r="U818" s="11" t="str">
        <f t="shared" si="117"/>
        <v>(0 - 50)</v>
      </c>
      <c r="V818" s="12">
        <f t="shared" si="118"/>
        <v>47.7</v>
      </c>
      <c r="W818" s="12">
        <f t="shared" si="119"/>
        <v>232.65408805031447</v>
      </c>
      <c r="X818" s="12">
        <f t="shared" si="120"/>
        <v>0</v>
      </c>
    </row>
    <row r="819" spans="1:24">
      <c r="A819" s="11">
        <v>818</v>
      </c>
      <c r="B819" s="11" t="s">
        <v>2487</v>
      </c>
      <c r="C819" s="11" t="s">
        <v>39</v>
      </c>
      <c r="D819" s="11" t="s">
        <v>17</v>
      </c>
      <c r="E819" s="12">
        <v>29.3</v>
      </c>
      <c r="F819" s="11" t="s">
        <v>26</v>
      </c>
      <c r="G819" s="11" t="str">
        <f t="shared" si="116"/>
        <v>Litres</v>
      </c>
      <c r="H819" s="13">
        <v>79</v>
      </c>
      <c r="I819" s="11" t="s">
        <v>19</v>
      </c>
      <c r="J819" s="12">
        <v>100367</v>
      </c>
      <c r="K819" s="12" t="str">
        <f t="shared" si="121"/>
        <v>Very High</v>
      </c>
      <c r="L819" s="11" t="s">
        <v>20</v>
      </c>
      <c r="M819" s="14">
        <v>45161</v>
      </c>
      <c r="N819" s="14" t="str">
        <f t="shared" si="122"/>
        <v>23/08/2023</v>
      </c>
      <c r="O819" s="14" t="str">
        <f t="shared" si="123"/>
        <v>2023</v>
      </c>
      <c r="P819" s="11" t="s">
        <v>496</v>
      </c>
      <c r="Q819" s="11" t="s">
        <v>69</v>
      </c>
      <c r="R819" s="11">
        <v>14</v>
      </c>
      <c r="S819" s="11" t="str">
        <f t="shared" si="124"/>
        <v>13 - 16 yrs</v>
      </c>
      <c r="T819" s="12">
        <v>62.9</v>
      </c>
      <c r="U819" s="11" t="str">
        <f t="shared" si="117"/>
        <v>(51 - 100)</v>
      </c>
      <c r="V819" s="12">
        <f t="shared" si="118"/>
        <v>2.696245733788396</v>
      </c>
      <c r="W819" s="12">
        <f t="shared" si="119"/>
        <v>1270.4683544303798</v>
      </c>
      <c r="X819" s="12">
        <f t="shared" si="120"/>
        <v>0.79620253164556964</v>
      </c>
    </row>
    <row r="820" spans="1:24">
      <c r="A820" s="11">
        <v>819</v>
      </c>
      <c r="B820" s="11" t="s">
        <v>2523</v>
      </c>
      <c r="C820" s="11" t="s">
        <v>32</v>
      </c>
      <c r="D820" s="11" t="s">
        <v>17</v>
      </c>
      <c r="E820" s="12">
        <v>58</v>
      </c>
      <c r="F820" s="11" t="s">
        <v>2643</v>
      </c>
      <c r="G820" s="11" t="str">
        <f t="shared" si="116"/>
        <v>Litres</v>
      </c>
      <c r="H820" s="13">
        <v>357</v>
      </c>
      <c r="I820" s="11" t="s">
        <v>19</v>
      </c>
      <c r="J820" s="12">
        <v>41241</v>
      </c>
      <c r="K820" s="12" t="str">
        <f t="shared" si="121"/>
        <v>Medium</v>
      </c>
      <c r="L820" s="11" t="s">
        <v>20</v>
      </c>
      <c r="M820" s="14">
        <v>45120</v>
      </c>
      <c r="N820" s="14" t="str">
        <f t="shared" si="122"/>
        <v>13/07/2023</v>
      </c>
      <c r="O820" s="14" t="str">
        <f t="shared" si="123"/>
        <v>2023</v>
      </c>
      <c r="P820" s="11" t="s">
        <v>428</v>
      </c>
      <c r="Q820" s="11" t="s">
        <v>69</v>
      </c>
      <c r="R820" s="11">
        <v>19</v>
      </c>
      <c r="S820" s="11" t="str">
        <f t="shared" si="124"/>
        <v>17 + yrs</v>
      </c>
      <c r="T820" s="12">
        <v>195.6</v>
      </c>
      <c r="U820" s="11" t="str">
        <f t="shared" si="117"/>
        <v>(151 - 200)</v>
      </c>
      <c r="V820" s="12">
        <f t="shared" si="118"/>
        <v>6.1551724137931032</v>
      </c>
      <c r="W820" s="12">
        <f t="shared" si="119"/>
        <v>115.52100840336135</v>
      </c>
      <c r="X820" s="12">
        <f t="shared" si="120"/>
        <v>0.54789915966386549</v>
      </c>
    </row>
    <row r="821" spans="1:24">
      <c r="A821" s="11">
        <v>820</v>
      </c>
      <c r="B821" s="11" t="s">
        <v>2078</v>
      </c>
      <c r="C821" s="11" t="s">
        <v>50</v>
      </c>
      <c r="D821" s="11" t="s">
        <v>17</v>
      </c>
      <c r="E821" s="12">
        <v>31.1</v>
      </c>
      <c r="F821" s="11" t="s">
        <v>26</v>
      </c>
      <c r="G821" s="11" t="str">
        <f t="shared" si="116"/>
        <v>Litres</v>
      </c>
      <c r="H821" s="13">
        <v>510</v>
      </c>
      <c r="I821" s="11" t="s">
        <v>19</v>
      </c>
      <c r="J821" s="12">
        <v>91905</v>
      </c>
      <c r="K821" s="12" t="str">
        <f t="shared" si="121"/>
        <v>Very High</v>
      </c>
      <c r="L821" s="11" t="s">
        <v>20</v>
      </c>
      <c r="M821" s="14">
        <v>45010</v>
      </c>
      <c r="N821" s="14" t="str">
        <f t="shared" si="122"/>
        <v>25/03/2023</v>
      </c>
      <c r="O821" s="14" t="str">
        <f t="shared" si="123"/>
        <v>2023</v>
      </c>
      <c r="P821" s="11" t="s">
        <v>1560</v>
      </c>
      <c r="Q821" s="11" t="s">
        <v>2648</v>
      </c>
      <c r="R821" s="11">
        <v>13</v>
      </c>
      <c r="S821" s="11" t="str">
        <f t="shared" si="124"/>
        <v>13 - 16 yrs</v>
      </c>
      <c r="T821" s="12">
        <v>66.5</v>
      </c>
      <c r="U821" s="11" t="str">
        <f t="shared" si="117"/>
        <v>(51 - 100)</v>
      </c>
      <c r="V821" s="12">
        <f t="shared" si="118"/>
        <v>16.39871382636656</v>
      </c>
      <c r="W821" s="12">
        <f t="shared" si="119"/>
        <v>180.20588235294119</v>
      </c>
      <c r="X821" s="12">
        <f t="shared" si="120"/>
        <v>0.13039215686274511</v>
      </c>
    </row>
    <row r="822" spans="1:24">
      <c r="A822" s="11">
        <v>821</v>
      </c>
      <c r="B822" s="11" t="s">
        <v>2611</v>
      </c>
      <c r="C822" s="11" t="s">
        <v>32</v>
      </c>
      <c r="D822" s="11" t="s">
        <v>33</v>
      </c>
      <c r="E822" s="12">
        <v>65.8</v>
      </c>
      <c r="F822" s="11" t="s">
        <v>56</v>
      </c>
      <c r="G822" s="11" t="str">
        <f t="shared" si="116"/>
        <v>Litres</v>
      </c>
      <c r="H822" s="13">
        <v>158</v>
      </c>
      <c r="I822" s="11" t="s">
        <v>19</v>
      </c>
      <c r="J822" s="12">
        <v>5754</v>
      </c>
      <c r="K822" s="12" t="str">
        <f t="shared" si="121"/>
        <v>Very Low</v>
      </c>
      <c r="L822" s="11" t="s">
        <v>20</v>
      </c>
      <c r="M822" s="14">
        <v>45573</v>
      </c>
      <c r="N822" s="14" t="str">
        <f t="shared" si="122"/>
        <v>08/10/2024</v>
      </c>
      <c r="O822" s="14" t="str">
        <f t="shared" si="123"/>
        <v>2024</v>
      </c>
      <c r="P822" s="11" t="s">
        <v>839</v>
      </c>
      <c r="Q822" s="11" t="s">
        <v>86</v>
      </c>
      <c r="R822" s="11">
        <v>2</v>
      </c>
      <c r="S822" s="11" t="str">
        <f t="shared" si="124"/>
        <v>0 - 4 yrs</v>
      </c>
      <c r="T822" s="12">
        <v>147.80000000000001</v>
      </c>
      <c r="U822" s="11" t="str">
        <f t="shared" si="117"/>
        <v>(101 - 150)</v>
      </c>
      <c r="V822" s="12">
        <f t="shared" si="118"/>
        <v>2.4012158054711246</v>
      </c>
      <c r="W822" s="12">
        <f t="shared" si="119"/>
        <v>36.417721518987342</v>
      </c>
      <c r="X822" s="12">
        <f t="shared" si="120"/>
        <v>0.93544303797468364</v>
      </c>
    </row>
    <row r="823" spans="1:24">
      <c r="A823" s="11">
        <v>822</v>
      </c>
      <c r="B823" s="11" t="s">
        <v>2082</v>
      </c>
      <c r="C823" s="11" t="s">
        <v>50</v>
      </c>
      <c r="D823" s="11" t="s">
        <v>17</v>
      </c>
      <c r="E823" s="12">
        <v>98.9</v>
      </c>
      <c r="F823" s="11" t="s">
        <v>62</v>
      </c>
      <c r="G823" s="11" t="str">
        <f t="shared" si="116"/>
        <v>kWh</v>
      </c>
      <c r="H823" s="13">
        <v>660</v>
      </c>
      <c r="I823" s="11" t="s">
        <v>19</v>
      </c>
      <c r="J823" s="12">
        <v>26463</v>
      </c>
      <c r="K823" s="12" t="str">
        <f t="shared" si="121"/>
        <v>Low</v>
      </c>
      <c r="L823" s="11" t="s">
        <v>20</v>
      </c>
      <c r="M823" s="14">
        <v>45397</v>
      </c>
      <c r="N823" s="14" t="str">
        <f t="shared" si="122"/>
        <v>15/04/2024</v>
      </c>
      <c r="O823" s="14" t="str">
        <f t="shared" si="123"/>
        <v>2024</v>
      </c>
      <c r="P823" s="11" t="s">
        <v>1438</v>
      </c>
      <c r="Q823" s="11" t="s">
        <v>117</v>
      </c>
      <c r="R823" s="11">
        <v>20</v>
      </c>
      <c r="S823" s="11" t="str">
        <f t="shared" si="124"/>
        <v>17 + yrs</v>
      </c>
      <c r="T823" s="12">
        <v>200.3</v>
      </c>
      <c r="U823" s="11" t="str">
        <f t="shared" si="117"/>
        <v>(201 - 250)</v>
      </c>
      <c r="V823" s="12">
        <f t="shared" si="118"/>
        <v>6.6734074823053584</v>
      </c>
      <c r="W823" s="12">
        <f t="shared" si="119"/>
        <v>40.095454545454544</v>
      </c>
      <c r="X823" s="12">
        <f t="shared" si="120"/>
        <v>0.30348484848484852</v>
      </c>
    </row>
    <row r="824" spans="1:24">
      <c r="A824" s="11">
        <v>823</v>
      </c>
      <c r="B824" s="11" t="s">
        <v>2084</v>
      </c>
      <c r="C824" s="11" t="s">
        <v>16</v>
      </c>
      <c r="D824" s="11" t="s">
        <v>33</v>
      </c>
      <c r="E824" s="12">
        <v>67.3</v>
      </c>
      <c r="F824" s="11" t="s">
        <v>41</v>
      </c>
      <c r="G824" s="11" t="str">
        <f t="shared" si="116"/>
        <v>Litres</v>
      </c>
      <c r="H824" s="13">
        <v>569</v>
      </c>
      <c r="I824" s="11" t="s">
        <v>19</v>
      </c>
      <c r="J824" s="12">
        <v>23180</v>
      </c>
      <c r="K824" s="12" t="str">
        <f t="shared" si="121"/>
        <v>Low</v>
      </c>
      <c r="L824" s="11" t="s">
        <v>20</v>
      </c>
      <c r="M824" s="14">
        <v>45372</v>
      </c>
      <c r="N824" s="14" t="str">
        <f t="shared" si="122"/>
        <v>21/03/2024</v>
      </c>
      <c r="O824" s="14" t="str">
        <f t="shared" si="123"/>
        <v>2024</v>
      </c>
      <c r="P824" s="11" t="s">
        <v>994</v>
      </c>
      <c r="Q824" s="11" t="s">
        <v>2648</v>
      </c>
      <c r="R824" s="11">
        <v>17</v>
      </c>
      <c r="S824" s="11" t="str">
        <f t="shared" si="124"/>
        <v>17 + yrs</v>
      </c>
      <c r="T824" s="12">
        <v>187.2</v>
      </c>
      <c r="U824" s="11" t="str">
        <f t="shared" si="117"/>
        <v>(151 - 200)</v>
      </c>
      <c r="V824" s="12">
        <f t="shared" si="118"/>
        <v>8.4546805349182765</v>
      </c>
      <c r="W824" s="12">
        <f t="shared" si="119"/>
        <v>40.738137082601057</v>
      </c>
      <c r="X824" s="12">
        <f t="shared" si="120"/>
        <v>0.32899824253075571</v>
      </c>
    </row>
    <row r="825" spans="1:24">
      <c r="A825" s="11">
        <v>824</v>
      </c>
      <c r="B825" s="11" t="s">
        <v>2086</v>
      </c>
      <c r="C825" s="11" t="s">
        <v>16</v>
      </c>
      <c r="D825" s="11" t="s">
        <v>17</v>
      </c>
      <c r="E825" s="12">
        <v>91.6</v>
      </c>
      <c r="F825" s="11" t="s">
        <v>41</v>
      </c>
      <c r="G825" s="11" t="str">
        <f t="shared" si="116"/>
        <v>Litres</v>
      </c>
      <c r="H825" s="13">
        <v>267</v>
      </c>
      <c r="I825" s="11" t="s">
        <v>19</v>
      </c>
      <c r="J825" s="12">
        <v>32007</v>
      </c>
      <c r="K825" s="12" t="str">
        <f t="shared" si="121"/>
        <v>Low</v>
      </c>
      <c r="L825" s="11" t="s">
        <v>20</v>
      </c>
      <c r="M825" s="14">
        <v>45126</v>
      </c>
      <c r="N825" s="14" t="str">
        <f t="shared" si="122"/>
        <v>19/07/2023</v>
      </c>
      <c r="O825" s="14" t="str">
        <f t="shared" si="123"/>
        <v>2023</v>
      </c>
      <c r="P825" s="11" t="s">
        <v>918</v>
      </c>
      <c r="Q825" s="11" t="s">
        <v>121</v>
      </c>
      <c r="R825" s="11">
        <v>17</v>
      </c>
      <c r="S825" s="11" t="str">
        <f t="shared" si="124"/>
        <v>17 + yrs</v>
      </c>
      <c r="T825" s="12">
        <v>314.5</v>
      </c>
      <c r="U825" s="11" t="str">
        <f t="shared" si="117"/>
        <v>(301 - 350)</v>
      </c>
      <c r="V825" s="12">
        <f t="shared" si="118"/>
        <v>2.9148471615720526</v>
      </c>
      <c r="W825" s="12">
        <f t="shared" si="119"/>
        <v>119.87640449438203</v>
      </c>
      <c r="X825" s="12">
        <f t="shared" si="120"/>
        <v>1.1779026217228465</v>
      </c>
    </row>
    <row r="826" spans="1:24">
      <c r="A826" s="11">
        <v>825</v>
      </c>
      <c r="B826" s="11" t="s">
        <v>2087</v>
      </c>
      <c r="C826" s="11" t="s">
        <v>50</v>
      </c>
      <c r="D826" s="11" t="s">
        <v>114</v>
      </c>
      <c r="E826" s="12">
        <v>54.4</v>
      </c>
      <c r="F826" s="11" t="s">
        <v>41</v>
      </c>
      <c r="G826" s="11" t="str">
        <f t="shared" si="116"/>
        <v>Litres</v>
      </c>
      <c r="H826" s="13">
        <v>175</v>
      </c>
      <c r="I826" s="11" t="s">
        <v>19</v>
      </c>
      <c r="J826" s="12">
        <v>117569</v>
      </c>
      <c r="K826" s="12" t="str">
        <f t="shared" si="121"/>
        <v>Extreme</v>
      </c>
      <c r="L826" s="11" t="s">
        <v>20</v>
      </c>
      <c r="M826" s="14">
        <v>45389</v>
      </c>
      <c r="N826" s="14" t="str">
        <f t="shared" si="122"/>
        <v>07/04/2024</v>
      </c>
      <c r="O826" s="14" t="str">
        <f t="shared" si="123"/>
        <v>2024</v>
      </c>
      <c r="P826" s="11" t="s">
        <v>2089</v>
      </c>
      <c r="Q826" s="11" t="s">
        <v>86</v>
      </c>
      <c r="R826" s="11">
        <v>12</v>
      </c>
      <c r="S826" s="11" t="str">
        <f t="shared" si="124"/>
        <v>9 - 12 yrs</v>
      </c>
      <c r="T826" s="12">
        <v>128.6</v>
      </c>
      <c r="U826" s="11" t="str">
        <f t="shared" si="117"/>
        <v>(101 - 150)</v>
      </c>
      <c r="V826" s="12">
        <f t="shared" si="118"/>
        <v>3.2169117647058822</v>
      </c>
      <c r="W826" s="12">
        <f t="shared" si="119"/>
        <v>671.82285714285717</v>
      </c>
      <c r="X826" s="12">
        <f t="shared" si="120"/>
        <v>0.73485714285714288</v>
      </c>
    </row>
    <row r="827" spans="1:24">
      <c r="A827" s="11">
        <v>826</v>
      </c>
      <c r="B827" s="11" t="s">
        <v>2090</v>
      </c>
      <c r="C827" s="11" t="s">
        <v>16</v>
      </c>
      <c r="D827" s="11" t="s">
        <v>17</v>
      </c>
      <c r="E827" s="12">
        <v>67.2</v>
      </c>
      <c r="F827" s="11" t="s">
        <v>56</v>
      </c>
      <c r="G827" s="11" t="str">
        <f t="shared" si="116"/>
        <v>Litres</v>
      </c>
      <c r="H827" s="13">
        <v>465</v>
      </c>
      <c r="I827" s="11" t="s">
        <v>19</v>
      </c>
      <c r="J827" s="12">
        <v>89268</v>
      </c>
      <c r="K827" s="12" t="str">
        <f t="shared" si="121"/>
        <v>High</v>
      </c>
      <c r="L827" s="11" t="s">
        <v>20</v>
      </c>
      <c r="M827" s="14">
        <v>45695</v>
      </c>
      <c r="N827" s="14" t="str">
        <f t="shared" si="122"/>
        <v>07/02/2025</v>
      </c>
      <c r="O827" s="14" t="str">
        <f t="shared" si="123"/>
        <v>2025</v>
      </c>
      <c r="P827" s="11" t="s">
        <v>1553</v>
      </c>
      <c r="Q827" s="11" t="s">
        <v>117</v>
      </c>
      <c r="R827" s="11">
        <v>13</v>
      </c>
      <c r="S827" s="11" t="str">
        <f t="shared" si="124"/>
        <v>13 - 16 yrs</v>
      </c>
      <c r="T827" s="12">
        <v>163.5</v>
      </c>
      <c r="U827" s="11" t="str">
        <f t="shared" si="117"/>
        <v>(151 - 200)</v>
      </c>
      <c r="V827" s="12">
        <f t="shared" si="118"/>
        <v>6.9196428571428568</v>
      </c>
      <c r="W827" s="12">
        <f t="shared" si="119"/>
        <v>191.97419354838709</v>
      </c>
      <c r="X827" s="12">
        <f t="shared" si="120"/>
        <v>0.35161290322580646</v>
      </c>
    </row>
    <row r="828" spans="1:24">
      <c r="A828" s="11">
        <v>827</v>
      </c>
      <c r="B828" s="11" t="s">
        <v>2092</v>
      </c>
      <c r="C828" s="11" t="s">
        <v>16</v>
      </c>
      <c r="D828" s="11" t="s">
        <v>17</v>
      </c>
      <c r="E828" s="12">
        <v>90</v>
      </c>
      <c r="F828" s="11" t="s">
        <v>2643</v>
      </c>
      <c r="G828" s="11" t="str">
        <f t="shared" si="116"/>
        <v>Litres</v>
      </c>
      <c r="H828" s="13">
        <v>153</v>
      </c>
      <c r="I828" s="11" t="s">
        <v>19</v>
      </c>
      <c r="J828" s="12">
        <v>15334</v>
      </c>
      <c r="K828" s="12" t="str">
        <f t="shared" si="121"/>
        <v>Very Low</v>
      </c>
      <c r="L828" s="11" t="s">
        <v>20</v>
      </c>
      <c r="M828" s="14">
        <v>45547</v>
      </c>
      <c r="N828" s="14" t="str">
        <f t="shared" si="122"/>
        <v>12/09/2024</v>
      </c>
      <c r="O828" s="14" t="str">
        <f t="shared" si="123"/>
        <v>2024</v>
      </c>
      <c r="P828" s="11" t="s">
        <v>827</v>
      </c>
      <c r="Q828" s="11" t="s">
        <v>59</v>
      </c>
      <c r="R828" s="11">
        <v>18</v>
      </c>
      <c r="S828" s="11" t="str">
        <f t="shared" si="124"/>
        <v>17 + yrs</v>
      </c>
      <c r="T828" s="12">
        <v>299.60000000000002</v>
      </c>
      <c r="U828" s="11" t="str">
        <f t="shared" si="117"/>
        <v>(251 - 300)</v>
      </c>
      <c r="V828" s="12">
        <f t="shared" si="118"/>
        <v>1.7</v>
      </c>
      <c r="W828" s="12">
        <f t="shared" si="119"/>
        <v>100.22222222222223</v>
      </c>
      <c r="X828" s="12">
        <f t="shared" si="120"/>
        <v>1.958169934640523</v>
      </c>
    </row>
    <row r="829" spans="1:24">
      <c r="A829" s="11">
        <v>828</v>
      </c>
      <c r="B829" s="11" t="s">
        <v>2094</v>
      </c>
      <c r="C829" s="11" t="s">
        <v>50</v>
      </c>
      <c r="D829" s="11" t="s">
        <v>17</v>
      </c>
      <c r="E829" s="12">
        <v>16.399999999999999</v>
      </c>
      <c r="F829" s="11" t="s">
        <v>56</v>
      </c>
      <c r="G829" s="11" t="str">
        <f t="shared" si="116"/>
        <v>Litres</v>
      </c>
      <c r="H829" s="13">
        <v>466</v>
      </c>
      <c r="I829" s="11" t="s">
        <v>19</v>
      </c>
      <c r="J829" s="12">
        <v>106401</v>
      </c>
      <c r="K829" s="12" t="str">
        <f t="shared" si="121"/>
        <v>Very High</v>
      </c>
      <c r="L829" s="11" t="s">
        <v>20</v>
      </c>
      <c r="M829" s="14">
        <v>45742</v>
      </c>
      <c r="N829" s="14" t="str">
        <f t="shared" si="122"/>
        <v>26/03/2025</v>
      </c>
      <c r="O829" s="14" t="str">
        <f t="shared" si="123"/>
        <v>2025</v>
      </c>
      <c r="P829" s="11" t="s">
        <v>701</v>
      </c>
      <c r="Q829" s="11" t="s">
        <v>86</v>
      </c>
      <c r="R829" s="11">
        <v>7</v>
      </c>
      <c r="S829" s="11" t="str">
        <f t="shared" si="124"/>
        <v>5 - 8 yrs</v>
      </c>
      <c r="T829" s="12">
        <v>57.2</v>
      </c>
      <c r="U829" s="11" t="str">
        <f t="shared" si="117"/>
        <v>(51 - 100)</v>
      </c>
      <c r="V829" s="12">
        <f t="shared" si="118"/>
        <v>28.414634146341466</v>
      </c>
      <c r="W829" s="12">
        <f t="shared" si="119"/>
        <v>228.32832618025751</v>
      </c>
      <c r="X829" s="12">
        <f t="shared" si="120"/>
        <v>0.12274678111587983</v>
      </c>
    </row>
    <row r="830" spans="1:24">
      <c r="A830" s="11">
        <v>829</v>
      </c>
      <c r="B830" s="11" t="s">
        <v>2612</v>
      </c>
      <c r="C830" s="11" t="s">
        <v>16</v>
      </c>
      <c r="D830" s="11" t="s">
        <v>33</v>
      </c>
      <c r="E830" s="12">
        <v>10.3</v>
      </c>
      <c r="F830" s="11" t="s">
        <v>2643</v>
      </c>
      <c r="G830" s="11" t="str">
        <f t="shared" si="116"/>
        <v>Litres</v>
      </c>
      <c r="H830" s="13">
        <v>494</v>
      </c>
      <c r="I830" s="11" t="s">
        <v>19</v>
      </c>
      <c r="J830" s="12">
        <v>51650</v>
      </c>
      <c r="K830" s="12" t="str">
        <f t="shared" si="121"/>
        <v>Medium</v>
      </c>
      <c r="L830" s="11" t="s">
        <v>20</v>
      </c>
      <c r="M830" s="14">
        <v>45477</v>
      </c>
      <c r="N830" s="14" t="str">
        <f t="shared" si="122"/>
        <v>04/07/2024</v>
      </c>
      <c r="O830" s="14" t="str">
        <f t="shared" si="123"/>
        <v>2024</v>
      </c>
      <c r="P830" s="11" t="s">
        <v>786</v>
      </c>
      <c r="Q830" s="11" t="s">
        <v>54</v>
      </c>
      <c r="R830" s="11">
        <v>13</v>
      </c>
      <c r="S830" s="11" t="str">
        <f t="shared" si="124"/>
        <v>13 - 16 yrs</v>
      </c>
      <c r="T830" s="12">
        <v>29.2</v>
      </c>
      <c r="U830" s="11" t="str">
        <f t="shared" si="117"/>
        <v>(0 - 50)</v>
      </c>
      <c r="V830" s="12">
        <f t="shared" si="118"/>
        <v>47.961165048543684</v>
      </c>
      <c r="W830" s="12">
        <f t="shared" si="119"/>
        <v>104.55465587044534</v>
      </c>
      <c r="X830" s="12">
        <f t="shared" si="120"/>
        <v>5.9109311740890687E-2</v>
      </c>
    </row>
    <row r="831" spans="1:24">
      <c r="A831" s="11">
        <v>830</v>
      </c>
      <c r="B831" s="11" t="s">
        <v>2613</v>
      </c>
      <c r="C831" s="11" t="s">
        <v>39</v>
      </c>
      <c r="D831" s="11" t="s">
        <v>17</v>
      </c>
      <c r="E831" s="12">
        <v>52.6</v>
      </c>
      <c r="F831" s="11" t="s">
        <v>26</v>
      </c>
      <c r="G831" s="11" t="str">
        <f t="shared" si="116"/>
        <v>Litres</v>
      </c>
      <c r="H831" s="13">
        <v>605</v>
      </c>
      <c r="I831" s="11" t="s">
        <v>19</v>
      </c>
      <c r="J831" s="12">
        <v>66110</v>
      </c>
      <c r="K831" s="12" t="str">
        <f t="shared" si="121"/>
        <v>Moderate</v>
      </c>
      <c r="L831" s="11" t="s">
        <v>20</v>
      </c>
      <c r="M831" s="14">
        <v>45772</v>
      </c>
      <c r="N831" s="14" t="str">
        <f t="shared" si="122"/>
        <v>25/04/2025</v>
      </c>
      <c r="O831" s="14" t="str">
        <f t="shared" si="123"/>
        <v>2025</v>
      </c>
      <c r="P831" s="11" t="s">
        <v>1249</v>
      </c>
      <c r="Q831" s="11" t="s">
        <v>59</v>
      </c>
      <c r="R831" s="11">
        <v>1</v>
      </c>
      <c r="S831" s="11" t="str">
        <f t="shared" si="124"/>
        <v>0 - 4 yrs</v>
      </c>
      <c r="T831" s="12">
        <v>180.6</v>
      </c>
      <c r="U831" s="11" t="str">
        <f t="shared" si="117"/>
        <v>(151 - 200)</v>
      </c>
      <c r="V831" s="12">
        <f t="shared" si="118"/>
        <v>11.50190114068441</v>
      </c>
      <c r="W831" s="12">
        <f t="shared" si="119"/>
        <v>109.27272727272727</v>
      </c>
      <c r="X831" s="12">
        <f t="shared" si="120"/>
        <v>0.29851239669421487</v>
      </c>
    </row>
    <row r="832" spans="1:24">
      <c r="A832" s="11">
        <v>831</v>
      </c>
      <c r="B832" s="11" t="s">
        <v>2100</v>
      </c>
      <c r="C832" s="11" t="s">
        <v>50</v>
      </c>
      <c r="D832" s="11" t="s">
        <v>33</v>
      </c>
      <c r="E832" s="12">
        <v>66.400000000000006</v>
      </c>
      <c r="F832" s="11" t="s">
        <v>56</v>
      </c>
      <c r="G832" s="11" t="str">
        <f t="shared" si="116"/>
        <v>Litres</v>
      </c>
      <c r="H832" s="13">
        <v>647</v>
      </c>
      <c r="I832" s="11" t="s">
        <v>19</v>
      </c>
      <c r="J832" s="12">
        <v>58951</v>
      </c>
      <c r="K832" s="12" t="str">
        <f t="shared" si="121"/>
        <v>Moderate</v>
      </c>
      <c r="L832" s="11" t="s">
        <v>20</v>
      </c>
      <c r="M832" s="14">
        <v>45473</v>
      </c>
      <c r="N832" s="14" t="str">
        <f t="shared" si="122"/>
        <v>30/06/2024</v>
      </c>
      <c r="O832" s="14" t="str">
        <f t="shared" si="123"/>
        <v>2024</v>
      </c>
      <c r="P832" s="11" t="s">
        <v>36</v>
      </c>
      <c r="Q832" s="11" t="s">
        <v>112</v>
      </c>
      <c r="R832" s="11">
        <v>5</v>
      </c>
      <c r="S832" s="11" t="str">
        <f t="shared" si="124"/>
        <v>5 - 8 yrs</v>
      </c>
      <c r="T832" s="12">
        <v>221.1</v>
      </c>
      <c r="U832" s="11" t="str">
        <f t="shared" si="117"/>
        <v>(201 - 250)</v>
      </c>
      <c r="V832" s="12">
        <f t="shared" si="118"/>
        <v>9.7439759036144569</v>
      </c>
      <c r="W832" s="12">
        <f t="shared" si="119"/>
        <v>91.114374034003092</v>
      </c>
      <c r="X832" s="12">
        <f t="shared" si="120"/>
        <v>0.34173106646058732</v>
      </c>
    </row>
    <row r="833" spans="1:24">
      <c r="A833" s="11">
        <v>832</v>
      </c>
      <c r="B833" s="11" t="s">
        <v>2102</v>
      </c>
      <c r="C833" s="11" t="s">
        <v>39</v>
      </c>
      <c r="D833" s="11" t="s">
        <v>33</v>
      </c>
      <c r="E833" s="12">
        <v>82.5</v>
      </c>
      <c r="F833" s="11" t="s">
        <v>62</v>
      </c>
      <c r="G833" s="11" t="str">
        <f t="shared" si="116"/>
        <v>kWh</v>
      </c>
      <c r="H833" s="13">
        <v>640</v>
      </c>
      <c r="I833" s="11" t="s">
        <v>19</v>
      </c>
      <c r="J833" s="12">
        <v>100069</v>
      </c>
      <c r="K833" s="12" t="str">
        <f t="shared" si="121"/>
        <v>Very High</v>
      </c>
      <c r="L833" s="11" t="s">
        <v>20</v>
      </c>
      <c r="M833" s="14">
        <v>45554</v>
      </c>
      <c r="N833" s="14" t="str">
        <f t="shared" si="122"/>
        <v>19/09/2024</v>
      </c>
      <c r="O833" s="14" t="str">
        <f t="shared" si="123"/>
        <v>2024</v>
      </c>
      <c r="P833" s="11" t="s">
        <v>2103</v>
      </c>
      <c r="Q833" s="11" t="s">
        <v>59</v>
      </c>
      <c r="R833" s="11">
        <v>19</v>
      </c>
      <c r="S833" s="11" t="str">
        <f t="shared" si="124"/>
        <v>17 + yrs</v>
      </c>
      <c r="T833" s="12">
        <v>285.10000000000002</v>
      </c>
      <c r="U833" s="11" t="str">
        <f t="shared" si="117"/>
        <v>(251 - 300)</v>
      </c>
      <c r="V833" s="12">
        <f t="shared" si="118"/>
        <v>7.7575757575757578</v>
      </c>
      <c r="W833" s="12">
        <f t="shared" si="119"/>
        <v>156.35781249999999</v>
      </c>
      <c r="X833" s="12">
        <f t="shared" si="120"/>
        <v>0.44546875000000002</v>
      </c>
    </row>
    <row r="834" spans="1:24">
      <c r="A834" s="11">
        <v>833</v>
      </c>
      <c r="B834" s="11" t="s">
        <v>2614</v>
      </c>
      <c r="C834" s="11" t="s">
        <v>16</v>
      </c>
      <c r="D834" s="11" t="s">
        <v>17</v>
      </c>
      <c r="E834" s="12">
        <v>52.2</v>
      </c>
      <c r="F834" s="11" t="s">
        <v>56</v>
      </c>
      <c r="G834" s="11" t="str">
        <f t="shared" ref="G834:G897" si="125">IF(OR(F834="L",F834="ltrs",F834="liters"),"Litres",F834)</f>
        <v>Litres</v>
      </c>
      <c r="H834" s="13">
        <v>60</v>
      </c>
      <c r="I834" s="11" t="s">
        <v>19</v>
      </c>
      <c r="J834" s="12">
        <v>68041</v>
      </c>
      <c r="K834" s="12" t="str">
        <f t="shared" si="121"/>
        <v>Moderate</v>
      </c>
      <c r="L834" s="11" t="s">
        <v>20</v>
      </c>
      <c r="M834" s="14">
        <v>45202</v>
      </c>
      <c r="N834" s="14" t="str">
        <f t="shared" si="122"/>
        <v>03/10/2023</v>
      </c>
      <c r="O834" s="14" t="str">
        <f t="shared" si="123"/>
        <v>2023</v>
      </c>
      <c r="P834" s="11" t="s">
        <v>683</v>
      </c>
      <c r="Q834" s="11" t="s">
        <v>59</v>
      </c>
      <c r="R834" s="11">
        <v>6</v>
      </c>
      <c r="S834" s="11" t="str">
        <f t="shared" si="124"/>
        <v>5 - 8 yrs</v>
      </c>
      <c r="T834" s="12">
        <v>179.9</v>
      </c>
      <c r="U834" s="11" t="str">
        <f t="shared" si="117"/>
        <v>(151 - 200)</v>
      </c>
      <c r="V834" s="12">
        <f t="shared" si="118"/>
        <v>1.1494252873563218</v>
      </c>
      <c r="W834" s="12">
        <f t="shared" si="119"/>
        <v>1134.0166666666667</v>
      </c>
      <c r="X834" s="12">
        <f t="shared" si="120"/>
        <v>2.9983333333333335</v>
      </c>
    </row>
    <row r="835" spans="1:24">
      <c r="A835" s="11">
        <v>834</v>
      </c>
      <c r="B835" s="11" t="s">
        <v>2105</v>
      </c>
      <c r="C835" s="11" t="s">
        <v>50</v>
      </c>
      <c r="D835" s="11" t="s">
        <v>17</v>
      </c>
      <c r="E835" s="12">
        <v>33.299999999999997</v>
      </c>
      <c r="F835" s="11" t="s">
        <v>26</v>
      </c>
      <c r="G835" s="11" t="str">
        <f t="shared" si="125"/>
        <v>Litres</v>
      </c>
      <c r="H835" s="13">
        <v>424</v>
      </c>
      <c r="I835" s="11" t="s">
        <v>19</v>
      </c>
      <c r="J835" s="12">
        <v>119090</v>
      </c>
      <c r="K835" s="12" t="str">
        <f t="shared" si="121"/>
        <v>Extreme</v>
      </c>
      <c r="L835" s="11" t="s">
        <v>20</v>
      </c>
      <c r="M835" s="14">
        <v>45256</v>
      </c>
      <c r="N835" s="14" t="str">
        <f t="shared" si="122"/>
        <v>26/11/2023</v>
      </c>
      <c r="O835" s="14" t="str">
        <f t="shared" si="123"/>
        <v>2023</v>
      </c>
      <c r="P835" s="11" t="s">
        <v>1475</v>
      </c>
      <c r="Q835" s="11" t="s">
        <v>117</v>
      </c>
      <c r="R835" s="11">
        <v>4</v>
      </c>
      <c r="S835" s="11" t="str">
        <f t="shared" si="124"/>
        <v>0 - 4 yrs</v>
      </c>
      <c r="T835" s="12">
        <v>92.1</v>
      </c>
      <c r="U835" s="11" t="str">
        <f t="shared" si="117"/>
        <v>(51 - 100)</v>
      </c>
      <c r="V835" s="12">
        <f t="shared" si="118"/>
        <v>12.732732732732734</v>
      </c>
      <c r="W835" s="12">
        <f t="shared" si="119"/>
        <v>280.87264150943395</v>
      </c>
      <c r="X835" s="12">
        <f t="shared" si="120"/>
        <v>0.21721698113207547</v>
      </c>
    </row>
    <row r="836" spans="1:24">
      <c r="A836" s="11">
        <v>835</v>
      </c>
      <c r="B836" s="11" t="s">
        <v>448</v>
      </c>
      <c r="C836" s="11" t="s">
        <v>16</v>
      </c>
      <c r="D836" s="11" t="s">
        <v>33</v>
      </c>
      <c r="E836" s="12">
        <v>72.5</v>
      </c>
      <c r="F836" s="11" t="s">
        <v>2643</v>
      </c>
      <c r="G836" s="11" t="str">
        <f t="shared" si="125"/>
        <v>Litres</v>
      </c>
      <c r="H836" s="13">
        <v>507</v>
      </c>
      <c r="I836" s="11" t="s">
        <v>19</v>
      </c>
      <c r="J836" s="12">
        <v>84149</v>
      </c>
      <c r="K836" s="12" t="str">
        <f t="shared" si="121"/>
        <v>High</v>
      </c>
      <c r="L836" s="11" t="s">
        <v>20</v>
      </c>
      <c r="M836" s="14">
        <v>44996</v>
      </c>
      <c r="N836" s="14" t="str">
        <f t="shared" si="122"/>
        <v>11/03/2023</v>
      </c>
      <c r="O836" s="14" t="str">
        <f t="shared" si="123"/>
        <v>2023</v>
      </c>
      <c r="P836" s="11" t="s">
        <v>2108</v>
      </c>
      <c r="Q836" s="11" t="s">
        <v>2648</v>
      </c>
      <c r="R836" s="11">
        <v>14</v>
      </c>
      <c r="S836" s="11" t="str">
        <f t="shared" si="124"/>
        <v>13 - 16 yrs</v>
      </c>
      <c r="T836" s="12">
        <v>221</v>
      </c>
      <c r="U836" s="11" t="str">
        <f t="shared" si="117"/>
        <v>(201 - 250)</v>
      </c>
      <c r="V836" s="12">
        <f t="shared" si="118"/>
        <v>6.9931034482758623</v>
      </c>
      <c r="W836" s="12">
        <f t="shared" si="119"/>
        <v>165.97435897435898</v>
      </c>
      <c r="X836" s="12">
        <f t="shared" si="120"/>
        <v>0.4358974358974359</v>
      </c>
    </row>
    <row r="837" spans="1:24">
      <c r="A837" s="11">
        <v>836</v>
      </c>
      <c r="B837" s="11" t="s">
        <v>2615</v>
      </c>
      <c r="C837" s="11" t="s">
        <v>16</v>
      </c>
      <c r="D837" s="11" t="s">
        <v>33</v>
      </c>
      <c r="E837" s="12">
        <v>82.3</v>
      </c>
      <c r="F837" s="11" t="s">
        <v>2643</v>
      </c>
      <c r="G837" s="11" t="str">
        <f t="shared" si="125"/>
        <v>Litres</v>
      </c>
      <c r="H837" s="13">
        <v>310</v>
      </c>
      <c r="I837" s="11" t="s">
        <v>19</v>
      </c>
      <c r="J837" s="12">
        <v>49553</v>
      </c>
      <c r="K837" s="12" t="str">
        <f t="shared" si="121"/>
        <v>Medium</v>
      </c>
      <c r="L837" s="11" t="s">
        <v>20</v>
      </c>
      <c r="M837" s="14">
        <v>45641</v>
      </c>
      <c r="N837" s="14" t="str">
        <f t="shared" si="122"/>
        <v>15/12/2024</v>
      </c>
      <c r="O837" s="14" t="str">
        <f t="shared" si="123"/>
        <v>2024</v>
      </c>
      <c r="P837" s="11" t="s">
        <v>853</v>
      </c>
      <c r="Q837" s="11" t="s">
        <v>117</v>
      </c>
      <c r="R837" s="11">
        <v>16</v>
      </c>
      <c r="S837" s="11" t="str">
        <f t="shared" si="124"/>
        <v>13 - 16 yrs</v>
      </c>
      <c r="T837" s="12">
        <v>219.4</v>
      </c>
      <c r="U837" s="11" t="str">
        <f t="shared" si="117"/>
        <v>(201 - 250)</v>
      </c>
      <c r="V837" s="12">
        <f t="shared" si="118"/>
        <v>3.7667071688942895</v>
      </c>
      <c r="W837" s="12">
        <f t="shared" si="119"/>
        <v>159.84838709677419</v>
      </c>
      <c r="X837" s="12">
        <f t="shared" si="120"/>
        <v>0.70774193548387099</v>
      </c>
    </row>
    <row r="838" spans="1:24">
      <c r="A838" s="11">
        <v>837</v>
      </c>
      <c r="B838" s="11" t="s">
        <v>2517</v>
      </c>
      <c r="C838" s="11" t="s">
        <v>16</v>
      </c>
      <c r="D838" s="11" t="s">
        <v>17</v>
      </c>
      <c r="E838" s="12">
        <v>54.3</v>
      </c>
      <c r="F838" s="11" t="s">
        <v>62</v>
      </c>
      <c r="G838" s="11" t="str">
        <f t="shared" si="125"/>
        <v>kWh</v>
      </c>
      <c r="H838" s="13">
        <v>681</v>
      </c>
      <c r="I838" s="11" t="s">
        <v>19</v>
      </c>
      <c r="J838" s="12">
        <v>58060</v>
      </c>
      <c r="K838" s="12" t="str">
        <f t="shared" si="121"/>
        <v>Moderate</v>
      </c>
      <c r="L838" s="11" t="s">
        <v>20</v>
      </c>
      <c r="M838" s="14">
        <v>45478</v>
      </c>
      <c r="N838" s="14" t="str">
        <f t="shared" si="122"/>
        <v>05/07/2024</v>
      </c>
      <c r="O838" s="14" t="str">
        <f t="shared" si="123"/>
        <v>2024</v>
      </c>
      <c r="P838" s="11" t="s">
        <v>1406</v>
      </c>
      <c r="Q838" s="11" t="s">
        <v>59</v>
      </c>
      <c r="R838" s="11">
        <v>9</v>
      </c>
      <c r="S838" s="11" t="str">
        <f t="shared" si="124"/>
        <v>9 - 12 yrs</v>
      </c>
      <c r="T838" s="12">
        <v>171</v>
      </c>
      <c r="U838" s="11" t="str">
        <f t="shared" si="117"/>
        <v>(151 - 200)</v>
      </c>
      <c r="V838" s="12">
        <f t="shared" si="118"/>
        <v>12.541436464088399</v>
      </c>
      <c r="W838" s="12">
        <f t="shared" si="119"/>
        <v>85.256975036710713</v>
      </c>
      <c r="X838" s="12">
        <f t="shared" si="120"/>
        <v>0.25110132158590309</v>
      </c>
    </row>
    <row r="839" spans="1:24">
      <c r="A839" s="11">
        <v>838</v>
      </c>
      <c r="B839" s="11" t="s">
        <v>2111</v>
      </c>
      <c r="C839" s="11" t="s">
        <v>32</v>
      </c>
      <c r="D839" s="11" t="s">
        <v>17</v>
      </c>
      <c r="E839" s="12">
        <v>56.2</v>
      </c>
      <c r="F839" s="11" t="s">
        <v>41</v>
      </c>
      <c r="G839" s="11" t="str">
        <f t="shared" si="125"/>
        <v>Litres</v>
      </c>
      <c r="H839" s="13">
        <v>460</v>
      </c>
      <c r="I839" s="11" t="s">
        <v>19</v>
      </c>
      <c r="J839" s="12">
        <v>115227</v>
      </c>
      <c r="K839" s="12" t="str">
        <f t="shared" si="121"/>
        <v>Extreme</v>
      </c>
      <c r="L839" s="11" t="s">
        <v>20</v>
      </c>
      <c r="M839" s="14">
        <v>45102</v>
      </c>
      <c r="N839" s="14" t="str">
        <f t="shared" si="122"/>
        <v>25/06/2023</v>
      </c>
      <c r="O839" s="14" t="str">
        <f t="shared" si="123"/>
        <v>2023</v>
      </c>
      <c r="P839" s="11" t="s">
        <v>586</v>
      </c>
      <c r="Q839" s="11" t="s">
        <v>2648</v>
      </c>
      <c r="R839" s="11">
        <v>3</v>
      </c>
      <c r="S839" s="11" t="str">
        <f t="shared" si="124"/>
        <v>0 - 4 yrs</v>
      </c>
      <c r="T839" s="12">
        <v>125.3</v>
      </c>
      <c r="U839" s="11" t="str">
        <f t="shared" si="117"/>
        <v>(101 - 150)</v>
      </c>
      <c r="V839" s="12">
        <f t="shared" si="118"/>
        <v>8.185053380782918</v>
      </c>
      <c r="W839" s="12">
        <f t="shared" si="119"/>
        <v>250.49347826086955</v>
      </c>
      <c r="X839" s="12">
        <f t="shared" si="120"/>
        <v>0.2723913043478261</v>
      </c>
    </row>
    <row r="840" spans="1:24">
      <c r="A840" s="11">
        <v>839</v>
      </c>
      <c r="B840" s="11" t="s">
        <v>1935</v>
      </c>
      <c r="C840" s="11" t="s">
        <v>39</v>
      </c>
      <c r="D840" s="11" t="s">
        <v>114</v>
      </c>
      <c r="E840" s="12">
        <v>34.5</v>
      </c>
      <c r="F840" s="11" t="s">
        <v>56</v>
      </c>
      <c r="G840" s="11" t="str">
        <f t="shared" si="125"/>
        <v>Litres</v>
      </c>
      <c r="H840" s="13">
        <v>443</v>
      </c>
      <c r="I840" s="11" t="s">
        <v>19</v>
      </c>
      <c r="J840" s="12">
        <v>14153</v>
      </c>
      <c r="K840" s="12" t="str">
        <f t="shared" si="121"/>
        <v>Very Low</v>
      </c>
      <c r="L840" s="11" t="s">
        <v>20</v>
      </c>
      <c r="M840" s="14">
        <v>45791</v>
      </c>
      <c r="N840" s="14" t="str">
        <f t="shared" si="122"/>
        <v>14/05/2025</v>
      </c>
      <c r="O840" s="14" t="str">
        <f t="shared" si="123"/>
        <v>2025</v>
      </c>
      <c r="P840" s="11" t="s">
        <v>2112</v>
      </c>
      <c r="Q840" s="11" t="s">
        <v>117</v>
      </c>
      <c r="R840" s="11">
        <v>5</v>
      </c>
      <c r="S840" s="11" t="str">
        <f t="shared" si="124"/>
        <v>5 - 8 yrs</v>
      </c>
      <c r="T840" s="12">
        <v>109.5</v>
      </c>
      <c r="U840" s="11" t="str">
        <f t="shared" si="117"/>
        <v>(101 - 150)</v>
      </c>
      <c r="V840" s="12">
        <f t="shared" si="118"/>
        <v>12.840579710144928</v>
      </c>
      <c r="W840" s="12">
        <f t="shared" si="119"/>
        <v>31.948081264108353</v>
      </c>
      <c r="X840" s="12">
        <f t="shared" si="120"/>
        <v>0.24717832957110608</v>
      </c>
    </row>
    <row r="841" spans="1:24">
      <c r="A841" s="11">
        <v>840</v>
      </c>
      <c r="B841" s="11" t="s">
        <v>2113</v>
      </c>
      <c r="C841" s="11" t="s">
        <v>39</v>
      </c>
      <c r="D841" s="11" t="s">
        <v>33</v>
      </c>
      <c r="E841" s="12">
        <v>91.5</v>
      </c>
      <c r="F841" s="11" t="s">
        <v>56</v>
      </c>
      <c r="G841" s="11" t="str">
        <f t="shared" si="125"/>
        <v>Litres</v>
      </c>
      <c r="H841" s="13">
        <v>405</v>
      </c>
      <c r="I841" s="11" t="s">
        <v>19</v>
      </c>
      <c r="J841" s="12">
        <v>33138</v>
      </c>
      <c r="K841" s="12" t="str">
        <f t="shared" si="121"/>
        <v>Low</v>
      </c>
      <c r="L841" s="11" t="s">
        <v>20</v>
      </c>
      <c r="M841" s="14">
        <v>45144</v>
      </c>
      <c r="N841" s="14" t="str">
        <f t="shared" si="122"/>
        <v>06/08/2023</v>
      </c>
      <c r="O841" s="14" t="str">
        <f t="shared" si="123"/>
        <v>2023</v>
      </c>
      <c r="P841" s="11" t="s">
        <v>398</v>
      </c>
      <c r="Q841" s="11" t="s">
        <v>48</v>
      </c>
      <c r="R841" s="11">
        <v>8</v>
      </c>
      <c r="S841" s="11" t="str">
        <f t="shared" si="124"/>
        <v>5 - 8 yrs</v>
      </c>
      <c r="T841" s="12">
        <v>298.2</v>
      </c>
      <c r="U841" s="11" t="str">
        <f t="shared" si="117"/>
        <v>(251 - 300)</v>
      </c>
      <c r="V841" s="12">
        <f t="shared" si="118"/>
        <v>4.4262295081967213</v>
      </c>
      <c r="W841" s="12">
        <f t="shared" si="119"/>
        <v>81.822222222222223</v>
      </c>
      <c r="X841" s="12">
        <f t="shared" si="120"/>
        <v>0.73629629629629623</v>
      </c>
    </row>
    <row r="842" spans="1:24">
      <c r="A842" s="11">
        <v>841</v>
      </c>
      <c r="B842" s="11" t="s">
        <v>2115</v>
      </c>
      <c r="C842" s="11" t="s">
        <v>50</v>
      </c>
      <c r="D842" s="11" t="s">
        <v>33</v>
      </c>
      <c r="E842" s="12">
        <v>15.2</v>
      </c>
      <c r="F842" s="11" t="s">
        <v>26</v>
      </c>
      <c r="G842" s="11" t="str">
        <f t="shared" si="125"/>
        <v>Litres</v>
      </c>
      <c r="H842" s="13">
        <v>268</v>
      </c>
      <c r="I842" s="11" t="s">
        <v>19</v>
      </c>
      <c r="J842" s="12">
        <v>39970</v>
      </c>
      <c r="K842" s="12" t="str">
        <f t="shared" si="121"/>
        <v>Medium</v>
      </c>
      <c r="L842" s="11" t="s">
        <v>20</v>
      </c>
      <c r="M842" s="14">
        <v>45670</v>
      </c>
      <c r="N842" s="14" t="str">
        <f t="shared" si="122"/>
        <v>13/01/2025</v>
      </c>
      <c r="O842" s="14" t="str">
        <f t="shared" si="123"/>
        <v>2025</v>
      </c>
      <c r="P842" s="11" t="s">
        <v>464</v>
      </c>
      <c r="Q842" s="11" t="s">
        <v>112</v>
      </c>
      <c r="R842" s="11">
        <v>10</v>
      </c>
      <c r="S842" s="11" t="str">
        <f t="shared" si="124"/>
        <v>9 - 12 yrs</v>
      </c>
      <c r="T842" s="12">
        <v>47.4</v>
      </c>
      <c r="U842" s="11" t="str">
        <f t="shared" si="117"/>
        <v>(0 - 50)</v>
      </c>
      <c r="V842" s="12">
        <f t="shared" si="118"/>
        <v>17.631578947368421</v>
      </c>
      <c r="W842" s="12">
        <f t="shared" si="119"/>
        <v>149.14179104477611</v>
      </c>
      <c r="X842" s="12">
        <f t="shared" si="120"/>
        <v>0.17686567164179104</v>
      </c>
    </row>
    <row r="843" spans="1:24">
      <c r="A843" s="11">
        <v>842</v>
      </c>
      <c r="B843" s="11" t="s">
        <v>2117</v>
      </c>
      <c r="C843" s="11" t="s">
        <v>32</v>
      </c>
      <c r="D843" s="11" t="s">
        <v>33</v>
      </c>
      <c r="E843" s="12">
        <v>40</v>
      </c>
      <c r="F843" s="11" t="s">
        <v>56</v>
      </c>
      <c r="G843" s="11" t="str">
        <f t="shared" si="125"/>
        <v>Litres</v>
      </c>
      <c r="H843" s="13">
        <v>320</v>
      </c>
      <c r="I843" s="11" t="s">
        <v>19</v>
      </c>
      <c r="J843" s="12">
        <v>44826</v>
      </c>
      <c r="K843" s="12" t="str">
        <f t="shared" si="121"/>
        <v>Medium</v>
      </c>
      <c r="L843" s="11" t="s">
        <v>20</v>
      </c>
      <c r="M843" s="14">
        <v>45531</v>
      </c>
      <c r="N843" s="14" t="str">
        <f t="shared" si="122"/>
        <v>27/08/2024</v>
      </c>
      <c r="O843" s="14" t="str">
        <f t="shared" si="123"/>
        <v>2024</v>
      </c>
      <c r="P843" s="11" t="s">
        <v>672</v>
      </c>
      <c r="Q843" s="11" t="s">
        <v>2648</v>
      </c>
      <c r="R843" s="11">
        <v>10</v>
      </c>
      <c r="S843" s="11" t="str">
        <f t="shared" si="124"/>
        <v>9 - 12 yrs</v>
      </c>
      <c r="T843" s="12">
        <v>102.1</v>
      </c>
      <c r="U843" s="11" t="str">
        <f t="shared" si="117"/>
        <v>(101 - 150)</v>
      </c>
      <c r="V843" s="12">
        <f t="shared" si="118"/>
        <v>8</v>
      </c>
      <c r="W843" s="12">
        <f t="shared" si="119"/>
        <v>140.08125000000001</v>
      </c>
      <c r="X843" s="12">
        <f t="shared" si="120"/>
        <v>0.31906249999999997</v>
      </c>
    </row>
    <row r="844" spans="1:24">
      <c r="A844" s="11">
        <v>843</v>
      </c>
      <c r="B844" s="11" t="s">
        <v>2119</v>
      </c>
      <c r="C844" s="11" t="s">
        <v>16</v>
      </c>
      <c r="D844" s="11" t="s">
        <v>61</v>
      </c>
      <c r="E844" s="12">
        <v>10</v>
      </c>
      <c r="F844" s="11" t="s">
        <v>62</v>
      </c>
      <c r="G844" s="11" t="str">
        <f t="shared" si="125"/>
        <v>kWh</v>
      </c>
      <c r="H844" s="13">
        <v>621</v>
      </c>
      <c r="I844" s="11" t="s">
        <v>19</v>
      </c>
      <c r="J844" s="12">
        <v>118208</v>
      </c>
      <c r="K844" s="12" t="str">
        <f t="shared" si="121"/>
        <v>Extreme</v>
      </c>
      <c r="L844" s="11" t="s">
        <v>20</v>
      </c>
      <c r="M844" s="14">
        <v>45794</v>
      </c>
      <c r="N844" s="14" t="str">
        <f t="shared" si="122"/>
        <v>17/05/2025</v>
      </c>
      <c r="O844" s="14" t="str">
        <f t="shared" si="123"/>
        <v>2025</v>
      </c>
      <c r="P844" s="11" t="s">
        <v>419</v>
      </c>
      <c r="Q844" s="11" t="s">
        <v>112</v>
      </c>
      <c r="R844" s="11">
        <v>16</v>
      </c>
      <c r="S844" s="11" t="str">
        <f t="shared" si="124"/>
        <v>13 - 16 yrs</v>
      </c>
      <c r="T844" s="12">
        <v>0</v>
      </c>
      <c r="U844" s="11" t="str">
        <f t="shared" si="117"/>
        <v>(0 - 50)</v>
      </c>
      <c r="V844" s="12">
        <f t="shared" si="118"/>
        <v>62.1</v>
      </c>
      <c r="W844" s="12">
        <f t="shared" si="119"/>
        <v>190.35104669887278</v>
      </c>
      <c r="X844" s="12">
        <f t="shared" si="120"/>
        <v>0</v>
      </c>
    </row>
    <row r="845" spans="1:24">
      <c r="A845" s="11">
        <v>844</v>
      </c>
      <c r="B845" s="11" t="s">
        <v>2120</v>
      </c>
      <c r="C845" s="11" t="s">
        <v>39</v>
      </c>
      <c r="D845" s="11" t="s">
        <v>33</v>
      </c>
      <c r="E845" s="12">
        <v>94.4</v>
      </c>
      <c r="F845" s="11" t="s">
        <v>56</v>
      </c>
      <c r="G845" s="11" t="str">
        <f t="shared" si="125"/>
        <v>Litres</v>
      </c>
      <c r="H845" s="13">
        <v>539</v>
      </c>
      <c r="I845" s="11" t="s">
        <v>19</v>
      </c>
      <c r="J845" s="12">
        <v>114666</v>
      </c>
      <c r="K845" s="12" t="str">
        <f t="shared" si="121"/>
        <v>Extreme</v>
      </c>
      <c r="L845" s="11" t="s">
        <v>20</v>
      </c>
      <c r="M845" s="14">
        <v>45053</v>
      </c>
      <c r="N845" s="14" t="str">
        <f t="shared" si="122"/>
        <v>07/05/2023</v>
      </c>
      <c r="O845" s="14" t="str">
        <f t="shared" si="123"/>
        <v>2023</v>
      </c>
      <c r="P845" s="11" t="s">
        <v>1390</v>
      </c>
      <c r="Q845" s="11" t="s">
        <v>86</v>
      </c>
      <c r="R845" s="11">
        <v>16</v>
      </c>
      <c r="S845" s="11" t="str">
        <f t="shared" si="124"/>
        <v>13 - 16 yrs</v>
      </c>
      <c r="T845" s="12">
        <v>219.9</v>
      </c>
      <c r="U845" s="11" t="str">
        <f t="shared" si="117"/>
        <v>(201 - 250)</v>
      </c>
      <c r="V845" s="12">
        <f t="shared" si="118"/>
        <v>5.7097457627118642</v>
      </c>
      <c r="W845" s="12">
        <f t="shared" si="119"/>
        <v>212.73840445269016</v>
      </c>
      <c r="X845" s="12">
        <f t="shared" si="120"/>
        <v>0.40797773654916514</v>
      </c>
    </row>
    <row r="846" spans="1:24">
      <c r="A846" s="11">
        <v>845</v>
      </c>
      <c r="B846" s="11" t="s">
        <v>2122</v>
      </c>
      <c r="C846" s="11" t="s">
        <v>50</v>
      </c>
      <c r="D846" s="11" t="s">
        <v>17</v>
      </c>
      <c r="E846" s="12">
        <v>61.2</v>
      </c>
      <c r="F846" s="11" t="s">
        <v>62</v>
      </c>
      <c r="G846" s="11" t="str">
        <f t="shared" si="125"/>
        <v>kWh</v>
      </c>
      <c r="H846" s="13">
        <v>666</v>
      </c>
      <c r="I846" s="11" t="s">
        <v>19</v>
      </c>
      <c r="J846" s="12">
        <v>115544</v>
      </c>
      <c r="K846" s="12" t="str">
        <f t="shared" si="121"/>
        <v>Extreme</v>
      </c>
      <c r="L846" s="11" t="s">
        <v>20</v>
      </c>
      <c r="M846" s="14">
        <v>45093</v>
      </c>
      <c r="N846" s="14" t="str">
        <f t="shared" si="122"/>
        <v>16/06/2023</v>
      </c>
      <c r="O846" s="14" t="str">
        <f t="shared" si="123"/>
        <v>2023</v>
      </c>
      <c r="P846" s="11" t="s">
        <v>2124</v>
      </c>
      <c r="Q846" s="11" t="s">
        <v>69</v>
      </c>
      <c r="R846" s="11">
        <v>14</v>
      </c>
      <c r="S846" s="11" t="str">
        <f t="shared" si="124"/>
        <v>13 - 16 yrs</v>
      </c>
      <c r="T846" s="12">
        <v>214.2</v>
      </c>
      <c r="U846" s="11" t="str">
        <f t="shared" si="117"/>
        <v>(201 - 250)</v>
      </c>
      <c r="V846" s="12">
        <f t="shared" si="118"/>
        <v>10.882352941176469</v>
      </c>
      <c r="W846" s="12">
        <f t="shared" si="119"/>
        <v>173.4894894894895</v>
      </c>
      <c r="X846" s="12">
        <f t="shared" si="120"/>
        <v>0.32162162162162161</v>
      </c>
    </row>
    <row r="847" spans="1:24">
      <c r="A847" s="11">
        <v>846</v>
      </c>
      <c r="B847" s="11" t="s">
        <v>2125</v>
      </c>
      <c r="C847" s="11" t="s">
        <v>16</v>
      </c>
      <c r="D847" s="11" t="s">
        <v>114</v>
      </c>
      <c r="E847" s="12">
        <v>9.9</v>
      </c>
      <c r="F847" s="11" t="s">
        <v>41</v>
      </c>
      <c r="G847" s="11" t="str">
        <f t="shared" si="125"/>
        <v>Litres</v>
      </c>
      <c r="H847" s="13">
        <v>646</v>
      </c>
      <c r="I847" s="11" t="s">
        <v>19</v>
      </c>
      <c r="J847" s="12">
        <v>62152</v>
      </c>
      <c r="K847" s="12" t="str">
        <f t="shared" si="121"/>
        <v>Moderate</v>
      </c>
      <c r="L847" s="11" t="s">
        <v>20</v>
      </c>
      <c r="M847" s="14">
        <v>45441</v>
      </c>
      <c r="N847" s="14" t="str">
        <f t="shared" si="122"/>
        <v>29/05/2024</v>
      </c>
      <c r="O847" s="14" t="str">
        <f t="shared" si="123"/>
        <v>2024</v>
      </c>
      <c r="P847" s="11" t="s">
        <v>1345</v>
      </c>
      <c r="Q847" s="11" t="s">
        <v>121</v>
      </c>
      <c r="R847" s="11">
        <v>2</v>
      </c>
      <c r="S847" s="11" t="str">
        <f t="shared" si="124"/>
        <v>0 - 4 yrs</v>
      </c>
      <c r="T847" s="12">
        <v>30.8</v>
      </c>
      <c r="U847" s="11" t="str">
        <f t="shared" si="117"/>
        <v>(0 - 50)</v>
      </c>
      <c r="V847" s="12">
        <f t="shared" si="118"/>
        <v>65.252525252525245</v>
      </c>
      <c r="W847" s="12">
        <f t="shared" si="119"/>
        <v>96.21052631578948</v>
      </c>
      <c r="X847" s="12">
        <f t="shared" si="120"/>
        <v>4.7678018575851397E-2</v>
      </c>
    </row>
    <row r="848" spans="1:24">
      <c r="A848" s="11">
        <v>847</v>
      </c>
      <c r="B848" s="11" t="s">
        <v>2127</v>
      </c>
      <c r="C848" s="11" t="s">
        <v>39</v>
      </c>
      <c r="D848" s="11" t="s">
        <v>17</v>
      </c>
      <c r="E848" s="12">
        <v>7.6</v>
      </c>
      <c r="F848" s="11" t="s">
        <v>26</v>
      </c>
      <c r="G848" s="11" t="str">
        <f t="shared" si="125"/>
        <v>Litres</v>
      </c>
      <c r="H848" s="13">
        <v>248</v>
      </c>
      <c r="I848" s="11" t="s">
        <v>19</v>
      </c>
      <c r="J848" s="12">
        <v>66633</v>
      </c>
      <c r="K848" s="12" t="str">
        <f t="shared" si="121"/>
        <v>Moderate</v>
      </c>
      <c r="L848" s="11" t="s">
        <v>20</v>
      </c>
      <c r="M848" s="14">
        <v>45386</v>
      </c>
      <c r="N848" s="14" t="str">
        <f t="shared" si="122"/>
        <v>04/04/2024</v>
      </c>
      <c r="O848" s="14" t="str">
        <f t="shared" si="123"/>
        <v>2024</v>
      </c>
      <c r="P848" s="11" t="s">
        <v>2129</v>
      </c>
      <c r="Q848" s="11" t="s">
        <v>54</v>
      </c>
      <c r="R848" s="11">
        <v>20</v>
      </c>
      <c r="S848" s="11" t="str">
        <f t="shared" si="124"/>
        <v>17 + yrs</v>
      </c>
      <c r="T848" s="12">
        <v>21.2</v>
      </c>
      <c r="U848" s="11" t="str">
        <f t="shared" si="117"/>
        <v>(0 - 50)</v>
      </c>
      <c r="V848" s="12">
        <f t="shared" si="118"/>
        <v>32.631578947368425</v>
      </c>
      <c r="W848" s="12">
        <f t="shared" si="119"/>
        <v>268.68145161290323</v>
      </c>
      <c r="X848" s="12">
        <f t="shared" si="120"/>
        <v>8.5483870967741932E-2</v>
      </c>
    </row>
    <row r="849" spans="1:24">
      <c r="A849" s="11">
        <v>848</v>
      </c>
      <c r="B849" s="11" t="s">
        <v>349</v>
      </c>
      <c r="C849" s="11" t="s">
        <v>39</v>
      </c>
      <c r="D849" s="11" t="s">
        <v>33</v>
      </c>
      <c r="E849" s="12">
        <v>6.6</v>
      </c>
      <c r="F849" s="11" t="s">
        <v>41</v>
      </c>
      <c r="G849" s="11" t="str">
        <f t="shared" si="125"/>
        <v>Litres</v>
      </c>
      <c r="H849" s="13">
        <v>437</v>
      </c>
      <c r="I849" s="11" t="s">
        <v>19</v>
      </c>
      <c r="J849" s="12">
        <v>20901</v>
      </c>
      <c r="K849" s="12" t="str">
        <f t="shared" si="121"/>
        <v>Low</v>
      </c>
      <c r="L849" s="11" t="s">
        <v>20</v>
      </c>
      <c r="M849" s="14">
        <v>45429</v>
      </c>
      <c r="N849" s="14" t="str">
        <f t="shared" si="122"/>
        <v>17/05/2024</v>
      </c>
      <c r="O849" s="14" t="str">
        <f t="shared" si="123"/>
        <v>2024</v>
      </c>
      <c r="P849" s="11" t="s">
        <v>2131</v>
      </c>
      <c r="Q849" s="11" t="s">
        <v>2648</v>
      </c>
      <c r="R849" s="11">
        <v>11</v>
      </c>
      <c r="S849" s="11" t="str">
        <f t="shared" si="124"/>
        <v>9 - 12 yrs</v>
      </c>
      <c r="T849" s="12">
        <v>22.7</v>
      </c>
      <c r="U849" s="11" t="str">
        <f t="shared" si="117"/>
        <v>(0 - 50)</v>
      </c>
      <c r="V849" s="12">
        <f t="shared" si="118"/>
        <v>66.212121212121218</v>
      </c>
      <c r="W849" s="12">
        <f t="shared" si="119"/>
        <v>47.828375286041187</v>
      </c>
      <c r="X849" s="12">
        <f t="shared" si="120"/>
        <v>5.1945080091533181E-2</v>
      </c>
    </row>
    <row r="850" spans="1:24">
      <c r="A850" s="11">
        <v>849</v>
      </c>
      <c r="B850" s="11" t="s">
        <v>2132</v>
      </c>
      <c r="C850" s="11" t="s">
        <v>50</v>
      </c>
      <c r="D850" s="11" t="s">
        <v>17</v>
      </c>
      <c r="E850" s="12">
        <v>94.5</v>
      </c>
      <c r="F850" s="11" t="s">
        <v>56</v>
      </c>
      <c r="G850" s="11" t="str">
        <f t="shared" si="125"/>
        <v>Litres</v>
      </c>
      <c r="H850" s="13">
        <v>570</v>
      </c>
      <c r="I850" s="11" t="s">
        <v>19</v>
      </c>
      <c r="J850" s="12">
        <v>67763</v>
      </c>
      <c r="K850" s="12" t="str">
        <f t="shared" si="121"/>
        <v>Moderate</v>
      </c>
      <c r="L850" s="11" t="s">
        <v>20</v>
      </c>
      <c r="M850" s="14">
        <v>45099</v>
      </c>
      <c r="N850" s="14" t="str">
        <f t="shared" si="122"/>
        <v>22/06/2023</v>
      </c>
      <c r="O850" s="14" t="str">
        <f t="shared" si="123"/>
        <v>2023</v>
      </c>
      <c r="P850" s="11" t="s">
        <v>2131</v>
      </c>
      <c r="Q850" s="11" t="s">
        <v>48</v>
      </c>
      <c r="R850" s="11">
        <v>2</v>
      </c>
      <c r="S850" s="11" t="str">
        <f t="shared" si="124"/>
        <v>0 - 4 yrs</v>
      </c>
      <c r="T850" s="12">
        <v>204.3</v>
      </c>
      <c r="U850" s="11" t="str">
        <f t="shared" si="117"/>
        <v>(201 - 250)</v>
      </c>
      <c r="V850" s="12">
        <f t="shared" si="118"/>
        <v>6.0317460317460316</v>
      </c>
      <c r="W850" s="12">
        <f t="shared" si="119"/>
        <v>118.88245614035088</v>
      </c>
      <c r="X850" s="12">
        <f t="shared" si="120"/>
        <v>0.35842105263157897</v>
      </c>
    </row>
    <row r="851" spans="1:24">
      <c r="A851" s="11">
        <v>850</v>
      </c>
      <c r="B851" s="11" t="s">
        <v>2616</v>
      </c>
      <c r="C851" s="11" t="s">
        <v>50</v>
      </c>
      <c r="D851" s="11" t="s">
        <v>17</v>
      </c>
      <c r="E851" s="12">
        <v>18.2</v>
      </c>
      <c r="F851" s="11" t="s">
        <v>26</v>
      </c>
      <c r="G851" s="11" t="str">
        <f t="shared" si="125"/>
        <v>Litres</v>
      </c>
      <c r="H851" s="13">
        <v>226</v>
      </c>
      <c r="I851" s="11" t="s">
        <v>19</v>
      </c>
      <c r="J851" s="12">
        <v>27322</v>
      </c>
      <c r="K851" s="12" t="str">
        <f t="shared" si="121"/>
        <v>Low</v>
      </c>
      <c r="L851" s="11" t="s">
        <v>20</v>
      </c>
      <c r="M851" s="14">
        <v>45738</v>
      </c>
      <c r="N851" s="14" t="str">
        <f t="shared" si="122"/>
        <v>22/03/2025</v>
      </c>
      <c r="O851" s="14" t="str">
        <f t="shared" si="123"/>
        <v>2025</v>
      </c>
      <c r="P851" s="11" t="s">
        <v>1376</v>
      </c>
      <c r="Q851" s="11" t="s">
        <v>48</v>
      </c>
      <c r="R851" s="11">
        <v>20</v>
      </c>
      <c r="S851" s="11" t="str">
        <f t="shared" si="124"/>
        <v>17 + yrs</v>
      </c>
      <c r="T851" s="12">
        <v>54</v>
      </c>
      <c r="U851" s="11" t="str">
        <f t="shared" si="117"/>
        <v>(51 - 100)</v>
      </c>
      <c r="V851" s="12">
        <f t="shared" si="118"/>
        <v>12.417582417582418</v>
      </c>
      <c r="W851" s="12">
        <f t="shared" si="119"/>
        <v>120.89380530973452</v>
      </c>
      <c r="X851" s="12">
        <f t="shared" si="120"/>
        <v>0.23893805309734514</v>
      </c>
    </row>
    <row r="852" spans="1:24">
      <c r="A852" s="11">
        <v>851</v>
      </c>
      <c r="B852" s="11" t="s">
        <v>628</v>
      </c>
      <c r="C852" s="11" t="s">
        <v>39</v>
      </c>
      <c r="D852" s="11" t="s">
        <v>114</v>
      </c>
      <c r="E852" s="12">
        <v>84.2</v>
      </c>
      <c r="F852" s="11" t="s">
        <v>62</v>
      </c>
      <c r="G852" s="11" t="str">
        <f t="shared" si="125"/>
        <v>kWh</v>
      </c>
      <c r="H852" s="13">
        <v>557</v>
      </c>
      <c r="I852" s="11" t="s">
        <v>19</v>
      </c>
      <c r="J852" s="12">
        <v>16784</v>
      </c>
      <c r="K852" s="12" t="str">
        <f t="shared" si="121"/>
        <v>Very Low</v>
      </c>
      <c r="L852" s="11" t="s">
        <v>20</v>
      </c>
      <c r="M852" s="14">
        <v>45130</v>
      </c>
      <c r="N852" s="14" t="str">
        <f t="shared" si="122"/>
        <v>23/07/2023</v>
      </c>
      <c r="O852" s="14" t="str">
        <f t="shared" si="123"/>
        <v>2023</v>
      </c>
      <c r="P852" s="11" t="s">
        <v>2136</v>
      </c>
      <c r="Q852" s="11" t="s">
        <v>2648</v>
      </c>
      <c r="R852" s="11">
        <v>14</v>
      </c>
      <c r="S852" s="11" t="str">
        <f t="shared" si="124"/>
        <v>13 - 16 yrs</v>
      </c>
      <c r="T852" s="12">
        <v>294</v>
      </c>
      <c r="U852" s="11" t="str">
        <f t="shared" si="117"/>
        <v>(251 - 300)</v>
      </c>
      <c r="V852" s="12">
        <f t="shared" si="118"/>
        <v>6.6152019002375297</v>
      </c>
      <c r="W852" s="12">
        <f t="shared" si="119"/>
        <v>30.132854578096946</v>
      </c>
      <c r="X852" s="12">
        <f t="shared" si="120"/>
        <v>0.52782764811490124</v>
      </c>
    </row>
    <row r="853" spans="1:24">
      <c r="A853" s="11">
        <v>852</v>
      </c>
      <c r="B853" s="11" t="s">
        <v>2137</v>
      </c>
      <c r="C853" s="11" t="s">
        <v>32</v>
      </c>
      <c r="D853" s="11" t="s">
        <v>114</v>
      </c>
      <c r="E853" s="12">
        <v>18.600000000000001</v>
      </c>
      <c r="F853" s="11" t="s">
        <v>26</v>
      </c>
      <c r="G853" s="11" t="str">
        <f t="shared" si="125"/>
        <v>Litres</v>
      </c>
      <c r="H853" s="13">
        <v>629</v>
      </c>
      <c r="I853" s="11" t="s">
        <v>19</v>
      </c>
      <c r="J853" s="12">
        <v>35447</v>
      </c>
      <c r="K853" s="12" t="str">
        <f t="shared" si="121"/>
        <v>Low</v>
      </c>
      <c r="L853" s="11" t="s">
        <v>20</v>
      </c>
      <c r="M853" s="14">
        <v>45419</v>
      </c>
      <c r="N853" s="14" t="str">
        <f t="shared" si="122"/>
        <v>07/05/2024</v>
      </c>
      <c r="O853" s="14" t="str">
        <f t="shared" si="123"/>
        <v>2024</v>
      </c>
      <c r="P853" s="11" t="s">
        <v>1178</v>
      </c>
      <c r="Q853" s="11" t="s">
        <v>112</v>
      </c>
      <c r="R853" s="11">
        <v>19</v>
      </c>
      <c r="S853" s="11" t="str">
        <f t="shared" si="124"/>
        <v>17 + yrs</v>
      </c>
      <c r="T853" s="12">
        <v>59.4</v>
      </c>
      <c r="U853" s="11" t="str">
        <f t="shared" si="117"/>
        <v>(51 - 100)</v>
      </c>
      <c r="V853" s="12">
        <f t="shared" si="118"/>
        <v>33.817204301075265</v>
      </c>
      <c r="W853" s="12">
        <f t="shared" si="119"/>
        <v>56.354531001589827</v>
      </c>
      <c r="X853" s="12">
        <f t="shared" si="120"/>
        <v>9.44356120826709E-2</v>
      </c>
    </row>
    <row r="854" spans="1:24">
      <c r="A854" s="11">
        <v>853</v>
      </c>
      <c r="B854" s="11" t="s">
        <v>2617</v>
      </c>
      <c r="C854" s="11" t="s">
        <v>50</v>
      </c>
      <c r="D854" s="11" t="s">
        <v>33</v>
      </c>
      <c r="E854" s="12">
        <v>54.8</v>
      </c>
      <c r="F854" s="11" t="s">
        <v>62</v>
      </c>
      <c r="G854" s="11" t="str">
        <f t="shared" si="125"/>
        <v>kWh</v>
      </c>
      <c r="H854" s="13">
        <v>234</v>
      </c>
      <c r="I854" s="11" t="s">
        <v>19</v>
      </c>
      <c r="J854" s="12">
        <v>14381</v>
      </c>
      <c r="K854" s="12" t="str">
        <f t="shared" si="121"/>
        <v>Very Low</v>
      </c>
      <c r="L854" s="11" t="s">
        <v>20</v>
      </c>
      <c r="M854" s="14">
        <v>45798</v>
      </c>
      <c r="N854" s="14" t="str">
        <f t="shared" si="122"/>
        <v>21/05/2025</v>
      </c>
      <c r="O854" s="14" t="str">
        <f t="shared" si="123"/>
        <v>2025</v>
      </c>
      <c r="P854" s="11" t="s">
        <v>1729</v>
      </c>
      <c r="Q854" s="11" t="s">
        <v>54</v>
      </c>
      <c r="R854" s="11">
        <v>17</v>
      </c>
      <c r="S854" s="11" t="str">
        <f t="shared" si="124"/>
        <v>17 + yrs</v>
      </c>
      <c r="T854" s="12">
        <v>150.80000000000001</v>
      </c>
      <c r="U854" s="11" t="str">
        <f t="shared" si="117"/>
        <v>(151 - 200)</v>
      </c>
      <c r="V854" s="12">
        <f t="shared" si="118"/>
        <v>4.2700729927007304</v>
      </c>
      <c r="W854" s="12">
        <f t="shared" si="119"/>
        <v>61.457264957264954</v>
      </c>
      <c r="X854" s="12">
        <f t="shared" si="120"/>
        <v>0.64444444444444449</v>
      </c>
    </row>
    <row r="855" spans="1:24">
      <c r="A855" s="11">
        <v>854</v>
      </c>
      <c r="B855" s="11" t="s">
        <v>2141</v>
      </c>
      <c r="C855" s="11" t="s">
        <v>50</v>
      </c>
      <c r="D855" s="11" t="s">
        <v>33</v>
      </c>
      <c r="E855" s="12">
        <v>75.900000000000006</v>
      </c>
      <c r="F855" s="11" t="s">
        <v>56</v>
      </c>
      <c r="G855" s="11" t="str">
        <f t="shared" si="125"/>
        <v>Litres</v>
      </c>
      <c r="H855" s="13">
        <v>676</v>
      </c>
      <c r="I855" s="11" t="s">
        <v>19</v>
      </c>
      <c r="J855" s="12">
        <v>92517</v>
      </c>
      <c r="K855" s="12" t="str">
        <f t="shared" si="121"/>
        <v>Very High</v>
      </c>
      <c r="L855" s="11" t="s">
        <v>20</v>
      </c>
      <c r="M855" s="14">
        <v>45690</v>
      </c>
      <c r="N855" s="14" t="str">
        <f t="shared" si="122"/>
        <v>02/02/2025</v>
      </c>
      <c r="O855" s="14" t="str">
        <f t="shared" si="123"/>
        <v>2025</v>
      </c>
      <c r="P855" s="11" t="s">
        <v>1022</v>
      </c>
      <c r="Q855" s="11" t="s">
        <v>2648</v>
      </c>
      <c r="R855" s="11">
        <v>12</v>
      </c>
      <c r="S855" s="11" t="str">
        <f t="shared" si="124"/>
        <v>9 - 12 yrs</v>
      </c>
      <c r="T855" s="12">
        <v>168.6</v>
      </c>
      <c r="U855" s="11" t="str">
        <f t="shared" si="117"/>
        <v>(151 - 200)</v>
      </c>
      <c r="V855" s="12">
        <f t="shared" si="118"/>
        <v>8.9064558629776016</v>
      </c>
      <c r="W855" s="12">
        <f t="shared" si="119"/>
        <v>136.85946745562131</v>
      </c>
      <c r="X855" s="12">
        <f t="shared" si="120"/>
        <v>0.24940828402366863</v>
      </c>
    </row>
    <row r="856" spans="1:24">
      <c r="A856" s="11">
        <v>855</v>
      </c>
      <c r="B856" s="11" t="s">
        <v>2142</v>
      </c>
      <c r="C856" s="11" t="s">
        <v>50</v>
      </c>
      <c r="D856" s="11" t="s">
        <v>33</v>
      </c>
      <c r="E856" s="12">
        <v>99.9</v>
      </c>
      <c r="F856" s="11" t="s">
        <v>2643</v>
      </c>
      <c r="G856" s="11" t="str">
        <f t="shared" si="125"/>
        <v>Litres</v>
      </c>
      <c r="H856" s="13">
        <v>430</v>
      </c>
      <c r="I856" s="11" t="s">
        <v>19</v>
      </c>
      <c r="J856" s="12">
        <v>51142</v>
      </c>
      <c r="K856" s="12" t="str">
        <f t="shared" si="121"/>
        <v>Medium</v>
      </c>
      <c r="L856" s="11" t="s">
        <v>20</v>
      </c>
      <c r="M856" s="14">
        <v>45332</v>
      </c>
      <c r="N856" s="14" t="str">
        <f t="shared" si="122"/>
        <v>10/02/2024</v>
      </c>
      <c r="O856" s="14" t="str">
        <f t="shared" si="123"/>
        <v>2024</v>
      </c>
      <c r="P856" s="11" t="s">
        <v>2144</v>
      </c>
      <c r="Q856" s="11" t="s">
        <v>441</v>
      </c>
      <c r="R856" s="11">
        <v>14</v>
      </c>
      <c r="S856" s="11" t="str">
        <f t="shared" si="124"/>
        <v>13 - 16 yrs</v>
      </c>
      <c r="T856" s="12">
        <v>238.9</v>
      </c>
      <c r="U856" s="11" t="str">
        <f t="shared" si="117"/>
        <v>(201 - 250)</v>
      </c>
      <c r="V856" s="12">
        <f t="shared" si="118"/>
        <v>4.3043043043043037</v>
      </c>
      <c r="W856" s="12">
        <f t="shared" si="119"/>
        <v>118.93488372093023</v>
      </c>
      <c r="X856" s="12">
        <f t="shared" si="120"/>
        <v>0.55558139534883721</v>
      </c>
    </row>
    <row r="857" spans="1:24">
      <c r="A857" s="11">
        <v>856</v>
      </c>
      <c r="B857" s="11" t="s">
        <v>2145</v>
      </c>
      <c r="C857" s="11" t="s">
        <v>16</v>
      </c>
      <c r="D857" s="11" t="s">
        <v>33</v>
      </c>
      <c r="E857" s="12">
        <v>88.3</v>
      </c>
      <c r="F857" s="11" t="s">
        <v>62</v>
      </c>
      <c r="G857" s="11" t="str">
        <f t="shared" si="125"/>
        <v>kWh</v>
      </c>
      <c r="H857" s="13">
        <v>437</v>
      </c>
      <c r="I857" s="11" t="s">
        <v>19</v>
      </c>
      <c r="J857" s="12">
        <v>106864</v>
      </c>
      <c r="K857" s="12" t="str">
        <f t="shared" si="121"/>
        <v>Very High</v>
      </c>
      <c r="L857" s="11" t="s">
        <v>20</v>
      </c>
      <c r="M857" s="14">
        <v>45579</v>
      </c>
      <c r="N857" s="14" t="str">
        <f t="shared" si="122"/>
        <v>14/10/2024</v>
      </c>
      <c r="O857" s="14" t="str">
        <f t="shared" si="123"/>
        <v>2024</v>
      </c>
      <c r="P857" s="11" t="s">
        <v>1587</v>
      </c>
      <c r="Q857" s="11" t="s">
        <v>54</v>
      </c>
      <c r="R857" s="11">
        <v>12</v>
      </c>
      <c r="S857" s="11" t="str">
        <f t="shared" si="124"/>
        <v>9 - 12 yrs</v>
      </c>
      <c r="T857" s="12">
        <v>194.8</v>
      </c>
      <c r="U857" s="11" t="str">
        <f t="shared" si="117"/>
        <v>(151 - 200)</v>
      </c>
      <c r="V857" s="12">
        <f t="shared" si="118"/>
        <v>4.9490373725934313</v>
      </c>
      <c r="W857" s="12">
        <f t="shared" si="119"/>
        <v>244.5400457665904</v>
      </c>
      <c r="X857" s="12">
        <f t="shared" si="120"/>
        <v>0.44576659038901606</v>
      </c>
    </row>
    <row r="858" spans="1:24">
      <c r="A858" s="11">
        <v>857</v>
      </c>
      <c r="B858" s="11" t="s">
        <v>2618</v>
      </c>
      <c r="C858" s="11" t="s">
        <v>39</v>
      </c>
      <c r="D858" s="11" t="s">
        <v>33</v>
      </c>
      <c r="E858" s="12">
        <v>14.7</v>
      </c>
      <c r="F858" s="11" t="s">
        <v>41</v>
      </c>
      <c r="G858" s="11" t="str">
        <f t="shared" si="125"/>
        <v>Litres</v>
      </c>
      <c r="H858" s="13">
        <v>415</v>
      </c>
      <c r="I858" s="11" t="s">
        <v>19</v>
      </c>
      <c r="J858" s="12">
        <v>33793</v>
      </c>
      <c r="K858" s="12" t="str">
        <f t="shared" si="121"/>
        <v>Low</v>
      </c>
      <c r="L858" s="11" t="s">
        <v>20</v>
      </c>
      <c r="M858" s="14">
        <v>45320</v>
      </c>
      <c r="N858" s="14" t="str">
        <f t="shared" si="122"/>
        <v>29/01/2024</v>
      </c>
      <c r="O858" s="14" t="str">
        <f t="shared" si="123"/>
        <v>2024</v>
      </c>
      <c r="P858" s="11" t="s">
        <v>2149</v>
      </c>
      <c r="Q858" s="11" t="s">
        <v>112</v>
      </c>
      <c r="R858" s="11">
        <v>6</v>
      </c>
      <c r="S858" s="11" t="str">
        <f t="shared" si="124"/>
        <v>5 - 8 yrs</v>
      </c>
      <c r="T858" s="12">
        <v>46.9</v>
      </c>
      <c r="U858" s="11" t="str">
        <f t="shared" si="117"/>
        <v>(0 - 50)</v>
      </c>
      <c r="V858" s="12">
        <f t="shared" si="118"/>
        <v>28.231292517006803</v>
      </c>
      <c r="W858" s="12">
        <f t="shared" si="119"/>
        <v>81.428915662650596</v>
      </c>
      <c r="X858" s="12">
        <f t="shared" si="120"/>
        <v>0.11301204819277108</v>
      </c>
    </row>
    <row r="859" spans="1:24">
      <c r="A859" s="11">
        <v>858</v>
      </c>
      <c r="B859" s="11" t="s">
        <v>2150</v>
      </c>
      <c r="C859" s="11" t="s">
        <v>32</v>
      </c>
      <c r="D859" s="11" t="s">
        <v>114</v>
      </c>
      <c r="E859" s="12">
        <v>88.8</v>
      </c>
      <c r="F859" s="11" t="s">
        <v>26</v>
      </c>
      <c r="G859" s="11" t="str">
        <f t="shared" si="125"/>
        <v>Litres</v>
      </c>
      <c r="H859" s="13">
        <v>406</v>
      </c>
      <c r="I859" s="11" t="s">
        <v>19</v>
      </c>
      <c r="J859" s="12">
        <v>102146</v>
      </c>
      <c r="K859" s="12" t="str">
        <f t="shared" si="121"/>
        <v>Very High</v>
      </c>
      <c r="L859" s="11" t="s">
        <v>20</v>
      </c>
      <c r="M859" s="14">
        <v>45032</v>
      </c>
      <c r="N859" s="14" t="str">
        <f t="shared" si="122"/>
        <v>16/04/2023</v>
      </c>
      <c r="O859" s="14" t="str">
        <f t="shared" si="123"/>
        <v>2023</v>
      </c>
      <c r="P859" s="11" t="s">
        <v>1665</v>
      </c>
      <c r="Q859" s="11" t="s">
        <v>48</v>
      </c>
      <c r="R859" s="11">
        <v>14</v>
      </c>
      <c r="S859" s="11" t="str">
        <f t="shared" si="124"/>
        <v>13 - 16 yrs</v>
      </c>
      <c r="T859" s="12">
        <v>200.5</v>
      </c>
      <c r="U859" s="11" t="str">
        <f t="shared" si="117"/>
        <v>(201 - 250)</v>
      </c>
      <c r="V859" s="12">
        <f t="shared" si="118"/>
        <v>4.5720720720720722</v>
      </c>
      <c r="W859" s="12">
        <f t="shared" si="119"/>
        <v>251.59113300492612</v>
      </c>
      <c r="X859" s="12">
        <f t="shared" si="120"/>
        <v>0.49384236453201968</v>
      </c>
    </row>
    <row r="860" spans="1:24">
      <c r="A860" s="11">
        <v>859</v>
      </c>
      <c r="B860" s="11" t="s">
        <v>2152</v>
      </c>
      <c r="C860" s="11" t="s">
        <v>39</v>
      </c>
      <c r="D860" s="11" t="s">
        <v>33</v>
      </c>
      <c r="E860" s="12">
        <v>85</v>
      </c>
      <c r="F860" s="11" t="s">
        <v>56</v>
      </c>
      <c r="G860" s="11" t="str">
        <f t="shared" si="125"/>
        <v>Litres</v>
      </c>
      <c r="H860" s="13">
        <v>302</v>
      </c>
      <c r="I860" s="11" t="s">
        <v>19</v>
      </c>
      <c r="J860" s="12">
        <v>59679</v>
      </c>
      <c r="K860" s="12" t="str">
        <f t="shared" si="121"/>
        <v>Moderate</v>
      </c>
      <c r="L860" s="11" t="s">
        <v>20</v>
      </c>
      <c r="M860" s="14">
        <v>45660</v>
      </c>
      <c r="N860" s="14" t="str">
        <f t="shared" si="122"/>
        <v>03/01/2025</v>
      </c>
      <c r="O860" s="14" t="str">
        <f t="shared" si="123"/>
        <v>2025</v>
      </c>
      <c r="P860" s="11" t="s">
        <v>2154</v>
      </c>
      <c r="Q860" s="11" t="s">
        <v>441</v>
      </c>
      <c r="R860" s="11">
        <v>16</v>
      </c>
      <c r="S860" s="11" t="str">
        <f t="shared" si="124"/>
        <v>13 - 16 yrs</v>
      </c>
      <c r="T860" s="12">
        <v>176.5</v>
      </c>
      <c r="U860" s="11" t="str">
        <f t="shared" si="117"/>
        <v>(151 - 200)</v>
      </c>
      <c r="V860" s="12">
        <f t="shared" si="118"/>
        <v>3.552941176470588</v>
      </c>
      <c r="W860" s="12">
        <f t="shared" si="119"/>
        <v>197.61258278145695</v>
      </c>
      <c r="X860" s="12">
        <f t="shared" si="120"/>
        <v>0.58443708609271527</v>
      </c>
    </row>
    <row r="861" spans="1:24">
      <c r="A861" s="11">
        <v>860</v>
      </c>
      <c r="B861" s="11" t="s">
        <v>2155</v>
      </c>
      <c r="C861" s="11" t="s">
        <v>39</v>
      </c>
      <c r="D861" s="11" t="s">
        <v>33</v>
      </c>
      <c r="E861" s="12">
        <v>12.1</v>
      </c>
      <c r="F861" s="11" t="s">
        <v>56</v>
      </c>
      <c r="G861" s="11" t="str">
        <f t="shared" si="125"/>
        <v>Litres</v>
      </c>
      <c r="H861" s="13">
        <v>680</v>
      </c>
      <c r="I861" s="11" t="s">
        <v>19</v>
      </c>
      <c r="J861" s="12">
        <v>79511</v>
      </c>
      <c r="K861" s="12" t="str">
        <f t="shared" si="121"/>
        <v>High</v>
      </c>
      <c r="L861" s="11" t="s">
        <v>20</v>
      </c>
      <c r="M861" s="14">
        <v>44932</v>
      </c>
      <c r="N861" s="14" t="str">
        <f t="shared" si="122"/>
        <v>06/01/2023</v>
      </c>
      <c r="O861" s="14" t="str">
        <f t="shared" si="123"/>
        <v>2023</v>
      </c>
      <c r="P861" s="11" t="s">
        <v>2157</v>
      </c>
      <c r="Q861" s="11" t="s">
        <v>86</v>
      </c>
      <c r="R861" s="11">
        <v>2</v>
      </c>
      <c r="S861" s="11" t="str">
        <f t="shared" si="124"/>
        <v>0 - 4 yrs</v>
      </c>
      <c r="T861" s="12">
        <v>36</v>
      </c>
      <c r="U861" s="11" t="str">
        <f t="shared" si="117"/>
        <v>(0 - 50)</v>
      </c>
      <c r="V861" s="12">
        <f t="shared" si="118"/>
        <v>56.198347107438018</v>
      </c>
      <c r="W861" s="12">
        <f t="shared" si="119"/>
        <v>116.92794117647058</v>
      </c>
      <c r="X861" s="12">
        <f t="shared" si="120"/>
        <v>5.2941176470588235E-2</v>
      </c>
    </row>
    <row r="862" spans="1:24">
      <c r="A862" s="11">
        <v>861</v>
      </c>
      <c r="B862" s="11" t="s">
        <v>2158</v>
      </c>
      <c r="C862" s="11" t="s">
        <v>16</v>
      </c>
      <c r="D862" s="11" t="s">
        <v>17</v>
      </c>
      <c r="E862" s="12">
        <v>18.399999999999999</v>
      </c>
      <c r="F862" s="11" t="s">
        <v>56</v>
      </c>
      <c r="G862" s="11" t="str">
        <f t="shared" si="125"/>
        <v>Litres</v>
      </c>
      <c r="H862" s="13">
        <v>597</v>
      </c>
      <c r="I862" s="11" t="s">
        <v>19</v>
      </c>
      <c r="J862" s="12">
        <v>114976</v>
      </c>
      <c r="K862" s="12" t="str">
        <f t="shared" si="121"/>
        <v>Extreme</v>
      </c>
      <c r="L862" s="11" t="s">
        <v>20</v>
      </c>
      <c r="M862" s="14">
        <v>44968</v>
      </c>
      <c r="N862" s="14" t="str">
        <f t="shared" si="122"/>
        <v>11/02/2023</v>
      </c>
      <c r="O862" s="14" t="str">
        <f t="shared" si="123"/>
        <v>2023</v>
      </c>
      <c r="P862" s="11" t="s">
        <v>508</v>
      </c>
      <c r="Q862" s="11" t="s">
        <v>48</v>
      </c>
      <c r="R862" s="11">
        <v>7</v>
      </c>
      <c r="S862" s="11" t="str">
        <f t="shared" si="124"/>
        <v>5 - 8 yrs</v>
      </c>
      <c r="T862" s="12">
        <v>42.1</v>
      </c>
      <c r="U862" s="11" t="str">
        <f t="shared" si="117"/>
        <v>(0 - 50)</v>
      </c>
      <c r="V862" s="12">
        <f t="shared" si="118"/>
        <v>32.445652173913047</v>
      </c>
      <c r="W862" s="12">
        <f t="shared" si="119"/>
        <v>192.58961474036852</v>
      </c>
      <c r="X862" s="12">
        <f t="shared" si="120"/>
        <v>7.0519262981574543E-2</v>
      </c>
    </row>
    <row r="863" spans="1:24">
      <c r="A863" s="11">
        <v>862</v>
      </c>
      <c r="B863" s="11" t="s">
        <v>2619</v>
      </c>
      <c r="C863" s="11" t="s">
        <v>39</v>
      </c>
      <c r="D863" s="11" t="s">
        <v>17</v>
      </c>
      <c r="E863" s="12">
        <v>37.200000000000003</v>
      </c>
      <c r="F863" s="11" t="s">
        <v>56</v>
      </c>
      <c r="G863" s="11" t="str">
        <f t="shared" si="125"/>
        <v>Litres</v>
      </c>
      <c r="H863" s="13">
        <v>418</v>
      </c>
      <c r="I863" s="11" t="s">
        <v>19</v>
      </c>
      <c r="J863" s="12">
        <v>16410</v>
      </c>
      <c r="K863" s="12" t="str">
        <f t="shared" si="121"/>
        <v>Very Low</v>
      </c>
      <c r="L863" s="11" t="s">
        <v>20</v>
      </c>
      <c r="M863" s="14">
        <v>45130</v>
      </c>
      <c r="N863" s="14" t="str">
        <f t="shared" si="122"/>
        <v>23/07/2023</v>
      </c>
      <c r="O863" s="14" t="str">
        <f t="shared" si="123"/>
        <v>2023</v>
      </c>
      <c r="P863" s="11" t="s">
        <v>419</v>
      </c>
      <c r="Q863" s="11" t="s">
        <v>2648</v>
      </c>
      <c r="R863" s="11">
        <v>17</v>
      </c>
      <c r="S863" s="11" t="str">
        <f t="shared" si="124"/>
        <v>17 + yrs</v>
      </c>
      <c r="T863" s="12">
        <v>100.9</v>
      </c>
      <c r="U863" s="11" t="str">
        <f t="shared" si="117"/>
        <v>(101 - 150)</v>
      </c>
      <c r="V863" s="12">
        <f t="shared" si="118"/>
        <v>11.236559139784946</v>
      </c>
      <c r="W863" s="12">
        <f t="shared" si="119"/>
        <v>39.258373205741627</v>
      </c>
      <c r="X863" s="12">
        <f t="shared" si="120"/>
        <v>0.24138755980861246</v>
      </c>
    </row>
    <row r="864" spans="1:24">
      <c r="A864" s="11">
        <v>863</v>
      </c>
      <c r="B864" s="11" t="s">
        <v>2161</v>
      </c>
      <c r="C864" s="11" t="s">
        <v>39</v>
      </c>
      <c r="D864" s="11" t="s">
        <v>17</v>
      </c>
      <c r="E864" s="12">
        <v>78.099999999999994</v>
      </c>
      <c r="F864" s="11" t="s">
        <v>26</v>
      </c>
      <c r="G864" s="11" t="str">
        <f t="shared" si="125"/>
        <v>Litres</v>
      </c>
      <c r="H864" s="13">
        <v>130</v>
      </c>
      <c r="I864" s="11" t="s">
        <v>19</v>
      </c>
      <c r="J864" s="12">
        <v>73030</v>
      </c>
      <c r="K864" s="12" t="str">
        <f t="shared" si="121"/>
        <v>High</v>
      </c>
      <c r="L864" s="11" t="s">
        <v>20</v>
      </c>
      <c r="M864" s="14">
        <v>45575</v>
      </c>
      <c r="N864" s="14" t="str">
        <f t="shared" si="122"/>
        <v>10/10/2024</v>
      </c>
      <c r="O864" s="14" t="str">
        <f t="shared" si="123"/>
        <v>2024</v>
      </c>
      <c r="P864" s="11" t="s">
        <v>1596</v>
      </c>
      <c r="Q864" s="11" t="s">
        <v>86</v>
      </c>
      <c r="R864" s="11">
        <v>17</v>
      </c>
      <c r="S864" s="11" t="str">
        <f t="shared" si="124"/>
        <v>17 + yrs</v>
      </c>
      <c r="T864" s="12">
        <v>256.60000000000002</v>
      </c>
      <c r="U864" s="11" t="str">
        <f t="shared" si="117"/>
        <v>(251 - 300)</v>
      </c>
      <c r="V864" s="12">
        <f t="shared" si="118"/>
        <v>1.6645326504481435</v>
      </c>
      <c r="W864" s="12">
        <f t="shared" si="119"/>
        <v>561.76923076923072</v>
      </c>
      <c r="X864" s="12">
        <f t="shared" si="120"/>
        <v>1.973846153846154</v>
      </c>
    </row>
    <row r="865" spans="1:24">
      <c r="A865" s="11">
        <v>864</v>
      </c>
      <c r="B865" s="11" t="s">
        <v>2163</v>
      </c>
      <c r="C865" s="11" t="s">
        <v>50</v>
      </c>
      <c r="D865" s="11" t="s">
        <v>61</v>
      </c>
      <c r="E865" s="12">
        <v>10</v>
      </c>
      <c r="F865" s="11" t="s">
        <v>56</v>
      </c>
      <c r="G865" s="11" t="str">
        <f t="shared" si="125"/>
        <v>Litres</v>
      </c>
      <c r="H865" s="13">
        <v>619</v>
      </c>
      <c r="I865" s="11" t="s">
        <v>19</v>
      </c>
      <c r="J865" s="12">
        <v>92437</v>
      </c>
      <c r="K865" s="12" t="str">
        <f t="shared" si="121"/>
        <v>Very High</v>
      </c>
      <c r="L865" s="11" t="s">
        <v>20</v>
      </c>
      <c r="M865" s="14">
        <v>45180</v>
      </c>
      <c r="N865" s="14" t="str">
        <f t="shared" si="122"/>
        <v>11/09/2023</v>
      </c>
      <c r="O865" s="14" t="str">
        <f t="shared" si="123"/>
        <v>2023</v>
      </c>
      <c r="P865" s="11" t="s">
        <v>1697</v>
      </c>
      <c r="Q865" s="11" t="s">
        <v>54</v>
      </c>
      <c r="R865" s="11">
        <v>7</v>
      </c>
      <c r="S865" s="11" t="str">
        <f t="shared" si="124"/>
        <v>5 - 8 yrs</v>
      </c>
      <c r="T865" s="12">
        <v>0</v>
      </c>
      <c r="U865" s="11" t="str">
        <f t="shared" ref="U865:U891" si="126">IF(T865&lt;=50,"(0 - 50)",IF(T865&lt;=100,"(51 - 100)",IF(T865&lt;=150,"(101 - 150)",IF(T865&lt;=200,"(151 - 200)",IF(T865&lt;=250,"(201 - 250)",IF(T865&lt;=300,"(251 - 300)","(301 - 350)"))))))</f>
        <v>(0 - 50)</v>
      </c>
      <c r="V865" s="12">
        <f t="shared" ref="V865:V891" si="127">H865/E865</f>
        <v>61.9</v>
      </c>
      <c r="W865" s="12">
        <f t="shared" ref="W865:W891" si="128">J865/H865</f>
        <v>149.33279483037157</v>
      </c>
      <c r="X865" s="12">
        <f t="shared" ref="X865:X891" si="129">T865/H865</f>
        <v>0</v>
      </c>
    </row>
    <row r="866" spans="1:24">
      <c r="A866" s="11">
        <v>865</v>
      </c>
      <c r="B866" s="11" t="s">
        <v>2165</v>
      </c>
      <c r="C866" s="11" t="s">
        <v>39</v>
      </c>
      <c r="D866" s="11" t="s">
        <v>61</v>
      </c>
      <c r="E866" s="12">
        <v>10</v>
      </c>
      <c r="F866" s="11" t="s">
        <v>62</v>
      </c>
      <c r="G866" s="11" t="str">
        <f t="shared" si="125"/>
        <v>kWh</v>
      </c>
      <c r="H866" s="13">
        <v>697</v>
      </c>
      <c r="I866" s="11" t="s">
        <v>19</v>
      </c>
      <c r="J866" s="12">
        <v>99035</v>
      </c>
      <c r="K866" s="12" t="str">
        <f t="shared" si="121"/>
        <v>Very High</v>
      </c>
      <c r="L866" s="11" t="s">
        <v>20</v>
      </c>
      <c r="M866" s="14">
        <v>44956</v>
      </c>
      <c r="N866" s="14" t="str">
        <f t="shared" si="122"/>
        <v>30/01/2023</v>
      </c>
      <c r="O866" s="14" t="str">
        <f t="shared" si="123"/>
        <v>2023</v>
      </c>
      <c r="P866" s="11" t="s">
        <v>22</v>
      </c>
      <c r="Q866" s="11" t="s">
        <v>59</v>
      </c>
      <c r="R866" s="11">
        <v>4</v>
      </c>
      <c r="S866" s="11" t="str">
        <f t="shared" si="124"/>
        <v>0 - 4 yrs</v>
      </c>
      <c r="T866" s="12">
        <v>0</v>
      </c>
      <c r="U866" s="11" t="str">
        <f t="shared" si="126"/>
        <v>(0 - 50)</v>
      </c>
      <c r="V866" s="12">
        <f t="shared" si="127"/>
        <v>69.7</v>
      </c>
      <c r="W866" s="12">
        <f t="shared" si="128"/>
        <v>142.08751793400288</v>
      </c>
      <c r="X866" s="12">
        <f t="shared" si="129"/>
        <v>0</v>
      </c>
    </row>
    <row r="867" spans="1:24">
      <c r="A867" s="11">
        <v>866</v>
      </c>
      <c r="B867" s="11" t="s">
        <v>2620</v>
      </c>
      <c r="C867" s="11" t="s">
        <v>16</v>
      </c>
      <c r="D867" s="11" t="s">
        <v>17</v>
      </c>
      <c r="E867" s="12">
        <v>51.1</v>
      </c>
      <c r="F867" s="11" t="s">
        <v>41</v>
      </c>
      <c r="G867" s="11" t="str">
        <f t="shared" si="125"/>
        <v>Litres</v>
      </c>
      <c r="H867" s="13">
        <v>146</v>
      </c>
      <c r="I867" s="11" t="s">
        <v>19</v>
      </c>
      <c r="J867" s="12">
        <v>38710</v>
      </c>
      <c r="K867" s="12" t="str">
        <f t="shared" si="121"/>
        <v>Medium</v>
      </c>
      <c r="L867" s="11" t="s">
        <v>20</v>
      </c>
      <c r="M867" s="14">
        <v>45935</v>
      </c>
      <c r="N867" s="14" t="str">
        <f t="shared" si="122"/>
        <v>05/10/2025</v>
      </c>
      <c r="O867" s="14" t="str">
        <f t="shared" si="123"/>
        <v>2025</v>
      </c>
      <c r="P867" s="11" t="s">
        <v>493</v>
      </c>
      <c r="Q867" s="11" t="s">
        <v>117</v>
      </c>
      <c r="R867" s="11">
        <v>2</v>
      </c>
      <c r="S867" s="11" t="str">
        <f t="shared" si="124"/>
        <v>0 - 4 yrs</v>
      </c>
      <c r="T867" s="12">
        <v>131.69999999999999</v>
      </c>
      <c r="U867" s="11" t="str">
        <f t="shared" si="126"/>
        <v>(101 - 150)</v>
      </c>
      <c r="V867" s="12">
        <f t="shared" si="127"/>
        <v>2.8571428571428572</v>
      </c>
      <c r="W867" s="12">
        <f t="shared" si="128"/>
        <v>265.13698630136986</v>
      </c>
      <c r="X867" s="12">
        <f t="shared" si="129"/>
        <v>0.90205479452054782</v>
      </c>
    </row>
    <row r="868" spans="1:24">
      <c r="A868" s="11">
        <v>867</v>
      </c>
      <c r="B868" s="11" t="s">
        <v>2168</v>
      </c>
      <c r="C868" s="11" t="s">
        <v>16</v>
      </c>
      <c r="D868" s="11" t="s">
        <v>17</v>
      </c>
      <c r="E868" s="12">
        <v>35.5</v>
      </c>
      <c r="F868" s="11" t="s">
        <v>26</v>
      </c>
      <c r="G868" s="11" t="str">
        <f t="shared" si="125"/>
        <v>Litres</v>
      </c>
      <c r="H868" s="13">
        <v>459</v>
      </c>
      <c r="I868" s="11" t="s">
        <v>19</v>
      </c>
      <c r="J868" s="12">
        <v>72313</v>
      </c>
      <c r="K868" s="12" t="str">
        <f t="shared" si="121"/>
        <v>High</v>
      </c>
      <c r="L868" s="11" t="s">
        <v>20</v>
      </c>
      <c r="M868" s="14">
        <v>45156</v>
      </c>
      <c r="N868" s="14" t="str">
        <f t="shared" si="122"/>
        <v>18/08/2023</v>
      </c>
      <c r="O868" s="14" t="str">
        <f t="shared" si="123"/>
        <v>2023</v>
      </c>
      <c r="P868" s="11" t="s">
        <v>2169</v>
      </c>
      <c r="Q868" s="11" t="s">
        <v>112</v>
      </c>
      <c r="R868" s="11">
        <v>18</v>
      </c>
      <c r="S868" s="11" t="str">
        <f t="shared" si="124"/>
        <v>17 + yrs</v>
      </c>
      <c r="T868" s="12">
        <v>118.4</v>
      </c>
      <c r="U868" s="11" t="str">
        <f t="shared" si="126"/>
        <v>(101 - 150)</v>
      </c>
      <c r="V868" s="12">
        <f t="shared" si="127"/>
        <v>12.929577464788732</v>
      </c>
      <c r="W868" s="12">
        <f t="shared" si="128"/>
        <v>157.54466230936819</v>
      </c>
      <c r="X868" s="12">
        <f t="shared" si="129"/>
        <v>0.25795206971677559</v>
      </c>
    </row>
    <row r="869" spans="1:24">
      <c r="A869" s="11">
        <v>868</v>
      </c>
      <c r="B869" s="11" t="s">
        <v>2170</v>
      </c>
      <c r="C869" s="11" t="s">
        <v>32</v>
      </c>
      <c r="D869" s="11" t="s">
        <v>17</v>
      </c>
      <c r="E869" s="12">
        <v>18</v>
      </c>
      <c r="F869" s="11" t="s">
        <v>56</v>
      </c>
      <c r="G869" s="11" t="str">
        <f t="shared" si="125"/>
        <v>Litres</v>
      </c>
      <c r="H869" s="13">
        <v>265</v>
      </c>
      <c r="I869" s="11" t="s">
        <v>19</v>
      </c>
      <c r="J869" s="12">
        <v>35391</v>
      </c>
      <c r="K869" s="12" t="str">
        <f t="shared" si="121"/>
        <v>Low</v>
      </c>
      <c r="L869" s="11" t="s">
        <v>20</v>
      </c>
      <c r="M869" s="14">
        <v>45435</v>
      </c>
      <c r="N869" s="14" t="str">
        <f t="shared" si="122"/>
        <v>23/05/2024</v>
      </c>
      <c r="O869" s="14" t="str">
        <f t="shared" si="123"/>
        <v>2024</v>
      </c>
      <c r="P869" s="11" t="s">
        <v>1523</v>
      </c>
      <c r="Q869" s="11" t="s">
        <v>2648</v>
      </c>
      <c r="R869" s="11">
        <v>15</v>
      </c>
      <c r="S869" s="11" t="str">
        <f t="shared" si="124"/>
        <v>13 - 16 yrs</v>
      </c>
      <c r="T869" s="12">
        <v>61.6</v>
      </c>
      <c r="U869" s="11" t="str">
        <f t="shared" si="126"/>
        <v>(51 - 100)</v>
      </c>
      <c r="V869" s="12">
        <f t="shared" si="127"/>
        <v>14.722222222222221</v>
      </c>
      <c r="W869" s="12">
        <f t="shared" si="128"/>
        <v>133.55094339622642</v>
      </c>
      <c r="X869" s="12">
        <f t="shared" si="129"/>
        <v>0.23245283018867924</v>
      </c>
    </row>
    <row r="870" spans="1:24">
      <c r="A870" s="11">
        <v>869</v>
      </c>
      <c r="B870" s="11" t="s">
        <v>2445</v>
      </c>
      <c r="C870" s="11" t="s">
        <v>32</v>
      </c>
      <c r="D870" s="11" t="s">
        <v>61</v>
      </c>
      <c r="E870" s="12">
        <v>10</v>
      </c>
      <c r="F870" s="11" t="s">
        <v>26</v>
      </c>
      <c r="G870" s="11" t="str">
        <f t="shared" si="125"/>
        <v>Litres</v>
      </c>
      <c r="H870" s="13">
        <v>281</v>
      </c>
      <c r="I870" s="11" t="s">
        <v>19</v>
      </c>
      <c r="J870" s="12">
        <v>62615</v>
      </c>
      <c r="K870" s="12" t="str">
        <f t="shared" ref="K870:K933" si="130">IF(J870&lt;18000,"Very Low",IF(J870&lt;36000,"Low",IF(J870&lt;54000,"Medium",IF(J870&lt;72000,"Moderate",IF(J870&lt;90000,"High",IF(J870&lt;108000,"Very High","Extreme"))))))</f>
        <v>Moderate</v>
      </c>
      <c r="L870" s="11" t="s">
        <v>20</v>
      </c>
      <c r="M870" s="14">
        <v>45350</v>
      </c>
      <c r="N870" s="14" t="str">
        <f t="shared" ref="N870:N933" si="131">TEXT(M870,"dd/mm/yyyy")</f>
        <v>28/02/2024</v>
      </c>
      <c r="O870" s="14" t="str">
        <f t="shared" ref="O870:O933" si="132">TEXT(M870,"yyyy")</f>
        <v>2024</v>
      </c>
      <c r="P870" s="11" t="s">
        <v>2173</v>
      </c>
      <c r="Q870" s="11" t="s">
        <v>48</v>
      </c>
      <c r="R870" s="11">
        <v>11</v>
      </c>
      <c r="S870" s="11" t="str">
        <f t="shared" ref="S870:S933" si="133">IF(R870&lt;=4,"0 - 4 yrs",IF(R870&lt;=8,"5 - 8 yrs",IF(R870&lt;=12,"9 - 12 yrs",IF(R870&lt;=16,"13 - 16 yrs","17 + yrs"))))</f>
        <v>9 - 12 yrs</v>
      </c>
      <c r="T870" s="12">
        <v>0</v>
      </c>
      <c r="U870" s="11" t="str">
        <f t="shared" si="126"/>
        <v>(0 - 50)</v>
      </c>
      <c r="V870" s="12">
        <f t="shared" si="127"/>
        <v>28.1</v>
      </c>
      <c r="W870" s="12">
        <f t="shared" si="128"/>
        <v>222.82918149466192</v>
      </c>
      <c r="X870" s="12">
        <f t="shared" si="129"/>
        <v>0</v>
      </c>
    </row>
    <row r="871" spans="1:24">
      <c r="A871" s="11">
        <v>870</v>
      </c>
      <c r="B871" s="11" t="s">
        <v>2621</v>
      </c>
      <c r="C871" s="11" t="s">
        <v>32</v>
      </c>
      <c r="D871" s="11" t="s">
        <v>61</v>
      </c>
      <c r="E871" s="12">
        <v>10</v>
      </c>
      <c r="F871" s="11" t="s">
        <v>2643</v>
      </c>
      <c r="G871" s="11" t="str">
        <f t="shared" si="125"/>
        <v>Litres</v>
      </c>
      <c r="H871" s="13">
        <v>99</v>
      </c>
      <c r="I871" s="11" t="s">
        <v>19</v>
      </c>
      <c r="J871" s="12">
        <v>34485</v>
      </c>
      <c r="K871" s="12" t="str">
        <f t="shared" si="130"/>
        <v>Low</v>
      </c>
      <c r="L871" s="11" t="s">
        <v>20</v>
      </c>
      <c r="M871" s="14">
        <v>45368</v>
      </c>
      <c r="N871" s="14" t="str">
        <f t="shared" si="131"/>
        <v>17/03/2024</v>
      </c>
      <c r="O871" s="14" t="str">
        <f t="shared" si="132"/>
        <v>2024</v>
      </c>
      <c r="P871" s="11" t="s">
        <v>853</v>
      </c>
      <c r="Q871" s="11" t="s">
        <v>121</v>
      </c>
      <c r="R871" s="11">
        <v>10</v>
      </c>
      <c r="S871" s="11" t="str">
        <f t="shared" si="133"/>
        <v>9 - 12 yrs</v>
      </c>
      <c r="T871" s="12">
        <v>0</v>
      </c>
      <c r="U871" s="11" t="str">
        <f t="shared" si="126"/>
        <v>(0 - 50)</v>
      </c>
      <c r="V871" s="12">
        <f t="shared" si="127"/>
        <v>9.9</v>
      </c>
      <c r="W871" s="12">
        <f t="shared" si="128"/>
        <v>348.33333333333331</v>
      </c>
      <c r="X871" s="12">
        <f t="shared" si="129"/>
        <v>0</v>
      </c>
    </row>
    <row r="872" spans="1:24">
      <c r="A872" s="11">
        <v>871</v>
      </c>
      <c r="B872" s="11" t="s">
        <v>2176</v>
      </c>
      <c r="C872" s="11" t="s">
        <v>32</v>
      </c>
      <c r="D872" s="11" t="s">
        <v>17</v>
      </c>
      <c r="E872" s="12">
        <v>48</v>
      </c>
      <c r="F872" s="11" t="s">
        <v>26</v>
      </c>
      <c r="G872" s="11" t="str">
        <f t="shared" si="125"/>
        <v>Litres</v>
      </c>
      <c r="H872" s="13">
        <v>262</v>
      </c>
      <c r="I872" s="11" t="s">
        <v>19</v>
      </c>
      <c r="J872" s="12">
        <v>35649</v>
      </c>
      <c r="K872" s="12" t="str">
        <f t="shared" si="130"/>
        <v>Low</v>
      </c>
      <c r="L872" s="11" t="s">
        <v>20</v>
      </c>
      <c r="M872" s="14">
        <v>45747</v>
      </c>
      <c r="N872" s="14" t="str">
        <f t="shared" si="131"/>
        <v>31/03/2025</v>
      </c>
      <c r="O872" s="14" t="str">
        <f t="shared" si="132"/>
        <v>2025</v>
      </c>
      <c r="P872" s="11" t="s">
        <v>791</v>
      </c>
      <c r="Q872" s="11" t="s">
        <v>121</v>
      </c>
      <c r="R872" s="11">
        <v>8</v>
      </c>
      <c r="S872" s="11" t="str">
        <f t="shared" si="133"/>
        <v>5 - 8 yrs</v>
      </c>
      <c r="T872" s="12">
        <v>121.3</v>
      </c>
      <c r="U872" s="11" t="str">
        <f t="shared" si="126"/>
        <v>(101 - 150)</v>
      </c>
      <c r="V872" s="12">
        <f t="shared" si="127"/>
        <v>5.458333333333333</v>
      </c>
      <c r="W872" s="12">
        <f t="shared" si="128"/>
        <v>136.06488549618319</v>
      </c>
      <c r="X872" s="12">
        <f t="shared" si="129"/>
        <v>0.46297709923664121</v>
      </c>
    </row>
    <row r="873" spans="1:24">
      <c r="A873" s="11">
        <v>872</v>
      </c>
      <c r="B873" s="11" t="s">
        <v>2622</v>
      </c>
      <c r="C873" s="11" t="s">
        <v>50</v>
      </c>
      <c r="D873" s="11" t="s">
        <v>33</v>
      </c>
      <c r="E873" s="12">
        <v>67.8</v>
      </c>
      <c r="F873" s="11" t="s">
        <v>26</v>
      </c>
      <c r="G873" s="11" t="str">
        <f t="shared" si="125"/>
        <v>Litres</v>
      </c>
      <c r="H873" s="13">
        <v>278</v>
      </c>
      <c r="I873" s="11" t="s">
        <v>19</v>
      </c>
      <c r="J873" s="12">
        <v>59074</v>
      </c>
      <c r="K873" s="12" t="str">
        <f t="shared" si="130"/>
        <v>Moderate</v>
      </c>
      <c r="L873" s="11" t="s">
        <v>20</v>
      </c>
      <c r="M873" s="14">
        <v>45736</v>
      </c>
      <c r="N873" s="14" t="str">
        <f t="shared" si="131"/>
        <v>20/03/2025</v>
      </c>
      <c r="O873" s="14" t="str">
        <f t="shared" si="132"/>
        <v>2025</v>
      </c>
      <c r="P873" s="11" t="s">
        <v>2178</v>
      </c>
      <c r="Q873" s="11" t="s">
        <v>86</v>
      </c>
      <c r="R873" s="11">
        <v>8</v>
      </c>
      <c r="S873" s="11" t="str">
        <f t="shared" si="133"/>
        <v>5 - 8 yrs</v>
      </c>
      <c r="T873" s="12">
        <v>219</v>
      </c>
      <c r="U873" s="11" t="str">
        <f t="shared" si="126"/>
        <v>(201 - 250)</v>
      </c>
      <c r="V873" s="12">
        <f t="shared" si="127"/>
        <v>4.1002949852507378</v>
      </c>
      <c r="W873" s="12">
        <f t="shared" si="128"/>
        <v>212.49640287769785</v>
      </c>
      <c r="X873" s="12">
        <f t="shared" si="129"/>
        <v>0.78776978417266186</v>
      </c>
    </row>
    <row r="874" spans="1:24">
      <c r="A874" s="11">
        <v>873</v>
      </c>
      <c r="B874" s="11" t="s">
        <v>2179</v>
      </c>
      <c r="C874" s="11" t="s">
        <v>39</v>
      </c>
      <c r="D874" s="11" t="s">
        <v>17</v>
      </c>
      <c r="E874" s="12">
        <v>11.8</v>
      </c>
      <c r="F874" s="11" t="s">
        <v>26</v>
      </c>
      <c r="G874" s="11" t="str">
        <f t="shared" si="125"/>
        <v>Litres</v>
      </c>
      <c r="H874" s="13">
        <v>391</v>
      </c>
      <c r="I874" s="11" t="s">
        <v>19</v>
      </c>
      <c r="J874" s="12">
        <v>108994</v>
      </c>
      <c r="K874" s="12" t="str">
        <f t="shared" si="130"/>
        <v>Extreme</v>
      </c>
      <c r="L874" s="11" t="s">
        <v>20</v>
      </c>
      <c r="M874" s="14">
        <v>45233</v>
      </c>
      <c r="N874" s="14" t="str">
        <f t="shared" si="131"/>
        <v>03/11/2023</v>
      </c>
      <c r="O874" s="14" t="str">
        <f t="shared" si="132"/>
        <v>2023</v>
      </c>
      <c r="P874" s="11" t="s">
        <v>908</v>
      </c>
      <c r="Q874" s="11" t="s">
        <v>59</v>
      </c>
      <c r="R874" s="11">
        <v>7</v>
      </c>
      <c r="S874" s="11" t="str">
        <f t="shared" si="133"/>
        <v>5 - 8 yrs</v>
      </c>
      <c r="T874" s="12">
        <v>40.299999999999997</v>
      </c>
      <c r="U874" s="11" t="str">
        <f t="shared" si="126"/>
        <v>(0 - 50)</v>
      </c>
      <c r="V874" s="12">
        <f t="shared" si="127"/>
        <v>33.135593220338983</v>
      </c>
      <c r="W874" s="12">
        <f t="shared" si="128"/>
        <v>278.75703324808183</v>
      </c>
      <c r="X874" s="12">
        <f t="shared" si="129"/>
        <v>0.10306905370843988</v>
      </c>
    </row>
    <row r="875" spans="1:24">
      <c r="A875" s="11">
        <v>874</v>
      </c>
      <c r="B875" s="11" t="s">
        <v>2181</v>
      </c>
      <c r="C875" s="11" t="s">
        <v>39</v>
      </c>
      <c r="D875" s="11" t="s">
        <v>33</v>
      </c>
      <c r="E875" s="12">
        <v>65</v>
      </c>
      <c r="F875" s="11" t="s">
        <v>2643</v>
      </c>
      <c r="G875" s="11" t="str">
        <f t="shared" si="125"/>
        <v>Litres</v>
      </c>
      <c r="H875" s="13">
        <v>580</v>
      </c>
      <c r="I875" s="11" t="s">
        <v>19</v>
      </c>
      <c r="J875" s="12">
        <v>85538</v>
      </c>
      <c r="K875" s="12" t="str">
        <f t="shared" si="130"/>
        <v>High</v>
      </c>
      <c r="L875" s="11" t="s">
        <v>20</v>
      </c>
      <c r="M875" s="14">
        <v>45530</v>
      </c>
      <c r="N875" s="14" t="str">
        <f t="shared" si="131"/>
        <v>26/08/2024</v>
      </c>
      <c r="O875" s="14" t="str">
        <f t="shared" si="132"/>
        <v>2024</v>
      </c>
      <c r="P875" s="11" t="s">
        <v>1008</v>
      </c>
      <c r="Q875" s="11" t="s">
        <v>69</v>
      </c>
      <c r="R875" s="11">
        <v>16</v>
      </c>
      <c r="S875" s="11" t="str">
        <f t="shared" si="133"/>
        <v>13 - 16 yrs</v>
      </c>
      <c r="T875" s="12">
        <v>213.1</v>
      </c>
      <c r="U875" s="11" t="str">
        <f t="shared" si="126"/>
        <v>(201 - 250)</v>
      </c>
      <c r="V875" s="12">
        <f t="shared" si="127"/>
        <v>8.9230769230769234</v>
      </c>
      <c r="W875" s="12">
        <f t="shared" si="128"/>
        <v>147.47931034482758</v>
      </c>
      <c r="X875" s="12">
        <f t="shared" si="129"/>
        <v>0.36741379310344824</v>
      </c>
    </row>
    <row r="876" spans="1:24">
      <c r="A876" s="11">
        <v>875</v>
      </c>
      <c r="B876" s="11" t="s">
        <v>2179</v>
      </c>
      <c r="C876" s="11" t="s">
        <v>16</v>
      </c>
      <c r="D876" s="11" t="s">
        <v>17</v>
      </c>
      <c r="E876" s="12">
        <v>50.6</v>
      </c>
      <c r="F876" s="11" t="s">
        <v>2643</v>
      </c>
      <c r="G876" s="11" t="str">
        <f t="shared" si="125"/>
        <v>Litres</v>
      </c>
      <c r="H876" s="13">
        <v>406</v>
      </c>
      <c r="I876" s="11" t="s">
        <v>19</v>
      </c>
      <c r="J876" s="12">
        <v>27285</v>
      </c>
      <c r="K876" s="12" t="str">
        <f t="shared" si="130"/>
        <v>Low</v>
      </c>
      <c r="L876" s="11" t="s">
        <v>20</v>
      </c>
      <c r="M876" s="14">
        <v>45184</v>
      </c>
      <c r="N876" s="14" t="str">
        <f t="shared" si="131"/>
        <v>15/09/2023</v>
      </c>
      <c r="O876" s="14" t="str">
        <f t="shared" si="132"/>
        <v>2023</v>
      </c>
      <c r="P876" s="11" t="s">
        <v>830</v>
      </c>
      <c r="Q876" s="11" t="s">
        <v>121</v>
      </c>
      <c r="R876" s="11">
        <v>14</v>
      </c>
      <c r="S876" s="11" t="str">
        <f t="shared" si="133"/>
        <v>13 - 16 yrs</v>
      </c>
      <c r="T876" s="12">
        <v>167.3</v>
      </c>
      <c r="U876" s="11" t="str">
        <f t="shared" si="126"/>
        <v>(151 - 200)</v>
      </c>
      <c r="V876" s="12">
        <f t="shared" si="127"/>
        <v>8.0237154150197618</v>
      </c>
      <c r="W876" s="12">
        <f t="shared" si="128"/>
        <v>67.20443349753694</v>
      </c>
      <c r="X876" s="12">
        <f t="shared" si="129"/>
        <v>0.41206896551724143</v>
      </c>
    </row>
    <row r="877" spans="1:24">
      <c r="A877" s="11">
        <v>876</v>
      </c>
      <c r="B877" s="11" t="s">
        <v>2184</v>
      </c>
      <c r="C877" s="11" t="s">
        <v>32</v>
      </c>
      <c r="D877" s="11" t="s">
        <v>17</v>
      </c>
      <c r="E877" s="12">
        <v>4.8</v>
      </c>
      <c r="F877" s="11" t="s">
        <v>62</v>
      </c>
      <c r="G877" s="11" t="str">
        <f t="shared" si="125"/>
        <v>kWh</v>
      </c>
      <c r="H877" s="13">
        <v>277</v>
      </c>
      <c r="I877" s="11" t="s">
        <v>19</v>
      </c>
      <c r="J877" s="12">
        <v>82021</v>
      </c>
      <c r="K877" s="12" t="str">
        <f t="shared" si="130"/>
        <v>High</v>
      </c>
      <c r="L877" s="11" t="s">
        <v>20</v>
      </c>
      <c r="M877" s="14">
        <v>45531</v>
      </c>
      <c r="N877" s="14" t="str">
        <f t="shared" si="131"/>
        <v>27/08/2024</v>
      </c>
      <c r="O877" s="14" t="str">
        <f t="shared" si="132"/>
        <v>2024</v>
      </c>
      <c r="P877" s="11" t="s">
        <v>786</v>
      </c>
      <c r="Q877" s="11" t="s">
        <v>117</v>
      </c>
      <c r="R877" s="11">
        <v>6</v>
      </c>
      <c r="S877" s="11" t="str">
        <f t="shared" si="133"/>
        <v>5 - 8 yrs</v>
      </c>
      <c r="T877" s="12">
        <v>15.9</v>
      </c>
      <c r="U877" s="11" t="str">
        <f t="shared" si="126"/>
        <v>(0 - 50)</v>
      </c>
      <c r="V877" s="12">
        <f t="shared" si="127"/>
        <v>57.708333333333336</v>
      </c>
      <c r="W877" s="12">
        <f t="shared" si="128"/>
        <v>296.10469314079421</v>
      </c>
      <c r="X877" s="12">
        <f t="shared" si="129"/>
        <v>5.7400722021660654E-2</v>
      </c>
    </row>
    <row r="878" spans="1:24">
      <c r="A878" s="11">
        <v>877</v>
      </c>
      <c r="B878" s="11" t="s">
        <v>2185</v>
      </c>
      <c r="C878" s="11" t="s">
        <v>16</v>
      </c>
      <c r="D878" s="11" t="s">
        <v>114</v>
      </c>
      <c r="E878" s="12">
        <v>24.5</v>
      </c>
      <c r="F878" s="11" t="s">
        <v>41</v>
      </c>
      <c r="G878" s="11" t="str">
        <f t="shared" si="125"/>
        <v>Litres</v>
      </c>
      <c r="H878" s="13">
        <v>49</v>
      </c>
      <c r="I878" s="11" t="s">
        <v>19</v>
      </c>
      <c r="J878" s="12">
        <v>59014</v>
      </c>
      <c r="K878" s="12" t="str">
        <f t="shared" si="130"/>
        <v>Moderate</v>
      </c>
      <c r="L878" s="11" t="s">
        <v>20</v>
      </c>
      <c r="M878" s="14">
        <v>45456</v>
      </c>
      <c r="N878" s="14" t="str">
        <f t="shared" si="131"/>
        <v>13/06/2024</v>
      </c>
      <c r="O878" s="14" t="str">
        <f t="shared" si="132"/>
        <v>2024</v>
      </c>
      <c r="P878" s="11" t="s">
        <v>2187</v>
      </c>
      <c r="Q878" s="11" t="s">
        <v>54</v>
      </c>
      <c r="R878" s="11">
        <v>4</v>
      </c>
      <c r="S878" s="11" t="str">
        <f t="shared" si="133"/>
        <v>0 - 4 yrs</v>
      </c>
      <c r="T878" s="12">
        <v>71.400000000000006</v>
      </c>
      <c r="U878" s="11" t="str">
        <f t="shared" si="126"/>
        <v>(51 - 100)</v>
      </c>
      <c r="V878" s="12">
        <f t="shared" si="127"/>
        <v>2</v>
      </c>
      <c r="W878" s="12">
        <f t="shared" si="128"/>
        <v>1204.3673469387754</v>
      </c>
      <c r="X878" s="12">
        <f t="shared" si="129"/>
        <v>1.4571428571428573</v>
      </c>
    </row>
    <row r="879" spans="1:24">
      <c r="A879" s="11">
        <v>878</v>
      </c>
      <c r="B879" s="11" t="s">
        <v>2623</v>
      </c>
      <c r="C879" s="11" t="s">
        <v>32</v>
      </c>
      <c r="D879" s="11" t="s">
        <v>17</v>
      </c>
      <c r="E879" s="12">
        <v>57.3</v>
      </c>
      <c r="F879" s="11" t="s">
        <v>26</v>
      </c>
      <c r="G879" s="11" t="str">
        <f t="shared" si="125"/>
        <v>Litres</v>
      </c>
      <c r="H879" s="13">
        <v>446</v>
      </c>
      <c r="I879" s="11" t="s">
        <v>19</v>
      </c>
      <c r="J879" s="12">
        <v>116956</v>
      </c>
      <c r="K879" s="12" t="str">
        <f t="shared" si="130"/>
        <v>Extreme</v>
      </c>
      <c r="L879" s="11" t="s">
        <v>20</v>
      </c>
      <c r="M879" s="14">
        <v>45485</v>
      </c>
      <c r="N879" s="14" t="str">
        <f t="shared" si="131"/>
        <v>12/07/2024</v>
      </c>
      <c r="O879" s="14" t="str">
        <f t="shared" si="132"/>
        <v>2024</v>
      </c>
      <c r="P879" s="11" t="s">
        <v>447</v>
      </c>
      <c r="Q879" s="11" t="s">
        <v>112</v>
      </c>
      <c r="R879" s="11">
        <v>2</v>
      </c>
      <c r="S879" s="11" t="str">
        <f t="shared" si="133"/>
        <v>0 - 4 yrs</v>
      </c>
      <c r="T879" s="12">
        <v>181.4</v>
      </c>
      <c r="U879" s="11" t="str">
        <f t="shared" si="126"/>
        <v>(151 - 200)</v>
      </c>
      <c r="V879" s="12">
        <f t="shared" si="127"/>
        <v>7.7835951134380457</v>
      </c>
      <c r="W879" s="12">
        <f t="shared" si="128"/>
        <v>262.23318385650225</v>
      </c>
      <c r="X879" s="12">
        <f t="shared" si="129"/>
        <v>0.40672645739910313</v>
      </c>
    </row>
    <row r="880" spans="1:24">
      <c r="A880" s="11">
        <v>879</v>
      </c>
      <c r="B880" s="11" t="s">
        <v>2190</v>
      </c>
      <c r="C880" s="11" t="s">
        <v>50</v>
      </c>
      <c r="D880" s="11" t="s">
        <v>17</v>
      </c>
      <c r="E880" s="12">
        <v>60.1</v>
      </c>
      <c r="F880" s="11" t="s">
        <v>62</v>
      </c>
      <c r="G880" s="11" t="str">
        <f t="shared" si="125"/>
        <v>kWh</v>
      </c>
      <c r="H880" s="13">
        <v>321</v>
      </c>
      <c r="I880" s="11" t="s">
        <v>19</v>
      </c>
      <c r="J880" s="12">
        <v>22907</v>
      </c>
      <c r="K880" s="12" t="str">
        <f t="shared" si="130"/>
        <v>Low</v>
      </c>
      <c r="L880" s="11" t="s">
        <v>20</v>
      </c>
      <c r="M880" s="14">
        <v>45244</v>
      </c>
      <c r="N880" s="14" t="str">
        <f t="shared" si="131"/>
        <v>14/11/2023</v>
      </c>
      <c r="O880" s="14" t="str">
        <f t="shared" si="132"/>
        <v>2023</v>
      </c>
      <c r="P880" s="11" t="s">
        <v>2192</v>
      </c>
      <c r="Q880" s="11" t="s">
        <v>54</v>
      </c>
      <c r="R880" s="11">
        <v>6</v>
      </c>
      <c r="S880" s="11" t="str">
        <f t="shared" si="133"/>
        <v>5 - 8 yrs</v>
      </c>
      <c r="T880" s="12">
        <v>139.30000000000001</v>
      </c>
      <c r="U880" s="11" t="str">
        <f t="shared" si="126"/>
        <v>(101 - 150)</v>
      </c>
      <c r="V880" s="12">
        <f t="shared" si="127"/>
        <v>5.3410981697171378</v>
      </c>
      <c r="W880" s="12">
        <f t="shared" si="128"/>
        <v>71.361370716510905</v>
      </c>
      <c r="X880" s="12">
        <f t="shared" si="129"/>
        <v>0.43395638629283495</v>
      </c>
    </row>
    <row r="881" spans="1:24">
      <c r="A881" s="11">
        <v>880</v>
      </c>
      <c r="B881" s="11" t="s">
        <v>2193</v>
      </c>
      <c r="C881" s="11" t="s">
        <v>32</v>
      </c>
      <c r="D881" s="11" t="s">
        <v>33</v>
      </c>
      <c r="E881" s="12">
        <v>57.8</v>
      </c>
      <c r="F881" s="11" t="s">
        <v>2643</v>
      </c>
      <c r="G881" s="11" t="str">
        <f t="shared" si="125"/>
        <v>Litres</v>
      </c>
      <c r="H881" s="13">
        <v>684</v>
      </c>
      <c r="I881" s="11" t="s">
        <v>19</v>
      </c>
      <c r="J881" s="12">
        <v>28385</v>
      </c>
      <c r="K881" s="12" t="str">
        <f t="shared" si="130"/>
        <v>Low</v>
      </c>
      <c r="L881" s="11" t="s">
        <v>20</v>
      </c>
      <c r="M881" s="14">
        <v>45342</v>
      </c>
      <c r="N881" s="14" t="str">
        <f t="shared" si="131"/>
        <v>20/02/2024</v>
      </c>
      <c r="O881" s="14" t="str">
        <f t="shared" si="132"/>
        <v>2024</v>
      </c>
      <c r="P881" s="11" t="s">
        <v>2195</v>
      </c>
      <c r="Q881" s="11" t="s">
        <v>69</v>
      </c>
      <c r="R881" s="11">
        <v>15</v>
      </c>
      <c r="S881" s="11" t="str">
        <f t="shared" si="133"/>
        <v>13 - 16 yrs</v>
      </c>
      <c r="T881" s="12">
        <v>190.3</v>
      </c>
      <c r="U881" s="11" t="str">
        <f t="shared" si="126"/>
        <v>(151 - 200)</v>
      </c>
      <c r="V881" s="12">
        <f t="shared" si="127"/>
        <v>11.833910034602077</v>
      </c>
      <c r="W881" s="12">
        <f t="shared" si="128"/>
        <v>41.498538011695906</v>
      </c>
      <c r="X881" s="12">
        <f t="shared" si="129"/>
        <v>0.27821637426900586</v>
      </c>
    </row>
    <row r="882" spans="1:24">
      <c r="A882" s="11">
        <v>881</v>
      </c>
      <c r="B882" s="11" t="s">
        <v>1107</v>
      </c>
      <c r="C882" s="11" t="s">
        <v>32</v>
      </c>
      <c r="D882" s="11" t="s">
        <v>17</v>
      </c>
      <c r="E882" s="12">
        <v>56.1</v>
      </c>
      <c r="F882" s="11" t="s">
        <v>62</v>
      </c>
      <c r="G882" s="11" t="str">
        <f t="shared" si="125"/>
        <v>kWh</v>
      </c>
      <c r="H882" s="13">
        <v>492</v>
      </c>
      <c r="I882" s="11" t="s">
        <v>19</v>
      </c>
      <c r="J882" s="12">
        <v>32701</v>
      </c>
      <c r="K882" s="12" t="str">
        <f t="shared" si="130"/>
        <v>Low</v>
      </c>
      <c r="L882" s="11" t="s">
        <v>20</v>
      </c>
      <c r="M882" s="14">
        <v>45160</v>
      </c>
      <c r="N882" s="14" t="str">
        <f t="shared" si="131"/>
        <v>22/08/2023</v>
      </c>
      <c r="O882" s="14" t="str">
        <f t="shared" si="132"/>
        <v>2023</v>
      </c>
      <c r="P882" s="11" t="s">
        <v>1863</v>
      </c>
      <c r="Q882" s="11" t="s">
        <v>69</v>
      </c>
      <c r="R882" s="11">
        <v>6</v>
      </c>
      <c r="S882" s="11" t="str">
        <f t="shared" si="133"/>
        <v>5 - 8 yrs</v>
      </c>
      <c r="T882" s="12">
        <v>173.7</v>
      </c>
      <c r="U882" s="11" t="str">
        <f t="shared" si="126"/>
        <v>(151 - 200)</v>
      </c>
      <c r="V882" s="12">
        <f t="shared" si="127"/>
        <v>8.7700534759358284</v>
      </c>
      <c r="W882" s="12">
        <f t="shared" si="128"/>
        <v>66.465447154471548</v>
      </c>
      <c r="X882" s="12">
        <f t="shared" si="129"/>
        <v>0.35304878048780486</v>
      </c>
    </row>
    <row r="883" spans="1:24">
      <c r="A883" s="11">
        <v>882</v>
      </c>
      <c r="B883" s="11" t="s">
        <v>2197</v>
      </c>
      <c r="C883" s="11" t="s">
        <v>32</v>
      </c>
      <c r="D883" s="11" t="s">
        <v>17</v>
      </c>
      <c r="E883" s="12">
        <v>60.1</v>
      </c>
      <c r="F883" s="11" t="s">
        <v>56</v>
      </c>
      <c r="G883" s="11" t="str">
        <f t="shared" si="125"/>
        <v>Litres</v>
      </c>
      <c r="H883" s="13">
        <v>689</v>
      </c>
      <c r="I883" s="11" t="s">
        <v>19</v>
      </c>
      <c r="J883" s="12">
        <v>92242</v>
      </c>
      <c r="K883" s="12" t="str">
        <f t="shared" si="130"/>
        <v>Very High</v>
      </c>
      <c r="L883" s="11" t="s">
        <v>20</v>
      </c>
      <c r="M883" s="14">
        <v>45216</v>
      </c>
      <c r="N883" s="14" t="str">
        <f t="shared" si="131"/>
        <v>17/10/2023</v>
      </c>
      <c r="O883" s="14" t="str">
        <f t="shared" si="132"/>
        <v>2023</v>
      </c>
      <c r="P883" s="11" t="s">
        <v>712</v>
      </c>
      <c r="Q883" s="11" t="s">
        <v>121</v>
      </c>
      <c r="R883" s="11">
        <v>3</v>
      </c>
      <c r="S883" s="11" t="str">
        <f t="shared" si="133"/>
        <v>0 - 4 yrs</v>
      </c>
      <c r="T883" s="12">
        <v>150.30000000000001</v>
      </c>
      <c r="U883" s="11" t="str">
        <f t="shared" si="126"/>
        <v>(151 - 200)</v>
      </c>
      <c r="V883" s="12">
        <f t="shared" si="127"/>
        <v>11.464226289517471</v>
      </c>
      <c r="W883" s="12">
        <f t="shared" si="128"/>
        <v>133.87808417997098</v>
      </c>
      <c r="X883" s="12">
        <f t="shared" si="129"/>
        <v>0.21814223512336722</v>
      </c>
    </row>
    <row r="884" spans="1:24">
      <c r="A884" s="11">
        <v>883</v>
      </c>
      <c r="B884" s="11" t="s">
        <v>2199</v>
      </c>
      <c r="C884" s="11" t="s">
        <v>32</v>
      </c>
      <c r="D884" s="11" t="s">
        <v>61</v>
      </c>
      <c r="E884" s="12">
        <v>10</v>
      </c>
      <c r="F884" s="11" t="s">
        <v>41</v>
      </c>
      <c r="G884" s="11" t="str">
        <f t="shared" si="125"/>
        <v>Litres</v>
      </c>
      <c r="H884" s="13">
        <v>345</v>
      </c>
      <c r="I884" s="11" t="s">
        <v>19</v>
      </c>
      <c r="J884" s="12">
        <v>80055</v>
      </c>
      <c r="K884" s="12" t="str">
        <f t="shared" si="130"/>
        <v>High</v>
      </c>
      <c r="L884" s="11" t="s">
        <v>20</v>
      </c>
      <c r="M884" s="14">
        <v>44980</v>
      </c>
      <c r="N884" s="14" t="str">
        <f t="shared" si="131"/>
        <v>23/02/2023</v>
      </c>
      <c r="O884" s="14" t="str">
        <f t="shared" si="132"/>
        <v>2023</v>
      </c>
      <c r="P884" s="11" t="s">
        <v>1497</v>
      </c>
      <c r="Q884" s="11" t="s">
        <v>121</v>
      </c>
      <c r="R884" s="11">
        <v>7</v>
      </c>
      <c r="S884" s="11" t="str">
        <f t="shared" si="133"/>
        <v>5 - 8 yrs</v>
      </c>
      <c r="T884" s="12">
        <v>0</v>
      </c>
      <c r="U884" s="11" t="str">
        <f t="shared" si="126"/>
        <v>(0 - 50)</v>
      </c>
      <c r="V884" s="12">
        <f t="shared" si="127"/>
        <v>34.5</v>
      </c>
      <c r="W884" s="12">
        <f t="shared" si="128"/>
        <v>232.04347826086956</v>
      </c>
      <c r="X884" s="12">
        <f t="shared" si="129"/>
        <v>0</v>
      </c>
    </row>
    <row r="885" spans="1:24">
      <c r="A885" s="11">
        <v>884</v>
      </c>
      <c r="B885" s="11" t="s">
        <v>165</v>
      </c>
      <c r="C885" s="11" t="s">
        <v>16</v>
      </c>
      <c r="D885" s="11" t="s">
        <v>33</v>
      </c>
      <c r="E885" s="12">
        <v>32.6</v>
      </c>
      <c r="F885" s="11" t="s">
        <v>41</v>
      </c>
      <c r="G885" s="11" t="str">
        <f t="shared" si="125"/>
        <v>Litres</v>
      </c>
      <c r="H885" s="13">
        <v>226</v>
      </c>
      <c r="I885" s="11" t="s">
        <v>19</v>
      </c>
      <c r="J885" s="12">
        <v>30729</v>
      </c>
      <c r="K885" s="12" t="str">
        <f t="shared" si="130"/>
        <v>Low</v>
      </c>
      <c r="L885" s="11" t="s">
        <v>20</v>
      </c>
      <c r="M885" s="14">
        <v>45546</v>
      </c>
      <c r="N885" s="14" t="str">
        <f t="shared" si="131"/>
        <v>11/09/2024</v>
      </c>
      <c r="O885" s="14" t="str">
        <f t="shared" si="132"/>
        <v>2024</v>
      </c>
      <c r="P885" s="11" t="s">
        <v>908</v>
      </c>
      <c r="Q885" s="11" t="s">
        <v>59</v>
      </c>
      <c r="R885" s="11">
        <v>2</v>
      </c>
      <c r="S885" s="11" t="str">
        <f t="shared" si="133"/>
        <v>0 - 4 yrs</v>
      </c>
      <c r="T885" s="12">
        <v>94.7</v>
      </c>
      <c r="U885" s="11" t="str">
        <f t="shared" si="126"/>
        <v>(51 - 100)</v>
      </c>
      <c r="V885" s="12">
        <f t="shared" si="127"/>
        <v>6.9325153374233128</v>
      </c>
      <c r="W885" s="12">
        <f t="shared" si="128"/>
        <v>135.96902654867256</v>
      </c>
      <c r="X885" s="12">
        <f t="shared" si="129"/>
        <v>0.41902654867256639</v>
      </c>
    </row>
    <row r="886" spans="1:24">
      <c r="A886" s="11">
        <v>885</v>
      </c>
      <c r="B886" s="11" t="s">
        <v>2201</v>
      </c>
      <c r="C886" s="11" t="s">
        <v>32</v>
      </c>
      <c r="D886" s="11" t="s">
        <v>33</v>
      </c>
      <c r="E886" s="12">
        <v>39.200000000000003</v>
      </c>
      <c r="F886" s="11" t="s">
        <v>41</v>
      </c>
      <c r="G886" s="11" t="str">
        <f t="shared" si="125"/>
        <v>Litres</v>
      </c>
      <c r="H886" s="13">
        <v>656</v>
      </c>
      <c r="I886" s="11" t="s">
        <v>19</v>
      </c>
      <c r="J886" s="12">
        <v>68507</v>
      </c>
      <c r="K886" s="12" t="str">
        <f t="shared" si="130"/>
        <v>Moderate</v>
      </c>
      <c r="L886" s="11" t="s">
        <v>20</v>
      </c>
      <c r="M886" s="14">
        <v>45608</v>
      </c>
      <c r="N886" s="14" t="str">
        <f t="shared" si="131"/>
        <v>12/11/2024</v>
      </c>
      <c r="O886" s="14" t="str">
        <f t="shared" si="132"/>
        <v>2024</v>
      </c>
      <c r="P886" s="11" t="s">
        <v>1415</v>
      </c>
      <c r="Q886" s="11" t="s">
        <v>121</v>
      </c>
      <c r="R886" s="11">
        <v>12</v>
      </c>
      <c r="S886" s="11" t="str">
        <f t="shared" si="133"/>
        <v>9 - 12 yrs</v>
      </c>
      <c r="T886" s="12">
        <v>97.1</v>
      </c>
      <c r="U886" s="11" t="str">
        <f t="shared" si="126"/>
        <v>(51 - 100)</v>
      </c>
      <c r="V886" s="12">
        <f t="shared" si="127"/>
        <v>16.73469387755102</v>
      </c>
      <c r="W886" s="12">
        <f t="shared" si="128"/>
        <v>104.4314024390244</v>
      </c>
      <c r="X886" s="12">
        <f t="shared" si="129"/>
        <v>0.14801829268292682</v>
      </c>
    </row>
    <row r="887" spans="1:24">
      <c r="A887" s="11">
        <v>886</v>
      </c>
      <c r="B887" s="11" t="s">
        <v>2624</v>
      </c>
      <c r="C887" s="11" t="s">
        <v>50</v>
      </c>
      <c r="D887" s="11" t="s">
        <v>114</v>
      </c>
      <c r="E887" s="12">
        <v>9.1999999999999993</v>
      </c>
      <c r="F887" s="11" t="s">
        <v>56</v>
      </c>
      <c r="G887" s="11" t="str">
        <f t="shared" si="125"/>
        <v>Litres</v>
      </c>
      <c r="H887" s="13">
        <v>439</v>
      </c>
      <c r="I887" s="11" t="s">
        <v>19</v>
      </c>
      <c r="J887" s="12">
        <v>106857</v>
      </c>
      <c r="K887" s="12" t="str">
        <f t="shared" si="130"/>
        <v>Very High</v>
      </c>
      <c r="L887" s="11" t="s">
        <v>20</v>
      </c>
      <c r="M887" s="14">
        <v>44986</v>
      </c>
      <c r="N887" s="14" t="str">
        <f t="shared" si="131"/>
        <v>01/03/2023</v>
      </c>
      <c r="O887" s="14" t="str">
        <f t="shared" si="132"/>
        <v>2023</v>
      </c>
      <c r="P887" s="11" t="s">
        <v>1013</v>
      </c>
      <c r="Q887" s="11" t="s">
        <v>441</v>
      </c>
      <c r="R887" s="11">
        <v>5</v>
      </c>
      <c r="S887" s="11" t="str">
        <f t="shared" si="133"/>
        <v>5 - 8 yrs</v>
      </c>
      <c r="T887" s="12">
        <v>25.7</v>
      </c>
      <c r="U887" s="11" t="str">
        <f t="shared" si="126"/>
        <v>(0 - 50)</v>
      </c>
      <c r="V887" s="12">
        <f t="shared" si="127"/>
        <v>47.717391304347828</v>
      </c>
      <c r="W887" s="12">
        <f t="shared" si="128"/>
        <v>243.41002277904329</v>
      </c>
      <c r="X887" s="12">
        <f t="shared" si="129"/>
        <v>5.8542141230068338E-2</v>
      </c>
    </row>
    <row r="888" spans="1:24">
      <c r="A888" s="11">
        <v>887</v>
      </c>
      <c r="B888" s="11" t="s">
        <v>1292</v>
      </c>
      <c r="C888" s="11" t="s">
        <v>16</v>
      </c>
      <c r="D888" s="11" t="s">
        <v>33</v>
      </c>
      <c r="E888" s="12">
        <v>95.7</v>
      </c>
      <c r="F888" s="11" t="s">
        <v>26</v>
      </c>
      <c r="G888" s="11" t="str">
        <f t="shared" si="125"/>
        <v>Litres</v>
      </c>
      <c r="H888" s="13">
        <v>478</v>
      </c>
      <c r="I888" s="11" t="s">
        <v>19</v>
      </c>
      <c r="J888" s="12">
        <v>42117</v>
      </c>
      <c r="K888" s="12" t="str">
        <f t="shared" si="130"/>
        <v>Medium</v>
      </c>
      <c r="L888" s="11" t="s">
        <v>20</v>
      </c>
      <c r="M888" s="14">
        <v>45463</v>
      </c>
      <c r="N888" s="14" t="str">
        <f t="shared" si="131"/>
        <v>20/06/2024</v>
      </c>
      <c r="O888" s="14" t="str">
        <f t="shared" si="132"/>
        <v>2024</v>
      </c>
      <c r="P888" s="11" t="s">
        <v>1581</v>
      </c>
      <c r="Q888" s="11" t="s">
        <v>121</v>
      </c>
      <c r="R888" s="11">
        <v>19</v>
      </c>
      <c r="S888" s="11" t="str">
        <f t="shared" si="133"/>
        <v>17 + yrs</v>
      </c>
      <c r="T888" s="12">
        <v>213.3</v>
      </c>
      <c r="U888" s="11" t="str">
        <f t="shared" si="126"/>
        <v>(201 - 250)</v>
      </c>
      <c r="V888" s="12">
        <f t="shared" si="127"/>
        <v>4.994775339602926</v>
      </c>
      <c r="W888" s="12">
        <f t="shared" si="128"/>
        <v>88.110878661087867</v>
      </c>
      <c r="X888" s="12">
        <f t="shared" si="129"/>
        <v>0.44623430962343097</v>
      </c>
    </row>
    <row r="889" spans="1:24">
      <c r="A889" s="11">
        <v>888</v>
      </c>
      <c r="B889" s="11" t="s">
        <v>2206</v>
      </c>
      <c r="C889" s="11" t="s">
        <v>39</v>
      </c>
      <c r="D889" s="11" t="s">
        <v>17</v>
      </c>
      <c r="E889" s="12">
        <v>91.4</v>
      </c>
      <c r="F889" s="11" t="s">
        <v>56</v>
      </c>
      <c r="G889" s="11" t="str">
        <f t="shared" si="125"/>
        <v>Litres</v>
      </c>
      <c r="H889" s="13">
        <v>213</v>
      </c>
      <c r="I889" s="11" t="s">
        <v>19</v>
      </c>
      <c r="J889" s="12">
        <v>44363</v>
      </c>
      <c r="K889" s="12" t="str">
        <f t="shared" si="130"/>
        <v>Medium</v>
      </c>
      <c r="L889" s="11" t="s">
        <v>20</v>
      </c>
      <c r="M889" s="14">
        <v>45316</v>
      </c>
      <c r="N889" s="14" t="str">
        <f t="shared" si="131"/>
        <v>25/01/2024</v>
      </c>
      <c r="O889" s="14" t="str">
        <f t="shared" si="132"/>
        <v>2024</v>
      </c>
      <c r="P889" s="11" t="s">
        <v>2208</v>
      </c>
      <c r="Q889" s="11" t="s">
        <v>2648</v>
      </c>
      <c r="R889" s="11">
        <v>8</v>
      </c>
      <c r="S889" s="11" t="str">
        <f t="shared" si="133"/>
        <v>5 - 8 yrs</v>
      </c>
      <c r="T889" s="12">
        <v>203.6</v>
      </c>
      <c r="U889" s="11" t="str">
        <f t="shared" si="126"/>
        <v>(201 - 250)</v>
      </c>
      <c r="V889" s="12">
        <f t="shared" si="127"/>
        <v>2.3304157549234135</v>
      </c>
      <c r="W889" s="12">
        <f t="shared" si="128"/>
        <v>208.27699530516432</v>
      </c>
      <c r="X889" s="12">
        <f t="shared" si="129"/>
        <v>0.95586854460093895</v>
      </c>
    </row>
    <row r="890" spans="1:24">
      <c r="A890" s="11">
        <v>889</v>
      </c>
      <c r="B890" s="11" t="s">
        <v>2209</v>
      </c>
      <c r="C890" s="11" t="s">
        <v>50</v>
      </c>
      <c r="D890" s="11" t="s">
        <v>17</v>
      </c>
      <c r="E890" s="12">
        <v>24</v>
      </c>
      <c r="F890" s="11" t="s">
        <v>26</v>
      </c>
      <c r="G890" s="11" t="str">
        <f t="shared" si="125"/>
        <v>Litres</v>
      </c>
      <c r="H890" s="13">
        <v>489</v>
      </c>
      <c r="I890" s="11" t="s">
        <v>19</v>
      </c>
      <c r="J890" s="12">
        <v>54376</v>
      </c>
      <c r="K890" s="12" t="str">
        <f t="shared" si="130"/>
        <v>Moderate</v>
      </c>
      <c r="L890" s="11" t="s">
        <v>20</v>
      </c>
      <c r="M890" s="14">
        <v>45172</v>
      </c>
      <c r="N890" s="14" t="str">
        <f t="shared" si="131"/>
        <v>03/09/2023</v>
      </c>
      <c r="O890" s="14" t="str">
        <f t="shared" si="132"/>
        <v>2023</v>
      </c>
      <c r="P890" s="11" t="s">
        <v>2211</v>
      </c>
      <c r="Q890" s="11" t="s">
        <v>86</v>
      </c>
      <c r="R890" s="11">
        <v>12</v>
      </c>
      <c r="S890" s="11" t="str">
        <f t="shared" si="133"/>
        <v>9 - 12 yrs</v>
      </c>
      <c r="T890" s="12">
        <v>78.3</v>
      </c>
      <c r="U890" s="11" t="str">
        <f t="shared" si="126"/>
        <v>(51 - 100)</v>
      </c>
      <c r="V890" s="12">
        <f t="shared" si="127"/>
        <v>20.375</v>
      </c>
      <c r="W890" s="12">
        <f t="shared" si="128"/>
        <v>111.19836400817996</v>
      </c>
      <c r="X890" s="12">
        <f t="shared" si="129"/>
        <v>0.16012269938650306</v>
      </c>
    </row>
    <row r="891" spans="1:24">
      <c r="A891" s="11">
        <v>890</v>
      </c>
      <c r="B891" s="11" t="s">
        <v>2212</v>
      </c>
      <c r="C891" s="11" t="s">
        <v>16</v>
      </c>
      <c r="D891" s="11" t="s">
        <v>114</v>
      </c>
      <c r="E891" s="12">
        <v>32.5</v>
      </c>
      <c r="F891" s="11" t="s">
        <v>41</v>
      </c>
      <c r="G891" s="11" t="str">
        <f t="shared" si="125"/>
        <v>Litres</v>
      </c>
      <c r="H891" s="13">
        <v>443</v>
      </c>
      <c r="I891" s="11" t="s">
        <v>19</v>
      </c>
      <c r="J891" s="12">
        <v>87561</v>
      </c>
      <c r="K891" s="12" t="str">
        <f t="shared" si="130"/>
        <v>High</v>
      </c>
      <c r="L891" s="11" t="s">
        <v>20</v>
      </c>
      <c r="M891" s="14">
        <v>45825</v>
      </c>
      <c r="N891" s="14" t="str">
        <f t="shared" si="131"/>
        <v>17/06/2025</v>
      </c>
      <c r="O891" s="14" t="str">
        <f t="shared" si="132"/>
        <v>2025</v>
      </c>
      <c r="P891" s="11" t="s">
        <v>392</v>
      </c>
      <c r="Q891" s="11" t="s">
        <v>48</v>
      </c>
      <c r="R891" s="11">
        <v>6</v>
      </c>
      <c r="S891" s="11" t="str">
        <f t="shared" si="133"/>
        <v>5 - 8 yrs</v>
      </c>
      <c r="T891" s="12">
        <v>106.2</v>
      </c>
      <c r="U891" s="11" t="str">
        <f t="shared" si="126"/>
        <v>(101 - 150)</v>
      </c>
      <c r="V891" s="12">
        <f t="shared" si="127"/>
        <v>13.63076923076923</v>
      </c>
      <c r="W891" s="12">
        <f t="shared" si="128"/>
        <v>197.65462753950339</v>
      </c>
      <c r="X891" s="12">
        <f t="shared" si="129"/>
        <v>0.2397291196388262</v>
      </c>
    </row>
    <row r="892" spans="1:24" hidden="1">
      <c r="A892" s="11">
        <v>891</v>
      </c>
      <c r="B892" s="11" t="s">
        <v>2214</v>
      </c>
      <c r="C892" s="11" t="s">
        <v>50</v>
      </c>
      <c r="D892" s="11" t="s">
        <v>61</v>
      </c>
      <c r="E892" s="12">
        <v>0</v>
      </c>
      <c r="F892" s="11" t="s">
        <v>62</v>
      </c>
      <c r="G892" s="11" t="str">
        <f t="shared" si="125"/>
        <v>kWh</v>
      </c>
      <c r="H892" s="13">
        <v>443</v>
      </c>
      <c r="I892" s="11" t="s">
        <v>19</v>
      </c>
      <c r="J892" s="12">
        <v>119185</v>
      </c>
      <c r="K892" s="12" t="str">
        <f t="shared" si="130"/>
        <v>Extreme</v>
      </c>
      <c r="L892" s="11" t="s">
        <v>20</v>
      </c>
      <c r="M892" s="14">
        <v>45576</v>
      </c>
      <c r="N892" s="14" t="str">
        <f t="shared" si="131"/>
        <v>11/10/2024</v>
      </c>
      <c r="O892" s="14" t="str">
        <f t="shared" si="132"/>
        <v>2024</v>
      </c>
      <c r="P892" s="11" t="s">
        <v>1224</v>
      </c>
      <c r="Q892" s="11" t="s">
        <v>86</v>
      </c>
      <c r="R892" s="11">
        <v>16</v>
      </c>
      <c r="S892" s="11" t="str">
        <f t="shared" si="133"/>
        <v>13 - 16 yrs</v>
      </c>
      <c r="T892" s="11">
        <v>0</v>
      </c>
      <c r="U892" s="11"/>
      <c r="V892" s="3"/>
      <c r="W892" s="3"/>
      <c r="X892" s="3"/>
    </row>
    <row r="893" spans="1:24">
      <c r="A893" s="11">
        <v>892</v>
      </c>
      <c r="B893" s="11" t="s">
        <v>2215</v>
      </c>
      <c r="C893" s="11" t="s">
        <v>39</v>
      </c>
      <c r="D893" s="11" t="s">
        <v>17</v>
      </c>
      <c r="E893" s="12">
        <v>88.7</v>
      </c>
      <c r="F893" s="11" t="s">
        <v>41</v>
      </c>
      <c r="G893" s="11" t="str">
        <f t="shared" si="125"/>
        <v>Litres</v>
      </c>
      <c r="H893" s="13">
        <v>388</v>
      </c>
      <c r="I893" s="11" t="s">
        <v>19</v>
      </c>
      <c r="J893" s="12">
        <v>14951</v>
      </c>
      <c r="K893" s="12" t="str">
        <f t="shared" si="130"/>
        <v>Very Low</v>
      </c>
      <c r="L893" s="11" t="s">
        <v>20</v>
      </c>
      <c r="M893" s="14">
        <v>45600</v>
      </c>
      <c r="N893" s="14" t="str">
        <f t="shared" si="131"/>
        <v>04/11/2024</v>
      </c>
      <c r="O893" s="14" t="str">
        <f t="shared" si="132"/>
        <v>2024</v>
      </c>
      <c r="P893" s="11" t="s">
        <v>698</v>
      </c>
      <c r="Q893" s="11" t="s">
        <v>69</v>
      </c>
      <c r="R893" s="11">
        <v>14</v>
      </c>
      <c r="S893" s="11" t="str">
        <f t="shared" si="133"/>
        <v>13 - 16 yrs</v>
      </c>
      <c r="T893" s="12">
        <v>223.4</v>
      </c>
      <c r="U893" s="11" t="str">
        <f t="shared" ref="U893:U956" si="134">IF(T893&lt;=50,"(0 - 50)",IF(T893&lt;=100,"(51 - 100)",IF(T893&lt;=150,"(101 - 150)",IF(T893&lt;=200,"(151 - 200)",IF(T893&lt;=250,"(201 - 250)",IF(T893&lt;=300,"(251 - 300)","(301 - 350)"))))))</f>
        <v>(201 - 250)</v>
      </c>
      <c r="V893" s="12">
        <f t="shared" ref="V893:V956" si="135">H893/E893</f>
        <v>4.3742953776775648</v>
      </c>
      <c r="W893" s="12">
        <f t="shared" ref="W893:W956" si="136">J893/H893</f>
        <v>38.533505154639172</v>
      </c>
      <c r="X893" s="12">
        <f t="shared" ref="X893:X956" si="137">T893/H893</f>
        <v>0.57577319587628872</v>
      </c>
    </row>
    <row r="894" spans="1:24">
      <c r="A894" s="11">
        <v>893</v>
      </c>
      <c r="B894" s="11" t="s">
        <v>2625</v>
      </c>
      <c r="C894" s="11" t="s">
        <v>16</v>
      </c>
      <c r="D894" s="11" t="s">
        <v>33</v>
      </c>
      <c r="E894" s="12">
        <v>62.7</v>
      </c>
      <c r="F894" s="11" t="s">
        <v>62</v>
      </c>
      <c r="G894" s="11" t="str">
        <f t="shared" si="125"/>
        <v>kWh</v>
      </c>
      <c r="H894" s="13">
        <v>592</v>
      </c>
      <c r="I894" s="11" t="s">
        <v>19</v>
      </c>
      <c r="J894" s="12">
        <v>69569</v>
      </c>
      <c r="K894" s="12" t="str">
        <f t="shared" si="130"/>
        <v>Moderate</v>
      </c>
      <c r="L894" s="11" t="s">
        <v>20</v>
      </c>
      <c r="M894" s="14">
        <v>45709</v>
      </c>
      <c r="N894" s="14" t="str">
        <f t="shared" si="131"/>
        <v>21/02/2025</v>
      </c>
      <c r="O894" s="14" t="str">
        <f t="shared" si="132"/>
        <v>2025</v>
      </c>
      <c r="P894" s="11" t="s">
        <v>505</v>
      </c>
      <c r="Q894" s="11" t="s">
        <v>86</v>
      </c>
      <c r="R894" s="11">
        <v>5</v>
      </c>
      <c r="S894" s="11" t="str">
        <f t="shared" si="133"/>
        <v>5 - 8 yrs</v>
      </c>
      <c r="T894" s="12">
        <v>162.5</v>
      </c>
      <c r="U894" s="11" t="str">
        <f t="shared" si="134"/>
        <v>(151 - 200)</v>
      </c>
      <c r="V894" s="12">
        <f t="shared" si="135"/>
        <v>9.4417862838915472</v>
      </c>
      <c r="W894" s="12">
        <f t="shared" si="136"/>
        <v>117.51520270270271</v>
      </c>
      <c r="X894" s="12">
        <f t="shared" si="137"/>
        <v>0.27449324324324326</v>
      </c>
    </row>
    <row r="895" spans="1:24">
      <c r="A895" s="11">
        <v>894</v>
      </c>
      <c r="B895" s="11" t="s">
        <v>2218</v>
      </c>
      <c r="C895" s="11" t="s">
        <v>39</v>
      </c>
      <c r="D895" s="11" t="s">
        <v>33</v>
      </c>
      <c r="E895" s="12">
        <v>40.9</v>
      </c>
      <c r="F895" s="11" t="s">
        <v>56</v>
      </c>
      <c r="G895" s="11" t="str">
        <f t="shared" si="125"/>
        <v>Litres</v>
      </c>
      <c r="H895" s="13">
        <v>678</v>
      </c>
      <c r="I895" s="11" t="s">
        <v>19</v>
      </c>
      <c r="J895" s="12">
        <v>70195</v>
      </c>
      <c r="K895" s="12" t="str">
        <f t="shared" si="130"/>
        <v>Moderate</v>
      </c>
      <c r="L895" s="11" t="s">
        <v>20</v>
      </c>
      <c r="M895" s="14">
        <v>45113</v>
      </c>
      <c r="N895" s="14" t="str">
        <f t="shared" si="131"/>
        <v>06/07/2023</v>
      </c>
      <c r="O895" s="14" t="str">
        <f t="shared" si="132"/>
        <v>2023</v>
      </c>
      <c r="P895" s="11" t="s">
        <v>490</v>
      </c>
      <c r="Q895" s="11" t="s">
        <v>48</v>
      </c>
      <c r="R895" s="11">
        <v>16</v>
      </c>
      <c r="S895" s="11" t="str">
        <f t="shared" si="133"/>
        <v>13 - 16 yrs</v>
      </c>
      <c r="T895" s="12">
        <v>123.8</v>
      </c>
      <c r="U895" s="11" t="str">
        <f t="shared" si="134"/>
        <v>(101 - 150)</v>
      </c>
      <c r="V895" s="12">
        <f t="shared" si="135"/>
        <v>16.577017114914426</v>
      </c>
      <c r="W895" s="12">
        <f t="shared" si="136"/>
        <v>103.53244837758112</v>
      </c>
      <c r="X895" s="12">
        <f t="shared" si="137"/>
        <v>0.18259587020648968</v>
      </c>
    </row>
    <row r="896" spans="1:24">
      <c r="A896" s="11">
        <v>895</v>
      </c>
      <c r="B896" s="11" t="s">
        <v>2219</v>
      </c>
      <c r="C896" s="11" t="s">
        <v>32</v>
      </c>
      <c r="D896" s="11" t="s">
        <v>17</v>
      </c>
      <c r="E896" s="12">
        <v>43.3</v>
      </c>
      <c r="F896" s="11" t="s">
        <v>26</v>
      </c>
      <c r="G896" s="11" t="str">
        <f t="shared" si="125"/>
        <v>Litres</v>
      </c>
      <c r="H896" s="13">
        <v>492</v>
      </c>
      <c r="I896" s="11" t="s">
        <v>19</v>
      </c>
      <c r="J896" s="12">
        <v>78497</v>
      </c>
      <c r="K896" s="12" t="str">
        <f t="shared" si="130"/>
        <v>High</v>
      </c>
      <c r="L896" s="11" t="s">
        <v>20</v>
      </c>
      <c r="M896" s="14">
        <v>45307</v>
      </c>
      <c r="N896" s="14" t="str">
        <f t="shared" si="131"/>
        <v>16/01/2024</v>
      </c>
      <c r="O896" s="14" t="str">
        <f t="shared" si="132"/>
        <v>2024</v>
      </c>
      <c r="P896" s="11" t="s">
        <v>1488</v>
      </c>
      <c r="Q896" s="11" t="s">
        <v>69</v>
      </c>
      <c r="R896" s="11">
        <v>12</v>
      </c>
      <c r="S896" s="11" t="str">
        <f t="shared" si="133"/>
        <v>9 - 12 yrs</v>
      </c>
      <c r="T896" s="12">
        <v>132.19999999999999</v>
      </c>
      <c r="U896" s="11" t="str">
        <f t="shared" si="134"/>
        <v>(101 - 150)</v>
      </c>
      <c r="V896" s="12">
        <f t="shared" si="135"/>
        <v>11.362586605080832</v>
      </c>
      <c r="W896" s="12">
        <f t="shared" si="136"/>
        <v>159.54674796747966</v>
      </c>
      <c r="X896" s="12">
        <f t="shared" si="137"/>
        <v>0.2686991869918699</v>
      </c>
    </row>
    <row r="897" spans="1:24">
      <c r="A897" s="11">
        <v>896</v>
      </c>
      <c r="B897" s="11" t="s">
        <v>2221</v>
      </c>
      <c r="C897" s="11" t="s">
        <v>50</v>
      </c>
      <c r="D897" s="11" t="s">
        <v>33</v>
      </c>
      <c r="E897" s="12">
        <v>77.599999999999994</v>
      </c>
      <c r="F897" s="11" t="s">
        <v>41</v>
      </c>
      <c r="G897" s="11" t="str">
        <f t="shared" si="125"/>
        <v>Litres</v>
      </c>
      <c r="H897" s="13">
        <v>467</v>
      </c>
      <c r="I897" s="11" t="s">
        <v>19</v>
      </c>
      <c r="J897" s="12">
        <v>112337</v>
      </c>
      <c r="K897" s="12" t="str">
        <f t="shared" si="130"/>
        <v>Extreme</v>
      </c>
      <c r="L897" s="11" t="s">
        <v>20</v>
      </c>
      <c r="M897" s="14">
        <v>45581</v>
      </c>
      <c r="N897" s="14" t="str">
        <f t="shared" si="131"/>
        <v>16/10/2024</v>
      </c>
      <c r="O897" s="14" t="str">
        <f t="shared" si="132"/>
        <v>2024</v>
      </c>
      <c r="P897" s="11" t="s">
        <v>1602</v>
      </c>
      <c r="Q897" s="11" t="s">
        <v>441</v>
      </c>
      <c r="R897" s="11">
        <v>6</v>
      </c>
      <c r="S897" s="11" t="str">
        <f t="shared" si="133"/>
        <v>5 - 8 yrs</v>
      </c>
      <c r="T897" s="12">
        <v>155.6</v>
      </c>
      <c r="U897" s="11" t="str">
        <f t="shared" si="134"/>
        <v>(151 - 200)</v>
      </c>
      <c r="V897" s="12">
        <f t="shared" si="135"/>
        <v>6.0180412371134029</v>
      </c>
      <c r="W897" s="12">
        <f t="shared" si="136"/>
        <v>240.55032119914347</v>
      </c>
      <c r="X897" s="12">
        <f t="shared" si="137"/>
        <v>0.33319057815845821</v>
      </c>
    </row>
    <row r="898" spans="1:24">
      <c r="A898" s="11">
        <v>897</v>
      </c>
      <c r="B898" s="11" t="s">
        <v>2223</v>
      </c>
      <c r="C898" s="11" t="s">
        <v>16</v>
      </c>
      <c r="D898" s="11" t="s">
        <v>61</v>
      </c>
      <c r="E898" s="12">
        <v>10</v>
      </c>
      <c r="F898" s="11" t="s">
        <v>2643</v>
      </c>
      <c r="G898" s="11" t="str">
        <f t="shared" ref="G898:G961" si="138">IF(OR(F898="L",F898="ltrs",F898="liters"),"Litres",F898)</f>
        <v>Litres</v>
      </c>
      <c r="H898" s="13">
        <v>584</v>
      </c>
      <c r="I898" s="11" t="s">
        <v>19</v>
      </c>
      <c r="J898" s="12">
        <v>101491</v>
      </c>
      <c r="K898" s="12" t="str">
        <f t="shared" si="130"/>
        <v>Very High</v>
      </c>
      <c r="L898" s="11" t="s">
        <v>20</v>
      </c>
      <c r="M898" s="14">
        <v>44931</v>
      </c>
      <c r="N898" s="14" t="str">
        <f t="shared" si="131"/>
        <v>05/01/2023</v>
      </c>
      <c r="O898" s="14" t="str">
        <f t="shared" si="132"/>
        <v>2023</v>
      </c>
      <c r="P898" s="11" t="s">
        <v>1103</v>
      </c>
      <c r="Q898" s="11" t="s">
        <v>59</v>
      </c>
      <c r="R898" s="11">
        <v>14</v>
      </c>
      <c r="S898" s="11" t="str">
        <f t="shared" si="133"/>
        <v>13 - 16 yrs</v>
      </c>
      <c r="T898" s="12">
        <v>0</v>
      </c>
      <c r="U898" s="11" t="str">
        <f t="shared" si="134"/>
        <v>(0 - 50)</v>
      </c>
      <c r="V898" s="12">
        <f t="shared" si="135"/>
        <v>58.4</v>
      </c>
      <c r="W898" s="12">
        <f t="shared" si="136"/>
        <v>173.78595890410958</v>
      </c>
      <c r="X898" s="12">
        <f t="shared" si="137"/>
        <v>0</v>
      </c>
    </row>
    <row r="899" spans="1:24">
      <c r="A899" s="11">
        <v>898</v>
      </c>
      <c r="B899" s="11" t="s">
        <v>2225</v>
      </c>
      <c r="C899" s="11" t="s">
        <v>16</v>
      </c>
      <c r="D899" s="11" t="s">
        <v>17</v>
      </c>
      <c r="E899" s="12">
        <v>42.6</v>
      </c>
      <c r="F899" s="11" t="s">
        <v>56</v>
      </c>
      <c r="G899" s="11" t="str">
        <f t="shared" si="138"/>
        <v>Litres</v>
      </c>
      <c r="H899" s="13">
        <v>564</v>
      </c>
      <c r="I899" s="11" t="s">
        <v>19</v>
      </c>
      <c r="J899" s="12">
        <v>110264</v>
      </c>
      <c r="K899" s="12" t="str">
        <f t="shared" si="130"/>
        <v>Extreme</v>
      </c>
      <c r="L899" s="11" t="s">
        <v>20</v>
      </c>
      <c r="M899" s="14">
        <v>45594</v>
      </c>
      <c r="N899" s="14" t="str">
        <f t="shared" si="131"/>
        <v>29/10/2024</v>
      </c>
      <c r="O899" s="14" t="str">
        <f t="shared" si="132"/>
        <v>2024</v>
      </c>
      <c r="P899" s="11" t="s">
        <v>2227</v>
      </c>
      <c r="Q899" s="11" t="s">
        <v>121</v>
      </c>
      <c r="R899" s="11">
        <v>9</v>
      </c>
      <c r="S899" s="11" t="str">
        <f t="shared" si="133"/>
        <v>9 - 12 yrs</v>
      </c>
      <c r="T899" s="12">
        <v>117.3</v>
      </c>
      <c r="U899" s="11" t="str">
        <f t="shared" si="134"/>
        <v>(101 - 150)</v>
      </c>
      <c r="V899" s="12">
        <f t="shared" si="135"/>
        <v>13.23943661971831</v>
      </c>
      <c r="W899" s="12">
        <f t="shared" si="136"/>
        <v>195.50354609929079</v>
      </c>
      <c r="X899" s="12">
        <f t="shared" si="137"/>
        <v>0.20797872340425533</v>
      </c>
    </row>
    <row r="900" spans="1:24">
      <c r="A900" s="11">
        <v>899</v>
      </c>
      <c r="B900" s="11" t="s">
        <v>2569</v>
      </c>
      <c r="C900" s="11" t="s">
        <v>50</v>
      </c>
      <c r="D900" s="11" t="s">
        <v>114</v>
      </c>
      <c r="E900" s="12">
        <v>31.1</v>
      </c>
      <c r="F900" s="11" t="s">
        <v>41</v>
      </c>
      <c r="G900" s="11" t="str">
        <f t="shared" si="138"/>
        <v>Litres</v>
      </c>
      <c r="H900" s="13">
        <v>526</v>
      </c>
      <c r="I900" s="11" t="s">
        <v>19</v>
      </c>
      <c r="J900" s="12">
        <v>56712</v>
      </c>
      <c r="K900" s="12" t="str">
        <f t="shared" si="130"/>
        <v>Moderate</v>
      </c>
      <c r="L900" s="11" t="s">
        <v>20</v>
      </c>
      <c r="M900" s="14">
        <v>45016</v>
      </c>
      <c r="N900" s="14" t="str">
        <f t="shared" si="131"/>
        <v>31/03/2023</v>
      </c>
      <c r="O900" s="14" t="str">
        <f t="shared" si="132"/>
        <v>2023</v>
      </c>
      <c r="P900" s="11" t="s">
        <v>1618</v>
      </c>
      <c r="Q900" s="11" t="s">
        <v>54</v>
      </c>
      <c r="R900" s="11">
        <v>12</v>
      </c>
      <c r="S900" s="11" t="str">
        <f t="shared" si="133"/>
        <v>9 - 12 yrs</v>
      </c>
      <c r="T900" s="12">
        <v>79.8</v>
      </c>
      <c r="U900" s="11" t="str">
        <f t="shared" si="134"/>
        <v>(51 - 100)</v>
      </c>
      <c r="V900" s="12">
        <f t="shared" si="135"/>
        <v>16.913183279742764</v>
      </c>
      <c r="W900" s="12">
        <f t="shared" si="136"/>
        <v>107.81749049429658</v>
      </c>
      <c r="X900" s="12">
        <f t="shared" si="137"/>
        <v>0.15171102661596958</v>
      </c>
    </row>
    <row r="901" spans="1:24">
      <c r="A901" s="11">
        <v>900</v>
      </c>
      <c r="B901" s="11" t="s">
        <v>2228</v>
      </c>
      <c r="C901" s="11" t="s">
        <v>50</v>
      </c>
      <c r="D901" s="11" t="s">
        <v>17</v>
      </c>
      <c r="E901" s="12">
        <v>89.3</v>
      </c>
      <c r="F901" s="11" t="s">
        <v>62</v>
      </c>
      <c r="G901" s="11" t="str">
        <f t="shared" si="138"/>
        <v>kWh</v>
      </c>
      <c r="H901" s="13">
        <v>456</v>
      </c>
      <c r="I901" s="11" t="s">
        <v>19</v>
      </c>
      <c r="J901" s="12">
        <v>36981</v>
      </c>
      <c r="K901" s="12" t="str">
        <f t="shared" si="130"/>
        <v>Medium</v>
      </c>
      <c r="L901" s="11" t="s">
        <v>20</v>
      </c>
      <c r="M901" s="14">
        <v>45565</v>
      </c>
      <c r="N901" s="14" t="str">
        <f t="shared" si="131"/>
        <v>30/09/2024</v>
      </c>
      <c r="O901" s="14" t="str">
        <f t="shared" si="132"/>
        <v>2024</v>
      </c>
      <c r="P901" s="11" t="s">
        <v>2009</v>
      </c>
      <c r="Q901" s="11" t="s">
        <v>86</v>
      </c>
      <c r="R901" s="11">
        <v>4</v>
      </c>
      <c r="S901" s="11" t="str">
        <f t="shared" si="133"/>
        <v>0 - 4 yrs</v>
      </c>
      <c r="T901" s="12">
        <v>188.8</v>
      </c>
      <c r="U901" s="11" t="str">
        <f t="shared" si="134"/>
        <v>(151 - 200)</v>
      </c>
      <c r="V901" s="12">
        <f t="shared" si="135"/>
        <v>5.1063829787234045</v>
      </c>
      <c r="W901" s="12">
        <f t="shared" si="136"/>
        <v>81.098684210526315</v>
      </c>
      <c r="X901" s="12">
        <f t="shared" si="137"/>
        <v>0.41403508771929826</v>
      </c>
    </row>
    <row r="902" spans="1:24">
      <c r="A902" s="11">
        <v>901</v>
      </c>
      <c r="B902" s="11" t="s">
        <v>2230</v>
      </c>
      <c r="C902" s="11" t="s">
        <v>39</v>
      </c>
      <c r="D902" s="11" t="s">
        <v>33</v>
      </c>
      <c r="E902" s="12">
        <v>95.5</v>
      </c>
      <c r="F902" s="11" t="s">
        <v>41</v>
      </c>
      <c r="G902" s="11" t="str">
        <f t="shared" si="138"/>
        <v>Litres</v>
      </c>
      <c r="H902" s="13">
        <v>93</v>
      </c>
      <c r="I902" s="11" t="s">
        <v>19</v>
      </c>
      <c r="J902" s="12">
        <v>47893</v>
      </c>
      <c r="K902" s="12" t="str">
        <f t="shared" si="130"/>
        <v>Medium</v>
      </c>
      <c r="L902" s="11" t="s">
        <v>20</v>
      </c>
      <c r="M902" s="14">
        <v>45559</v>
      </c>
      <c r="N902" s="14" t="str">
        <f t="shared" si="131"/>
        <v>24/09/2024</v>
      </c>
      <c r="O902" s="14" t="str">
        <f t="shared" si="132"/>
        <v>2024</v>
      </c>
      <c r="P902" s="11" t="s">
        <v>652</v>
      </c>
      <c r="Q902" s="11" t="s">
        <v>69</v>
      </c>
      <c r="R902" s="11">
        <v>1</v>
      </c>
      <c r="S902" s="11" t="str">
        <f t="shared" si="133"/>
        <v>0 - 4 yrs</v>
      </c>
      <c r="T902" s="12">
        <v>231.2</v>
      </c>
      <c r="U902" s="11" t="str">
        <f t="shared" si="134"/>
        <v>(201 - 250)</v>
      </c>
      <c r="V902" s="12">
        <f t="shared" si="135"/>
        <v>0.97382198952879584</v>
      </c>
      <c r="W902" s="12">
        <f t="shared" si="136"/>
        <v>514.97849462365593</v>
      </c>
      <c r="X902" s="12">
        <f t="shared" si="137"/>
        <v>2.4860215053763439</v>
      </c>
    </row>
    <row r="903" spans="1:24">
      <c r="A903" s="11">
        <v>902</v>
      </c>
      <c r="B903" s="11" t="s">
        <v>2626</v>
      </c>
      <c r="C903" s="11" t="s">
        <v>32</v>
      </c>
      <c r="D903" s="11" t="s">
        <v>17</v>
      </c>
      <c r="E903" s="12">
        <v>14.6</v>
      </c>
      <c r="F903" s="11" t="s">
        <v>62</v>
      </c>
      <c r="G903" s="11" t="str">
        <f t="shared" si="138"/>
        <v>kWh</v>
      </c>
      <c r="H903" s="13">
        <v>628</v>
      </c>
      <c r="I903" s="11" t="s">
        <v>19</v>
      </c>
      <c r="J903" s="12">
        <v>69862</v>
      </c>
      <c r="K903" s="12" t="str">
        <f t="shared" si="130"/>
        <v>Moderate</v>
      </c>
      <c r="L903" s="11" t="s">
        <v>20</v>
      </c>
      <c r="M903" s="14">
        <v>45173</v>
      </c>
      <c r="N903" s="14" t="str">
        <f t="shared" si="131"/>
        <v>04/09/2023</v>
      </c>
      <c r="O903" s="14" t="str">
        <f t="shared" si="132"/>
        <v>2023</v>
      </c>
      <c r="P903" s="11" t="s">
        <v>2233</v>
      </c>
      <c r="Q903" s="11" t="s">
        <v>59</v>
      </c>
      <c r="R903" s="11">
        <v>14</v>
      </c>
      <c r="S903" s="11" t="str">
        <f t="shared" si="133"/>
        <v>13 - 16 yrs</v>
      </c>
      <c r="T903" s="12">
        <v>47.8</v>
      </c>
      <c r="U903" s="11" t="str">
        <f t="shared" si="134"/>
        <v>(0 - 50)</v>
      </c>
      <c r="V903" s="12">
        <f t="shared" si="135"/>
        <v>43.013698630136986</v>
      </c>
      <c r="W903" s="12">
        <f t="shared" si="136"/>
        <v>111.2452229299363</v>
      </c>
      <c r="X903" s="12">
        <f t="shared" si="137"/>
        <v>7.6114649681528659E-2</v>
      </c>
    </row>
    <row r="904" spans="1:24">
      <c r="A904" s="11">
        <v>903</v>
      </c>
      <c r="B904" s="11" t="s">
        <v>2234</v>
      </c>
      <c r="C904" s="11" t="s">
        <v>32</v>
      </c>
      <c r="D904" s="11" t="s">
        <v>17</v>
      </c>
      <c r="E904" s="12">
        <v>87.2</v>
      </c>
      <c r="F904" s="11" t="s">
        <v>62</v>
      </c>
      <c r="G904" s="11" t="str">
        <f t="shared" si="138"/>
        <v>kWh</v>
      </c>
      <c r="H904" s="13">
        <v>257</v>
      </c>
      <c r="I904" s="11" t="s">
        <v>19</v>
      </c>
      <c r="J904" s="12">
        <v>68020</v>
      </c>
      <c r="K904" s="12" t="str">
        <f t="shared" si="130"/>
        <v>Moderate</v>
      </c>
      <c r="L904" s="11" t="s">
        <v>20</v>
      </c>
      <c r="M904" s="14">
        <v>45638</v>
      </c>
      <c r="N904" s="14" t="str">
        <f t="shared" si="131"/>
        <v>12/12/2024</v>
      </c>
      <c r="O904" s="14" t="str">
        <f t="shared" si="132"/>
        <v>2024</v>
      </c>
      <c r="P904" s="11" t="s">
        <v>1810</v>
      </c>
      <c r="Q904" s="11" t="s">
        <v>112</v>
      </c>
      <c r="R904" s="11">
        <v>3</v>
      </c>
      <c r="S904" s="11" t="str">
        <f t="shared" si="133"/>
        <v>0 - 4 yrs</v>
      </c>
      <c r="T904" s="12">
        <v>296.5</v>
      </c>
      <c r="U904" s="11" t="str">
        <f t="shared" si="134"/>
        <v>(251 - 300)</v>
      </c>
      <c r="V904" s="12">
        <f t="shared" si="135"/>
        <v>2.9472477064220182</v>
      </c>
      <c r="W904" s="12">
        <f t="shared" si="136"/>
        <v>264.66926070038909</v>
      </c>
      <c r="X904" s="12">
        <f t="shared" si="137"/>
        <v>1.1536964980544746</v>
      </c>
    </row>
    <row r="905" spans="1:24">
      <c r="A905" s="11">
        <v>904</v>
      </c>
      <c r="B905" s="11" t="s">
        <v>2627</v>
      </c>
      <c r="C905" s="11" t="s">
        <v>16</v>
      </c>
      <c r="D905" s="11" t="s">
        <v>17</v>
      </c>
      <c r="E905" s="12">
        <v>82.1</v>
      </c>
      <c r="F905" s="11" t="s">
        <v>62</v>
      </c>
      <c r="G905" s="11" t="str">
        <f t="shared" si="138"/>
        <v>kWh</v>
      </c>
      <c r="H905" s="13">
        <v>561</v>
      </c>
      <c r="I905" s="11" t="s">
        <v>19</v>
      </c>
      <c r="J905" s="12">
        <v>111032</v>
      </c>
      <c r="K905" s="12" t="str">
        <f t="shared" si="130"/>
        <v>Extreme</v>
      </c>
      <c r="L905" s="11" t="s">
        <v>20</v>
      </c>
      <c r="M905" s="14">
        <v>45024</v>
      </c>
      <c r="N905" s="14" t="str">
        <f t="shared" si="131"/>
        <v>08/04/2023</v>
      </c>
      <c r="O905" s="14" t="str">
        <f t="shared" si="132"/>
        <v>2023</v>
      </c>
      <c r="P905" s="11" t="s">
        <v>890</v>
      </c>
      <c r="Q905" s="11" t="s">
        <v>86</v>
      </c>
      <c r="R905" s="11">
        <v>11</v>
      </c>
      <c r="S905" s="11" t="str">
        <f t="shared" si="133"/>
        <v>9 - 12 yrs</v>
      </c>
      <c r="T905" s="12">
        <v>230.1</v>
      </c>
      <c r="U905" s="11" t="str">
        <f t="shared" si="134"/>
        <v>(201 - 250)</v>
      </c>
      <c r="V905" s="12">
        <f t="shared" si="135"/>
        <v>6.8331303288672354</v>
      </c>
      <c r="W905" s="12">
        <f t="shared" si="136"/>
        <v>197.91800356506238</v>
      </c>
      <c r="X905" s="12">
        <f t="shared" si="137"/>
        <v>0.41016042780748663</v>
      </c>
    </row>
    <row r="906" spans="1:24">
      <c r="A906" s="11">
        <v>905</v>
      </c>
      <c r="B906" s="11" t="s">
        <v>2238</v>
      </c>
      <c r="C906" s="11" t="s">
        <v>32</v>
      </c>
      <c r="D906" s="11" t="s">
        <v>33</v>
      </c>
      <c r="E906" s="12">
        <v>72.400000000000006</v>
      </c>
      <c r="F906" s="11" t="s">
        <v>41</v>
      </c>
      <c r="G906" s="11" t="str">
        <f t="shared" si="138"/>
        <v>Litres</v>
      </c>
      <c r="H906" s="13">
        <v>612</v>
      </c>
      <c r="I906" s="11" t="s">
        <v>19</v>
      </c>
      <c r="J906" s="12">
        <v>54289</v>
      </c>
      <c r="K906" s="12" t="str">
        <f t="shared" si="130"/>
        <v>Moderate</v>
      </c>
      <c r="L906" s="11" t="s">
        <v>20</v>
      </c>
      <c r="M906" s="14">
        <v>44994</v>
      </c>
      <c r="N906" s="14" t="str">
        <f t="shared" si="131"/>
        <v>09/03/2023</v>
      </c>
      <c r="O906" s="14" t="str">
        <f t="shared" si="132"/>
        <v>2023</v>
      </c>
      <c r="P906" s="11" t="s">
        <v>428</v>
      </c>
      <c r="Q906" s="11" t="s">
        <v>59</v>
      </c>
      <c r="R906" s="11">
        <v>13</v>
      </c>
      <c r="S906" s="11" t="str">
        <f t="shared" si="133"/>
        <v>13 - 16 yrs</v>
      </c>
      <c r="T906" s="12">
        <v>157.6</v>
      </c>
      <c r="U906" s="11" t="str">
        <f t="shared" si="134"/>
        <v>(151 - 200)</v>
      </c>
      <c r="V906" s="12">
        <f t="shared" si="135"/>
        <v>8.4530386740331487</v>
      </c>
      <c r="W906" s="12">
        <f t="shared" si="136"/>
        <v>88.707516339869287</v>
      </c>
      <c r="X906" s="12">
        <f t="shared" si="137"/>
        <v>0.25751633986928102</v>
      </c>
    </row>
    <row r="907" spans="1:24">
      <c r="A907" s="11">
        <v>906</v>
      </c>
      <c r="B907" s="11" t="s">
        <v>2240</v>
      </c>
      <c r="C907" s="11" t="s">
        <v>39</v>
      </c>
      <c r="D907" s="11" t="s">
        <v>33</v>
      </c>
      <c r="E907" s="12">
        <v>99.2</v>
      </c>
      <c r="F907" s="11" t="s">
        <v>26</v>
      </c>
      <c r="G907" s="11" t="str">
        <f t="shared" si="138"/>
        <v>Litres</v>
      </c>
      <c r="H907" s="13">
        <v>173</v>
      </c>
      <c r="I907" s="11" t="s">
        <v>19</v>
      </c>
      <c r="J907" s="12">
        <v>111685</v>
      </c>
      <c r="K907" s="12" t="str">
        <f t="shared" si="130"/>
        <v>Extreme</v>
      </c>
      <c r="L907" s="11" t="s">
        <v>20</v>
      </c>
      <c r="M907" s="14">
        <v>45996</v>
      </c>
      <c r="N907" s="14" t="str">
        <f t="shared" si="131"/>
        <v>05/12/2025</v>
      </c>
      <c r="O907" s="14" t="str">
        <f t="shared" si="132"/>
        <v>2025</v>
      </c>
      <c r="P907" s="11" t="s">
        <v>479</v>
      </c>
      <c r="Q907" s="11" t="s">
        <v>117</v>
      </c>
      <c r="R907" s="11">
        <v>4</v>
      </c>
      <c r="S907" s="11" t="str">
        <f t="shared" si="133"/>
        <v>0 - 4 yrs</v>
      </c>
      <c r="T907" s="12">
        <v>224</v>
      </c>
      <c r="U907" s="11" t="str">
        <f t="shared" si="134"/>
        <v>(201 - 250)</v>
      </c>
      <c r="V907" s="12">
        <f t="shared" si="135"/>
        <v>1.7439516129032258</v>
      </c>
      <c r="W907" s="12">
        <f t="shared" si="136"/>
        <v>645.5780346820809</v>
      </c>
      <c r="X907" s="12">
        <f t="shared" si="137"/>
        <v>1.2947976878612717</v>
      </c>
    </row>
    <row r="908" spans="1:24">
      <c r="A908" s="11">
        <v>907</v>
      </c>
      <c r="B908" s="11" t="s">
        <v>1252</v>
      </c>
      <c r="C908" s="11" t="s">
        <v>32</v>
      </c>
      <c r="D908" s="11" t="s">
        <v>61</v>
      </c>
      <c r="E908" s="12">
        <v>10</v>
      </c>
      <c r="F908" s="11" t="s">
        <v>2643</v>
      </c>
      <c r="G908" s="11" t="str">
        <f t="shared" si="138"/>
        <v>Litres</v>
      </c>
      <c r="H908" s="13">
        <v>226</v>
      </c>
      <c r="I908" s="11" t="s">
        <v>19</v>
      </c>
      <c r="J908" s="12">
        <v>3900</v>
      </c>
      <c r="K908" s="12" t="str">
        <f t="shared" si="130"/>
        <v>Very Low</v>
      </c>
      <c r="L908" s="11" t="s">
        <v>20</v>
      </c>
      <c r="M908" s="14">
        <v>45327</v>
      </c>
      <c r="N908" s="14" t="str">
        <f t="shared" si="131"/>
        <v>05/02/2024</v>
      </c>
      <c r="O908" s="14" t="str">
        <f t="shared" si="132"/>
        <v>2024</v>
      </c>
      <c r="P908" s="11" t="s">
        <v>2242</v>
      </c>
      <c r="Q908" s="11" t="s">
        <v>54</v>
      </c>
      <c r="R908" s="11">
        <v>20</v>
      </c>
      <c r="S908" s="11" t="str">
        <f t="shared" si="133"/>
        <v>17 + yrs</v>
      </c>
      <c r="T908" s="12">
        <v>0</v>
      </c>
      <c r="U908" s="11" t="str">
        <f t="shared" si="134"/>
        <v>(0 - 50)</v>
      </c>
      <c r="V908" s="12">
        <f t="shared" si="135"/>
        <v>22.6</v>
      </c>
      <c r="W908" s="12">
        <f t="shared" si="136"/>
        <v>17.256637168141594</v>
      </c>
      <c r="X908" s="12">
        <f t="shared" si="137"/>
        <v>0</v>
      </c>
    </row>
    <row r="909" spans="1:24">
      <c r="A909" s="11">
        <v>908</v>
      </c>
      <c r="B909" s="11" t="s">
        <v>559</v>
      </c>
      <c r="C909" s="11" t="s">
        <v>16</v>
      </c>
      <c r="D909" s="11" t="s">
        <v>17</v>
      </c>
      <c r="E909" s="12">
        <v>36.4</v>
      </c>
      <c r="F909" s="11" t="s">
        <v>2643</v>
      </c>
      <c r="G909" s="11" t="str">
        <f t="shared" si="138"/>
        <v>Litres</v>
      </c>
      <c r="H909" s="13">
        <v>597</v>
      </c>
      <c r="I909" s="11" t="s">
        <v>19</v>
      </c>
      <c r="J909" s="12">
        <v>64558</v>
      </c>
      <c r="K909" s="12" t="str">
        <f t="shared" si="130"/>
        <v>Moderate</v>
      </c>
      <c r="L909" s="11" t="s">
        <v>20</v>
      </c>
      <c r="M909" s="14">
        <v>45623</v>
      </c>
      <c r="N909" s="14" t="str">
        <f t="shared" si="131"/>
        <v>27/11/2024</v>
      </c>
      <c r="O909" s="14" t="str">
        <f t="shared" si="132"/>
        <v>2024</v>
      </c>
      <c r="P909" s="11" t="s">
        <v>2243</v>
      </c>
      <c r="Q909" s="11" t="s">
        <v>112</v>
      </c>
      <c r="R909" s="11">
        <v>8</v>
      </c>
      <c r="S909" s="11" t="str">
        <f t="shared" si="133"/>
        <v>5 - 8 yrs</v>
      </c>
      <c r="T909" s="12">
        <v>98.6</v>
      </c>
      <c r="U909" s="11" t="str">
        <f t="shared" si="134"/>
        <v>(51 - 100)</v>
      </c>
      <c r="V909" s="12">
        <f t="shared" si="135"/>
        <v>16.401098901098901</v>
      </c>
      <c r="W909" s="12">
        <f t="shared" si="136"/>
        <v>108.13735343383584</v>
      </c>
      <c r="X909" s="12">
        <f t="shared" si="137"/>
        <v>0.16515912897822443</v>
      </c>
    </row>
    <row r="910" spans="1:24">
      <c r="A910" s="11">
        <v>909</v>
      </c>
      <c r="B910" s="11" t="s">
        <v>2244</v>
      </c>
      <c r="C910" s="11" t="s">
        <v>16</v>
      </c>
      <c r="D910" s="11" t="s">
        <v>61</v>
      </c>
      <c r="E910" s="12">
        <v>10</v>
      </c>
      <c r="F910" s="11" t="s">
        <v>62</v>
      </c>
      <c r="G910" s="11" t="str">
        <f t="shared" si="138"/>
        <v>kWh</v>
      </c>
      <c r="H910" s="13">
        <v>603</v>
      </c>
      <c r="I910" s="11" t="s">
        <v>19</v>
      </c>
      <c r="J910" s="12">
        <v>97026</v>
      </c>
      <c r="K910" s="12" t="str">
        <f t="shared" si="130"/>
        <v>Very High</v>
      </c>
      <c r="L910" s="11" t="s">
        <v>20</v>
      </c>
      <c r="M910" s="14">
        <v>45597</v>
      </c>
      <c r="N910" s="14" t="str">
        <f t="shared" si="131"/>
        <v>01/11/2024</v>
      </c>
      <c r="O910" s="14" t="str">
        <f t="shared" si="132"/>
        <v>2024</v>
      </c>
      <c r="P910" s="11" t="s">
        <v>1878</v>
      </c>
      <c r="Q910" s="11" t="s">
        <v>54</v>
      </c>
      <c r="R910" s="11">
        <v>17</v>
      </c>
      <c r="S910" s="11" t="str">
        <f t="shared" si="133"/>
        <v>17 + yrs</v>
      </c>
      <c r="T910" s="12">
        <v>0</v>
      </c>
      <c r="U910" s="11" t="str">
        <f t="shared" si="134"/>
        <v>(0 - 50)</v>
      </c>
      <c r="V910" s="12">
        <f t="shared" si="135"/>
        <v>60.3</v>
      </c>
      <c r="W910" s="12">
        <f t="shared" si="136"/>
        <v>160.90547263681592</v>
      </c>
      <c r="X910" s="12">
        <f t="shared" si="137"/>
        <v>0</v>
      </c>
    </row>
    <row r="911" spans="1:24">
      <c r="A911" s="11">
        <v>910</v>
      </c>
      <c r="B911" s="11" t="s">
        <v>2245</v>
      </c>
      <c r="C911" s="11" t="s">
        <v>32</v>
      </c>
      <c r="D911" s="11" t="s">
        <v>61</v>
      </c>
      <c r="E911" s="12">
        <v>10</v>
      </c>
      <c r="F911" s="11" t="s">
        <v>26</v>
      </c>
      <c r="G911" s="11" t="str">
        <f t="shared" si="138"/>
        <v>Litres</v>
      </c>
      <c r="H911" s="13">
        <v>432</v>
      </c>
      <c r="I911" s="11" t="s">
        <v>19</v>
      </c>
      <c r="J911" s="12">
        <v>68066</v>
      </c>
      <c r="K911" s="12" t="str">
        <f t="shared" si="130"/>
        <v>Moderate</v>
      </c>
      <c r="L911" s="11" t="s">
        <v>20</v>
      </c>
      <c r="M911" s="14">
        <v>45198</v>
      </c>
      <c r="N911" s="14" t="str">
        <f t="shared" si="131"/>
        <v>29/09/2023</v>
      </c>
      <c r="O911" s="14" t="str">
        <f t="shared" si="132"/>
        <v>2023</v>
      </c>
      <c r="P911" s="11" t="s">
        <v>1779</v>
      </c>
      <c r="Q911" s="11" t="s">
        <v>2648</v>
      </c>
      <c r="R911" s="11">
        <v>1</v>
      </c>
      <c r="S911" s="11" t="str">
        <f t="shared" si="133"/>
        <v>0 - 4 yrs</v>
      </c>
      <c r="T911" s="12">
        <v>0</v>
      </c>
      <c r="U911" s="11" t="str">
        <f t="shared" si="134"/>
        <v>(0 - 50)</v>
      </c>
      <c r="V911" s="12">
        <f t="shared" si="135"/>
        <v>43.2</v>
      </c>
      <c r="W911" s="12">
        <f t="shared" si="136"/>
        <v>157.56018518518519</v>
      </c>
      <c r="X911" s="12">
        <f t="shared" si="137"/>
        <v>0</v>
      </c>
    </row>
    <row r="912" spans="1:24">
      <c r="A912" s="11">
        <v>911</v>
      </c>
      <c r="B912" s="11" t="s">
        <v>2628</v>
      </c>
      <c r="C912" s="11" t="s">
        <v>32</v>
      </c>
      <c r="D912" s="11" t="s">
        <v>33</v>
      </c>
      <c r="E912" s="12">
        <v>38.700000000000003</v>
      </c>
      <c r="F912" s="11" t="s">
        <v>41</v>
      </c>
      <c r="G912" s="11" t="str">
        <f t="shared" si="138"/>
        <v>Litres</v>
      </c>
      <c r="H912" s="13">
        <v>536</v>
      </c>
      <c r="I912" s="11" t="s">
        <v>19</v>
      </c>
      <c r="J912" s="12">
        <v>60541</v>
      </c>
      <c r="K912" s="12" t="str">
        <f t="shared" si="130"/>
        <v>Moderate</v>
      </c>
      <c r="L912" s="11" t="s">
        <v>20</v>
      </c>
      <c r="M912" s="14">
        <v>44936</v>
      </c>
      <c r="N912" s="14" t="str">
        <f t="shared" si="131"/>
        <v>10/01/2023</v>
      </c>
      <c r="O912" s="14" t="str">
        <f t="shared" si="132"/>
        <v>2023</v>
      </c>
      <c r="P912" s="11" t="s">
        <v>2249</v>
      </c>
      <c r="Q912" s="11" t="s">
        <v>2648</v>
      </c>
      <c r="R912" s="11">
        <v>7</v>
      </c>
      <c r="S912" s="11" t="str">
        <f t="shared" si="133"/>
        <v>5 - 8 yrs</v>
      </c>
      <c r="T912" s="12">
        <v>86.8</v>
      </c>
      <c r="U912" s="11" t="str">
        <f t="shared" si="134"/>
        <v>(51 - 100)</v>
      </c>
      <c r="V912" s="12">
        <f t="shared" si="135"/>
        <v>13.850129198966407</v>
      </c>
      <c r="W912" s="12">
        <f t="shared" si="136"/>
        <v>112.94962686567165</v>
      </c>
      <c r="X912" s="12">
        <f t="shared" si="137"/>
        <v>0.16194029850746269</v>
      </c>
    </row>
    <row r="913" spans="1:24">
      <c r="A913" s="11">
        <v>912</v>
      </c>
      <c r="B913" s="11" t="s">
        <v>2478</v>
      </c>
      <c r="C913" s="11" t="s">
        <v>32</v>
      </c>
      <c r="D913" s="11" t="s">
        <v>33</v>
      </c>
      <c r="E913" s="12">
        <v>75.599999999999994</v>
      </c>
      <c r="F913" s="11" t="s">
        <v>41</v>
      </c>
      <c r="G913" s="11" t="str">
        <f t="shared" si="138"/>
        <v>Litres</v>
      </c>
      <c r="H913" s="13">
        <v>515</v>
      </c>
      <c r="I913" s="11" t="s">
        <v>19</v>
      </c>
      <c r="J913" s="12">
        <v>9527</v>
      </c>
      <c r="K913" s="12" t="str">
        <f t="shared" si="130"/>
        <v>Very Low</v>
      </c>
      <c r="L913" s="11" t="s">
        <v>20</v>
      </c>
      <c r="M913" s="14">
        <v>45184</v>
      </c>
      <c r="N913" s="14" t="str">
        <f t="shared" si="131"/>
        <v>15/09/2023</v>
      </c>
      <c r="O913" s="14" t="str">
        <f t="shared" si="132"/>
        <v>2023</v>
      </c>
      <c r="P913" s="11" t="s">
        <v>1886</v>
      </c>
      <c r="Q913" s="11" t="s">
        <v>69</v>
      </c>
      <c r="R913" s="11">
        <v>9</v>
      </c>
      <c r="S913" s="11" t="str">
        <f t="shared" si="133"/>
        <v>9 - 12 yrs</v>
      </c>
      <c r="T913" s="12">
        <v>224</v>
      </c>
      <c r="U913" s="11" t="str">
        <f t="shared" si="134"/>
        <v>(201 - 250)</v>
      </c>
      <c r="V913" s="12">
        <f t="shared" si="135"/>
        <v>6.8121693121693125</v>
      </c>
      <c r="W913" s="12">
        <f t="shared" si="136"/>
        <v>18.499029126213593</v>
      </c>
      <c r="X913" s="12">
        <f t="shared" si="137"/>
        <v>0.43495145631067961</v>
      </c>
    </row>
    <row r="914" spans="1:24">
      <c r="A914" s="11">
        <v>913</v>
      </c>
      <c r="B914" s="11" t="s">
        <v>2251</v>
      </c>
      <c r="C914" s="11" t="s">
        <v>39</v>
      </c>
      <c r="D914" s="11" t="s">
        <v>33</v>
      </c>
      <c r="E914" s="12">
        <v>93.3</v>
      </c>
      <c r="F914" s="11" t="s">
        <v>2643</v>
      </c>
      <c r="G914" s="11" t="str">
        <f t="shared" si="138"/>
        <v>Litres</v>
      </c>
      <c r="H914" s="13">
        <v>181</v>
      </c>
      <c r="I914" s="11" t="s">
        <v>19</v>
      </c>
      <c r="J914" s="12">
        <v>83747</v>
      </c>
      <c r="K914" s="12" t="str">
        <f t="shared" si="130"/>
        <v>High</v>
      </c>
      <c r="L914" s="11" t="s">
        <v>20</v>
      </c>
      <c r="M914" s="14">
        <v>45416</v>
      </c>
      <c r="N914" s="14" t="str">
        <f t="shared" si="131"/>
        <v>04/05/2024</v>
      </c>
      <c r="O914" s="14" t="str">
        <f t="shared" si="132"/>
        <v>2024</v>
      </c>
      <c r="P914" s="11" t="s">
        <v>1126</v>
      </c>
      <c r="Q914" s="11" t="s">
        <v>48</v>
      </c>
      <c r="R914" s="11">
        <v>12</v>
      </c>
      <c r="S914" s="11" t="str">
        <f t="shared" si="133"/>
        <v>9 - 12 yrs</v>
      </c>
      <c r="T914" s="12">
        <v>243.4</v>
      </c>
      <c r="U914" s="11" t="str">
        <f t="shared" si="134"/>
        <v>(201 - 250)</v>
      </c>
      <c r="V914" s="12">
        <f t="shared" si="135"/>
        <v>1.939978563772776</v>
      </c>
      <c r="W914" s="12">
        <f t="shared" si="136"/>
        <v>462.69060773480663</v>
      </c>
      <c r="X914" s="12">
        <f t="shared" si="137"/>
        <v>1.3447513812154697</v>
      </c>
    </row>
    <row r="915" spans="1:24">
      <c r="A915" s="11">
        <v>914</v>
      </c>
      <c r="B915" s="11" t="s">
        <v>2253</v>
      </c>
      <c r="C915" s="11" t="s">
        <v>32</v>
      </c>
      <c r="D915" s="11" t="s">
        <v>33</v>
      </c>
      <c r="E915" s="12">
        <v>51.4</v>
      </c>
      <c r="F915" s="11" t="s">
        <v>56</v>
      </c>
      <c r="G915" s="11" t="str">
        <f t="shared" si="138"/>
        <v>Litres</v>
      </c>
      <c r="H915" s="13">
        <v>663</v>
      </c>
      <c r="I915" s="11" t="s">
        <v>19</v>
      </c>
      <c r="J915" s="12">
        <v>50527</v>
      </c>
      <c r="K915" s="12" t="str">
        <f t="shared" si="130"/>
        <v>Medium</v>
      </c>
      <c r="L915" s="11" t="s">
        <v>20</v>
      </c>
      <c r="M915" s="14">
        <v>45493</v>
      </c>
      <c r="N915" s="14" t="str">
        <f t="shared" si="131"/>
        <v>20/07/2024</v>
      </c>
      <c r="O915" s="14" t="str">
        <f t="shared" si="132"/>
        <v>2024</v>
      </c>
      <c r="P915" s="11" t="s">
        <v>1869</v>
      </c>
      <c r="Q915" s="11" t="s">
        <v>117</v>
      </c>
      <c r="R915" s="11">
        <v>3</v>
      </c>
      <c r="S915" s="11" t="str">
        <f t="shared" si="133"/>
        <v>0 - 4 yrs</v>
      </c>
      <c r="T915" s="12">
        <v>121.5</v>
      </c>
      <c r="U915" s="11" t="str">
        <f t="shared" si="134"/>
        <v>(101 - 150)</v>
      </c>
      <c r="V915" s="12">
        <f t="shared" si="135"/>
        <v>12.898832684824903</v>
      </c>
      <c r="W915" s="12">
        <f t="shared" si="136"/>
        <v>76.209653092006036</v>
      </c>
      <c r="X915" s="12">
        <f t="shared" si="137"/>
        <v>0.18325791855203619</v>
      </c>
    </row>
    <row r="916" spans="1:24">
      <c r="A916" s="11">
        <v>915</v>
      </c>
      <c r="B916" s="11" t="s">
        <v>2629</v>
      </c>
      <c r="C916" s="11" t="s">
        <v>16</v>
      </c>
      <c r="D916" s="11" t="s">
        <v>61</v>
      </c>
      <c r="E916" s="12">
        <v>10</v>
      </c>
      <c r="F916" s="11" t="s">
        <v>56</v>
      </c>
      <c r="G916" s="11" t="str">
        <f t="shared" si="138"/>
        <v>Litres</v>
      </c>
      <c r="H916" s="13">
        <v>51</v>
      </c>
      <c r="I916" s="11" t="s">
        <v>19</v>
      </c>
      <c r="J916" s="12">
        <v>99523</v>
      </c>
      <c r="K916" s="12" t="str">
        <f t="shared" si="130"/>
        <v>Very High</v>
      </c>
      <c r="L916" s="11" t="s">
        <v>20</v>
      </c>
      <c r="M916" s="14">
        <v>45686</v>
      </c>
      <c r="N916" s="14" t="str">
        <f t="shared" si="131"/>
        <v>29/01/2025</v>
      </c>
      <c r="O916" s="14" t="str">
        <f t="shared" si="132"/>
        <v>2025</v>
      </c>
      <c r="P916" s="11" t="s">
        <v>1121</v>
      </c>
      <c r="Q916" s="11" t="s">
        <v>112</v>
      </c>
      <c r="R916" s="11">
        <v>14</v>
      </c>
      <c r="S916" s="11" t="str">
        <f t="shared" si="133"/>
        <v>13 - 16 yrs</v>
      </c>
      <c r="T916" s="12">
        <v>0</v>
      </c>
      <c r="U916" s="11" t="str">
        <f t="shared" si="134"/>
        <v>(0 - 50)</v>
      </c>
      <c r="V916" s="12">
        <f t="shared" si="135"/>
        <v>5.0999999999999996</v>
      </c>
      <c r="W916" s="12">
        <f t="shared" si="136"/>
        <v>1951.4313725490197</v>
      </c>
      <c r="X916" s="12">
        <f t="shared" si="137"/>
        <v>0</v>
      </c>
    </row>
    <row r="917" spans="1:24">
      <c r="A917" s="11">
        <v>916</v>
      </c>
      <c r="B917" s="11" t="s">
        <v>2256</v>
      </c>
      <c r="C917" s="11" t="s">
        <v>16</v>
      </c>
      <c r="D917" s="11" t="s">
        <v>17</v>
      </c>
      <c r="E917" s="12">
        <v>69.8</v>
      </c>
      <c r="F917" s="11" t="s">
        <v>41</v>
      </c>
      <c r="G917" s="11" t="str">
        <f t="shared" si="138"/>
        <v>Litres</v>
      </c>
      <c r="H917" s="13">
        <v>224</v>
      </c>
      <c r="I917" s="11" t="s">
        <v>19</v>
      </c>
      <c r="J917" s="12">
        <v>39048</v>
      </c>
      <c r="K917" s="12" t="str">
        <f t="shared" si="130"/>
        <v>Medium</v>
      </c>
      <c r="L917" s="11" t="s">
        <v>20</v>
      </c>
      <c r="M917" s="14">
        <v>44928</v>
      </c>
      <c r="N917" s="14" t="str">
        <f t="shared" si="131"/>
        <v>02/01/2023</v>
      </c>
      <c r="O917" s="14" t="str">
        <f t="shared" si="132"/>
        <v>2023</v>
      </c>
      <c r="P917" s="11" t="s">
        <v>2258</v>
      </c>
      <c r="Q917" s="11" t="s">
        <v>69</v>
      </c>
      <c r="R917" s="11">
        <v>14</v>
      </c>
      <c r="S917" s="11" t="str">
        <f t="shared" si="133"/>
        <v>13 - 16 yrs</v>
      </c>
      <c r="T917" s="12">
        <v>205.1</v>
      </c>
      <c r="U917" s="11" t="str">
        <f t="shared" si="134"/>
        <v>(201 - 250)</v>
      </c>
      <c r="V917" s="12">
        <f t="shared" si="135"/>
        <v>3.209169054441261</v>
      </c>
      <c r="W917" s="12">
        <f t="shared" si="136"/>
        <v>174.32142857142858</v>
      </c>
      <c r="X917" s="12">
        <f t="shared" si="137"/>
        <v>0.91562500000000002</v>
      </c>
    </row>
    <row r="918" spans="1:24">
      <c r="A918" s="11">
        <v>917</v>
      </c>
      <c r="B918" s="11" t="s">
        <v>161</v>
      </c>
      <c r="C918" s="11" t="s">
        <v>32</v>
      </c>
      <c r="D918" s="11" t="s">
        <v>114</v>
      </c>
      <c r="E918" s="12">
        <v>3.1</v>
      </c>
      <c r="F918" s="11" t="s">
        <v>2643</v>
      </c>
      <c r="G918" s="11" t="str">
        <f t="shared" si="138"/>
        <v>Litres</v>
      </c>
      <c r="H918" s="13">
        <v>103</v>
      </c>
      <c r="I918" s="11" t="s">
        <v>19</v>
      </c>
      <c r="J918" s="12">
        <v>9663</v>
      </c>
      <c r="K918" s="12" t="str">
        <f t="shared" si="130"/>
        <v>Very Low</v>
      </c>
      <c r="L918" s="11" t="s">
        <v>20</v>
      </c>
      <c r="M918" s="14">
        <v>45095</v>
      </c>
      <c r="N918" s="14" t="str">
        <f t="shared" si="131"/>
        <v>18/06/2023</v>
      </c>
      <c r="O918" s="14" t="str">
        <f t="shared" si="132"/>
        <v>2023</v>
      </c>
      <c r="P918" s="11" t="s">
        <v>2260</v>
      </c>
      <c r="Q918" s="11" t="s">
        <v>441</v>
      </c>
      <c r="R918" s="11">
        <v>18</v>
      </c>
      <c r="S918" s="11" t="str">
        <f t="shared" si="133"/>
        <v>17 + yrs</v>
      </c>
      <c r="T918" s="12">
        <v>7.7</v>
      </c>
      <c r="U918" s="11" t="str">
        <f t="shared" si="134"/>
        <v>(0 - 50)</v>
      </c>
      <c r="V918" s="12">
        <f t="shared" si="135"/>
        <v>33.225806451612904</v>
      </c>
      <c r="W918" s="12">
        <f t="shared" si="136"/>
        <v>93.815533980582529</v>
      </c>
      <c r="X918" s="12">
        <f t="shared" si="137"/>
        <v>7.4757281553398058E-2</v>
      </c>
    </row>
    <row r="919" spans="1:24">
      <c r="A919" s="11">
        <v>918</v>
      </c>
      <c r="B919" s="11" t="s">
        <v>2261</v>
      </c>
      <c r="C919" s="11" t="s">
        <v>39</v>
      </c>
      <c r="D919" s="11" t="s">
        <v>33</v>
      </c>
      <c r="E919" s="12">
        <v>59.5</v>
      </c>
      <c r="F919" s="11" t="s">
        <v>62</v>
      </c>
      <c r="G919" s="11" t="str">
        <f t="shared" si="138"/>
        <v>kWh</v>
      </c>
      <c r="H919" s="13">
        <v>276</v>
      </c>
      <c r="I919" s="11" t="s">
        <v>19</v>
      </c>
      <c r="J919" s="12">
        <v>78183</v>
      </c>
      <c r="K919" s="12" t="str">
        <f t="shared" si="130"/>
        <v>High</v>
      </c>
      <c r="L919" s="11" t="s">
        <v>20</v>
      </c>
      <c r="M919" s="14">
        <v>45756</v>
      </c>
      <c r="N919" s="14" t="str">
        <f t="shared" si="131"/>
        <v>09/04/2025</v>
      </c>
      <c r="O919" s="14" t="str">
        <f t="shared" si="132"/>
        <v>2025</v>
      </c>
      <c r="P919" s="11" t="s">
        <v>1548</v>
      </c>
      <c r="Q919" s="11" t="s">
        <v>441</v>
      </c>
      <c r="R919" s="11">
        <v>8</v>
      </c>
      <c r="S919" s="11" t="str">
        <f t="shared" si="133"/>
        <v>5 - 8 yrs</v>
      </c>
      <c r="T919" s="12">
        <v>196.8</v>
      </c>
      <c r="U919" s="11" t="str">
        <f t="shared" si="134"/>
        <v>(151 - 200)</v>
      </c>
      <c r="V919" s="12">
        <f t="shared" si="135"/>
        <v>4.6386554621848743</v>
      </c>
      <c r="W919" s="12">
        <f t="shared" si="136"/>
        <v>283.27173913043481</v>
      </c>
      <c r="X919" s="12">
        <f t="shared" si="137"/>
        <v>0.71304347826086956</v>
      </c>
    </row>
    <row r="920" spans="1:24">
      <c r="A920" s="11">
        <v>919</v>
      </c>
      <c r="B920" s="11" t="s">
        <v>2040</v>
      </c>
      <c r="C920" s="11" t="s">
        <v>32</v>
      </c>
      <c r="D920" s="11" t="s">
        <v>17</v>
      </c>
      <c r="E920" s="12">
        <v>73.900000000000006</v>
      </c>
      <c r="F920" s="11" t="s">
        <v>41</v>
      </c>
      <c r="G920" s="11" t="str">
        <f t="shared" si="138"/>
        <v>Litres</v>
      </c>
      <c r="H920" s="13">
        <v>253</v>
      </c>
      <c r="I920" s="11" t="s">
        <v>19</v>
      </c>
      <c r="J920" s="12">
        <v>47187</v>
      </c>
      <c r="K920" s="12" t="str">
        <f t="shared" si="130"/>
        <v>Medium</v>
      </c>
      <c r="L920" s="11" t="s">
        <v>20</v>
      </c>
      <c r="M920" s="14">
        <v>45395</v>
      </c>
      <c r="N920" s="14" t="str">
        <f t="shared" si="131"/>
        <v>13/04/2024</v>
      </c>
      <c r="O920" s="14" t="str">
        <f t="shared" si="132"/>
        <v>2024</v>
      </c>
      <c r="P920" s="11" t="s">
        <v>2263</v>
      </c>
      <c r="Q920" s="11" t="s">
        <v>2648</v>
      </c>
      <c r="R920" s="11">
        <v>19</v>
      </c>
      <c r="S920" s="11" t="str">
        <f t="shared" si="133"/>
        <v>17 + yrs</v>
      </c>
      <c r="T920" s="12">
        <v>258.2</v>
      </c>
      <c r="U920" s="11" t="str">
        <f t="shared" si="134"/>
        <v>(251 - 300)</v>
      </c>
      <c r="V920" s="12">
        <f t="shared" si="135"/>
        <v>3.4235453315290929</v>
      </c>
      <c r="W920" s="12">
        <f t="shared" si="136"/>
        <v>186.50988142292491</v>
      </c>
      <c r="X920" s="12">
        <f t="shared" si="137"/>
        <v>1.0205533596837943</v>
      </c>
    </row>
    <row r="921" spans="1:24">
      <c r="A921" s="11">
        <v>920</v>
      </c>
      <c r="B921" s="11" t="s">
        <v>2264</v>
      </c>
      <c r="C921" s="11" t="s">
        <v>39</v>
      </c>
      <c r="D921" s="11" t="s">
        <v>33</v>
      </c>
      <c r="E921" s="12">
        <v>47.6</v>
      </c>
      <c r="F921" s="11" t="s">
        <v>2643</v>
      </c>
      <c r="G921" s="11" t="str">
        <f t="shared" si="138"/>
        <v>Litres</v>
      </c>
      <c r="H921" s="13">
        <v>581</v>
      </c>
      <c r="I921" s="11" t="s">
        <v>19</v>
      </c>
      <c r="J921" s="12">
        <v>63633</v>
      </c>
      <c r="K921" s="12" t="str">
        <f t="shared" si="130"/>
        <v>Moderate</v>
      </c>
      <c r="L921" s="11" t="s">
        <v>20</v>
      </c>
      <c r="M921" s="14">
        <v>45662</v>
      </c>
      <c r="N921" s="14" t="str">
        <f t="shared" si="131"/>
        <v>05/01/2025</v>
      </c>
      <c r="O921" s="14" t="str">
        <f t="shared" si="132"/>
        <v>2025</v>
      </c>
      <c r="P921" s="11" t="s">
        <v>2266</v>
      </c>
      <c r="Q921" s="11" t="s">
        <v>112</v>
      </c>
      <c r="R921" s="11">
        <v>5</v>
      </c>
      <c r="S921" s="11" t="str">
        <f t="shared" si="133"/>
        <v>5 - 8 yrs</v>
      </c>
      <c r="T921" s="12">
        <v>166.3</v>
      </c>
      <c r="U921" s="11" t="str">
        <f t="shared" si="134"/>
        <v>(151 - 200)</v>
      </c>
      <c r="V921" s="12">
        <f t="shared" si="135"/>
        <v>12.205882352941176</v>
      </c>
      <c r="W921" s="12">
        <f t="shared" si="136"/>
        <v>109.52323580034424</v>
      </c>
      <c r="X921" s="12">
        <f t="shared" si="137"/>
        <v>0.2862306368330465</v>
      </c>
    </row>
    <row r="922" spans="1:24">
      <c r="A922" s="11">
        <v>921</v>
      </c>
      <c r="B922" s="11" t="s">
        <v>587</v>
      </c>
      <c r="C922" s="11" t="s">
        <v>32</v>
      </c>
      <c r="D922" s="11" t="s">
        <v>61</v>
      </c>
      <c r="E922" s="12">
        <v>10</v>
      </c>
      <c r="F922" s="11" t="s">
        <v>41</v>
      </c>
      <c r="G922" s="11" t="str">
        <f t="shared" si="138"/>
        <v>Litres</v>
      </c>
      <c r="H922" s="13">
        <v>263</v>
      </c>
      <c r="I922" s="11" t="s">
        <v>19</v>
      </c>
      <c r="J922" s="12">
        <v>81815</v>
      </c>
      <c r="K922" s="12" t="str">
        <f t="shared" si="130"/>
        <v>High</v>
      </c>
      <c r="L922" s="11" t="s">
        <v>20</v>
      </c>
      <c r="M922" s="14">
        <v>45825</v>
      </c>
      <c r="N922" s="14" t="str">
        <f t="shared" si="131"/>
        <v>17/06/2025</v>
      </c>
      <c r="O922" s="14" t="str">
        <f t="shared" si="132"/>
        <v>2025</v>
      </c>
      <c r="P922" s="11" t="s">
        <v>933</v>
      </c>
      <c r="Q922" s="11" t="s">
        <v>117</v>
      </c>
      <c r="R922" s="11">
        <v>13</v>
      </c>
      <c r="S922" s="11" t="str">
        <f t="shared" si="133"/>
        <v>13 - 16 yrs</v>
      </c>
      <c r="T922" s="12">
        <v>0</v>
      </c>
      <c r="U922" s="11" t="str">
        <f t="shared" si="134"/>
        <v>(0 - 50)</v>
      </c>
      <c r="V922" s="12">
        <f t="shared" si="135"/>
        <v>26.3</v>
      </c>
      <c r="W922" s="12">
        <f t="shared" si="136"/>
        <v>311.08365019011404</v>
      </c>
      <c r="X922" s="12">
        <f t="shared" si="137"/>
        <v>0</v>
      </c>
    </row>
    <row r="923" spans="1:24">
      <c r="A923" s="11">
        <v>922</v>
      </c>
      <c r="B923" s="11" t="s">
        <v>2630</v>
      </c>
      <c r="C923" s="11" t="s">
        <v>39</v>
      </c>
      <c r="D923" s="11" t="s">
        <v>114</v>
      </c>
      <c r="E923" s="12">
        <v>33.200000000000003</v>
      </c>
      <c r="F923" s="11" t="s">
        <v>62</v>
      </c>
      <c r="G923" s="11" t="str">
        <f t="shared" si="138"/>
        <v>kWh</v>
      </c>
      <c r="H923" s="13">
        <v>241</v>
      </c>
      <c r="I923" s="11" t="s">
        <v>19</v>
      </c>
      <c r="J923" s="12">
        <v>25153</v>
      </c>
      <c r="K923" s="12" t="str">
        <f t="shared" si="130"/>
        <v>Low</v>
      </c>
      <c r="L923" s="11" t="s">
        <v>20</v>
      </c>
      <c r="M923" s="14">
        <v>45366</v>
      </c>
      <c r="N923" s="14" t="str">
        <f t="shared" si="131"/>
        <v>15/03/2024</v>
      </c>
      <c r="O923" s="14" t="str">
        <f t="shared" si="132"/>
        <v>2024</v>
      </c>
      <c r="P923" s="11" t="s">
        <v>2270</v>
      </c>
      <c r="Q923" s="11" t="s">
        <v>117</v>
      </c>
      <c r="R923" s="11">
        <v>10</v>
      </c>
      <c r="S923" s="11" t="str">
        <f t="shared" si="133"/>
        <v>9 - 12 yrs</v>
      </c>
      <c r="T923" s="12">
        <v>74.599999999999994</v>
      </c>
      <c r="U923" s="11" t="str">
        <f t="shared" si="134"/>
        <v>(51 - 100)</v>
      </c>
      <c r="V923" s="12">
        <f t="shared" si="135"/>
        <v>7.2590361445783129</v>
      </c>
      <c r="W923" s="12">
        <f t="shared" si="136"/>
        <v>104.36929460580913</v>
      </c>
      <c r="X923" s="12">
        <f t="shared" si="137"/>
        <v>0.30954356846473025</v>
      </c>
    </row>
    <row r="924" spans="1:24">
      <c r="A924" s="11">
        <v>923</v>
      </c>
      <c r="B924" s="11" t="s">
        <v>2271</v>
      </c>
      <c r="C924" s="11" t="s">
        <v>39</v>
      </c>
      <c r="D924" s="11" t="s">
        <v>114</v>
      </c>
      <c r="E924" s="12">
        <v>96.3</v>
      </c>
      <c r="F924" s="11" t="s">
        <v>2643</v>
      </c>
      <c r="G924" s="11" t="str">
        <f t="shared" si="138"/>
        <v>Litres</v>
      </c>
      <c r="H924" s="13">
        <v>653</v>
      </c>
      <c r="I924" s="11" t="s">
        <v>19</v>
      </c>
      <c r="J924" s="12">
        <v>80857</v>
      </c>
      <c r="K924" s="12" t="str">
        <f t="shared" si="130"/>
        <v>High</v>
      </c>
      <c r="L924" s="11" t="s">
        <v>20</v>
      </c>
      <c r="M924" s="14">
        <v>45781</v>
      </c>
      <c r="N924" s="14" t="str">
        <f t="shared" si="131"/>
        <v>04/05/2025</v>
      </c>
      <c r="O924" s="14" t="str">
        <f t="shared" si="132"/>
        <v>2025</v>
      </c>
      <c r="P924" s="11" t="s">
        <v>586</v>
      </c>
      <c r="Q924" s="11" t="s">
        <v>59</v>
      </c>
      <c r="R924" s="11">
        <v>8</v>
      </c>
      <c r="S924" s="11" t="str">
        <f t="shared" si="133"/>
        <v>5 - 8 yrs</v>
      </c>
      <c r="T924" s="12">
        <v>334.9</v>
      </c>
      <c r="U924" s="11" t="str">
        <f t="shared" si="134"/>
        <v>(301 - 350)</v>
      </c>
      <c r="V924" s="12">
        <f t="shared" si="135"/>
        <v>6.7808930425752854</v>
      </c>
      <c r="W924" s="12">
        <f t="shared" si="136"/>
        <v>123.82388973966309</v>
      </c>
      <c r="X924" s="12">
        <f t="shared" si="137"/>
        <v>0.51286370597243491</v>
      </c>
    </row>
    <row r="925" spans="1:24">
      <c r="A925" s="11">
        <v>924</v>
      </c>
      <c r="B925" s="11" t="s">
        <v>2273</v>
      </c>
      <c r="C925" s="11" t="s">
        <v>39</v>
      </c>
      <c r="D925" s="11" t="s">
        <v>114</v>
      </c>
      <c r="E925" s="12">
        <v>76.099999999999994</v>
      </c>
      <c r="F925" s="11" t="s">
        <v>62</v>
      </c>
      <c r="G925" s="11" t="str">
        <f t="shared" si="138"/>
        <v>kWh</v>
      </c>
      <c r="H925" s="13">
        <v>677</v>
      </c>
      <c r="I925" s="11" t="s">
        <v>19</v>
      </c>
      <c r="J925" s="12">
        <v>89038</v>
      </c>
      <c r="K925" s="12" t="str">
        <f t="shared" si="130"/>
        <v>High</v>
      </c>
      <c r="L925" s="11" t="s">
        <v>20</v>
      </c>
      <c r="M925" s="14">
        <v>45040</v>
      </c>
      <c r="N925" s="14" t="str">
        <f t="shared" si="131"/>
        <v>24/04/2023</v>
      </c>
      <c r="O925" s="14" t="str">
        <f t="shared" si="132"/>
        <v>2023</v>
      </c>
      <c r="P925" s="11" t="s">
        <v>2131</v>
      </c>
      <c r="Q925" s="11" t="s">
        <v>59</v>
      </c>
      <c r="R925" s="11">
        <v>9</v>
      </c>
      <c r="S925" s="11" t="str">
        <f t="shared" si="133"/>
        <v>9 - 12 yrs</v>
      </c>
      <c r="T925" s="12">
        <v>164.1</v>
      </c>
      <c r="U925" s="11" t="str">
        <f t="shared" si="134"/>
        <v>(151 - 200)</v>
      </c>
      <c r="V925" s="12">
        <f t="shared" si="135"/>
        <v>8.8961892247043366</v>
      </c>
      <c r="W925" s="12">
        <f t="shared" si="136"/>
        <v>131.51846381093057</v>
      </c>
      <c r="X925" s="12">
        <f t="shared" si="137"/>
        <v>0.24239290989660264</v>
      </c>
    </row>
    <row r="926" spans="1:24">
      <c r="A926" s="11">
        <v>925</v>
      </c>
      <c r="B926" s="11" t="s">
        <v>2158</v>
      </c>
      <c r="C926" s="11" t="s">
        <v>16</v>
      </c>
      <c r="D926" s="11" t="s">
        <v>17</v>
      </c>
      <c r="E926" s="12">
        <v>76.599999999999994</v>
      </c>
      <c r="F926" s="11" t="s">
        <v>56</v>
      </c>
      <c r="G926" s="11" t="str">
        <f t="shared" si="138"/>
        <v>Litres</v>
      </c>
      <c r="H926" s="13">
        <v>618</v>
      </c>
      <c r="I926" s="11" t="s">
        <v>19</v>
      </c>
      <c r="J926" s="12">
        <v>109998</v>
      </c>
      <c r="K926" s="12" t="str">
        <f t="shared" si="130"/>
        <v>Extreme</v>
      </c>
      <c r="L926" s="11" t="s">
        <v>20</v>
      </c>
      <c r="M926" s="14">
        <v>45440</v>
      </c>
      <c r="N926" s="14" t="str">
        <f t="shared" si="131"/>
        <v>28/05/2024</v>
      </c>
      <c r="O926" s="14" t="str">
        <f t="shared" si="132"/>
        <v>2024</v>
      </c>
      <c r="P926" s="11" t="s">
        <v>1149</v>
      </c>
      <c r="Q926" s="11" t="s">
        <v>112</v>
      </c>
      <c r="R926" s="11">
        <v>17</v>
      </c>
      <c r="S926" s="11" t="str">
        <f t="shared" si="133"/>
        <v>17 + yrs</v>
      </c>
      <c r="T926" s="12">
        <v>253.5</v>
      </c>
      <c r="U926" s="11" t="str">
        <f t="shared" si="134"/>
        <v>(251 - 300)</v>
      </c>
      <c r="V926" s="12">
        <f t="shared" si="135"/>
        <v>8.0678851174934731</v>
      </c>
      <c r="W926" s="12">
        <f t="shared" si="136"/>
        <v>177.99029126213591</v>
      </c>
      <c r="X926" s="12">
        <f t="shared" si="137"/>
        <v>0.41019417475728154</v>
      </c>
    </row>
    <row r="927" spans="1:24">
      <c r="A927" s="11">
        <v>926</v>
      </c>
      <c r="B927" s="11" t="s">
        <v>2631</v>
      </c>
      <c r="C927" s="11" t="s">
        <v>32</v>
      </c>
      <c r="D927" s="11" t="s">
        <v>17</v>
      </c>
      <c r="E927" s="12">
        <v>29.7</v>
      </c>
      <c r="F927" s="11" t="s">
        <v>26</v>
      </c>
      <c r="G927" s="11" t="str">
        <f t="shared" si="138"/>
        <v>Litres</v>
      </c>
      <c r="H927" s="13">
        <v>208</v>
      </c>
      <c r="I927" s="11" t="s">
        <v>19</v>
      </c>
      <c r="J927" s="12">
        <v>75778</v>
      </c>
      <c r="K927" s="12" t="str">
        <f t="shared" si="130"/>
        <v>High</v>
      </c>
      <c r="L927" s="11" t="s">
        <v>20</v>
      </c>
      <c r="M927" s="14">
        <v>45401</v>
      </c>
      <c r="N927" s="14" t="str">
        <f t="shared" si="131"/>
        <v>19/04/2024</v>
      </c>
      <c r="O927" s="14" t="str">
        <f t="shared" si="132"/>
        <v>2024</v>
      </c>
      <c r="P927" s="11" t="s">
        <v>918</v>
      </c>
      <c r="Q927" s="11" t="s">
        <v>121</v>
      </c>
      <c r="R927" s="11">
        <v>8</v>
      </c>
      <c r="S927" s="11" t="str">
        <f t="shared" si="133"/>
        <v>5 - 8 yrs</v>
      </c>
      <c r="T927" s="12">
        <v>94</v>
      </c>
      <c r="U927" s="11" t="str">
        <f t="shared" si="134"/>
        <v>(51 - 100)</v>
      </c>
      <c r="V927" s="12">
        <f t="shared" si="135"/>
        <v>7.0033670033670035</v>
      </c>
      <c r="W927" s="12">
        <f t="shared" si="136"/>
        <v>364.31730769230768</v>
      </c>
      <c r="X927" s="12">
        <f t="shared" si="137"/>
        <v>0.45192307692307693</v>
      </c>
    </row>
    <row r="928" spans="1:24">
      <c r="A928" s="11">
        <v>927</v>
      </c>
      <c r="B928" s="11" t="s">
        <v>388</v>
      </c>
      <c r="C928" s="11" t="s">
        <v>50</v>
      </c>
      <c r="D928" s="11" t="s">
        <v>61</v>
      </c>
      <c r="E928" s="12">
        <v>10</v>
      </c>
      <c r="F928" s="11" t="s">
        <v>62</v>
      </c>
      <c r="G928" s="11" t="str">
        <f t="shared" si="138"/>
        <v>kWh</v>
      </c>
      <c r="H928" s="13">
        <v>592</v>
      </c>
      <c r="I928" s="11" t="s">
        <v>19</v>
      </c>
      <c r="J928" s="12">
        <v>48883</v>
      </c>
      <c r="K928" s="12" t="str">
        <f t="shared" si="130"/>
        <v>Medium</v>
      </c>
      <c r="L928" s="11" t="s">
        <v>20</v>
      </c>
      <c r="M928" s="14">
        <v>45540</v>
      </c>
      <c r="N928" s="14" t="str">
        <f t="shared" si="131"/>
        <v>05/09/2024</v>
      </c>
      <c r="O928" s="14" t="str">
        <f t="shared" si="132"/>
        <v>2024</v>
      </c>
      <c r="P928" s="11" t="s">
        <v>2277</v>
      </c>
      <c r="Q928" s="11" t="s">
        <v>2648</v>
      </c>
      <c r="R928" s="11">
        <v>20</v>
      </c>
      <c r="S928" s="11" t="str">
        <f t="shared" si="133"/>
        <v>17 + yrs</v>
      </c>
      <c r="T928" s="12">
        <v>0</v>
      </c>
      <c r="U928" s="11" t="str">
        <f t="shared" si="134"/>
        <v>(0 - 50)</v>
      </c>
      <c r="V928" s="12">
        <f t="shared" si="135"/>
        <v>59.2</v>
      </c>
      <c r="W928" s="12">
        <f t="shared" si="136"/>
        <v>82.57263513513513</v>
      </c>
      <c r="X928" s="12">
        <f t="shared" si="137"/>
        <v>0</v>
      </c>
    </row>
    <row r="929" spans="1:24">
      <c r="A929" s="11">
        <v>928</v>
      </c>
      <c r="B929" s="11" t="s">
        <v>2278</v>
      </c>
      <c r="C929" s="11" t="s">
        <v>50</v>
      </c>
      <c r="D929" s="11" t="s">
        <v>33</v>
      </c>
      <c r="E929" s="12">
        <v>36.9</v>
      </c>
      <c r="F929" s="11" t="s">
        <v>62</v>
      </c>
      <c r="G929" s="11" t="str">
        <f t="shared" si="138"/>
        <v>kWh</v>
      </c>
      <c r="H929" s="13">
        <v>477</v>
      </c>
      <c r="I929" s="11" t="s">
        <v>19</v>
      </c>
      <c r="J929" s="12">
        <v>90778</v>
      </c>
      <c r="K929" s="12" t="str">
        <f t="shared" si="130"/>
        <v>Very High</v>
      </c>
      <c r="L929" s="11" t="s">
        <v>20</v>
      </c>
      <c r="M929" s="14">
        <v>45261</v>
      </c>
      <c r="N929" s="14" t="str">
        <f t="shared" si="131"/>
        <v>01/12/2023</v>
      </c>
      <c r="O929" s="14" t="str">
        <f t="shared" si="132"/>
        <v>2023</v>
      </c>
      <c r="P929" s="11" t="s">
        <v>2280</v>
      </c>
      <c r="Q929" s="11" t="s">
        <v>117</v>
      </c>
      <c r="R929" s="11">
        <v>12</v>
      </c>
      <c r="S929" s="11" t="str">
        <f t="shared" si="133"/>
        <v>9 - 12 yrs</v>
      </c>
      <c r="T929" s="12">
        <v>115</v>
      </c>
      <c r="U929" s="11" t="str">
        <f t="shared" si="134"/>
        <v>(101 - 150)</v>
      </c>
      <c r="V929" s="12">
        <f t="shared" si="135"/>
        <v>12.926829268292684</v>
      </c>
      <c r="W929" s="12">
        <f t="shared" si="136"/>
        <v>190.31027253668762</v>
      </c>
      <c r="X929" s="12">
        <f t="shared" si="137"/>
        <v>0.24109014675052412</v>
      </c>
    </row>
    <row r="930" spans="1:24">
      <c r="A930" s="11">
        <v>929</v>
      </c>
      <c r="B930" s="11" t="s">
        <v>1820</v>
      </c>
      <c r="C930" s="11" t="s">
        <v>39</v>
      </c>
      <c r="D930" s="11" t="s">
        <v>114</v>
      </c>
      <c r="E930" s="12">
        <v>38.4</v>
      </c>
      <c r="F930" s="11" t="s">
        <v>56</v>
      </c>
      <c r="G930" s="11" t="str">
        <f t="shared" si="138"/>
        <v>Litres</v>
      </c>
      <c r="H930" s="13">
        <v>250</v>
      </c>
      <c r="I930" s="11" t="s">
        <v>19</v>
      </c>
      <c r="J930" s="12">
        <v>20031</v>
      </c>
      <c r="K930" s="12" t="str">
        <f t="shared" si="130"/>
        <v>Low</v>
      </c>
      <c r="L930" s="11" t="s">
        <v>20</v>
      </c>
      <c r="M930" s="14">
        <v>44967</v>
      </c>
      <c r="N930" s="14" t="str">
        <f t="shared" si="131"/>
        <v>10/02/2023</v>
      </c>
      <c r="O930" s="14" t="str">
        <f t="shared" si="132"/>
        <v>2023</v>
      </c>
      <c r="P930" s="11" t="s">
        <v>2282</v>
      </c>
      <c r="Q930" s="11" t="s">
        <v>112</v>
      </c>
      <c r="R930" s="11">
        <v>12</v>
      </c>
      <c r="S930" s="11" t="str">
        <f t="shared" si="133"/>
        <v>9 - 12 yrs</v>
      </c>
      <c r="T930" s="12">
        <v>92.6</v>
      </c>
      <c r="U930" s="11" t="str">
        <f t="shared" si="134"/>
        <v>(51 - 100)</v>
      </c>
      <c r="V930" s="12">
        <f t="shared" si="135"/>
        <v>6.510416666666667</v>
      </c>
      <c r="W930" s="12">
        <f t="shared" si="136"/>
        <v>80.123999999999995</v>
      </c>
      <c r="X930" s="12">
        <f t="shared" si="137"/>
        <v>0.37039999999999995</v>
      </c>
    </row>
    <row r="931" spans="1:24">
      <c r="A931" s="11">
        <v>930</v>
      </c>
      <c r="B931" s="11" t="s">
        <v>2283</v>
      </c>
      <c r="C931" s="11" t="s">
        <v>16</v>
      </c>
      <c r="D931" s="11" t="s">
        <v>17</v>
      </c>
      <c r="E931" s="12">
        <v>41.9</v>
      </c>
      <c r="F931" s="11" t="s">
        <v>62</v>
      </c>
      <c r="G931" s="11" t="str">
        <f t="shared" si="138"/>
        <v>kWh</v>
      </c>
      <c r="H931" s="13">
        <v>43</v>
      </c>
      <c r="I931" s="11" t="s">
        <v>19</v>
      </c>
      <c r="J931" s="12">
        <v>65838</v>
      </c>
      <c r="K931" s="12" t="str">
        <f t="shared" si="130"/>
        <v>Moderate</v>
      </c>
      <c r="L931" s="11" t="s">
        <v>20</v>
      </c>
      <c r="M931" s="14">
        <v>45041</v>
      </c>
      <c r="N931" s="14" t="str">
        <f t="shared" si="131"/>
        <v>25/04/2023</v>
      </c>
      <c r="O931" s="14" t="str">
        <f t="shared" si="132"/>
        <v>2023</v>
      </c>
      <c r="P931" s="11" t="s">
        <v>1100</v>
      </c>
      <c r="Q931" s="11" t="s">
        <v>54</v>
      </c>
      <c r="R931" s="11">
        <v>2</v>
      </c>
      <c r="S931" s="11" t="str">
        <f t="shared" si="133"/>
        <v>0 - 4 yrs</v>
      </c>
      <c r="T931" s="12">
        <v>106.1</v>
      </c>
      <c r="U931" s="11" t="str">
        <f t="shared" si="134"/>
        <v>(101 - 150)</v>
      </c>
      <c r="V931" s="12">
        <f t="shared" si="135"/>
        <v>1.0262529832935561</v>
      </c>
      <c r="W931" s="12">
        <f t="shared" si="136"/>
        <v>1531.1162790697674</v>
      </c>
      <c r="X931" s="12">
        <f t="shared" si="137"/>
        <v>2.467441860465116</v>
      </c>
    </row>
    <row r="932" spans="1:24">
      <c r="A932" s="11">
        <v>931</v>
      </c>
      <c r="B932" s="11" t="s">
        <v>2285</v>
      </c>
      <c r="C932" s="11" t="s">
        <v>50</v>
      </c>
      <c r="D932" s="11" t="s">
        <v>17</v>
      </c>
      <c r="E932" s="12">
        <v>57</v>
      </c>
      <c r="F932" s="11" t="s">
        <v>26</v>
      </c>
      <c r="G932" s="11" t="str">
        <f t="shared" si="138"/>
        <v>Litres</v>
      </c>
      <c r="H932" s="13">
        <v>559</v>
      </c>
      <c r="I932" s="11" t="s">
        <v>19</v>
      </c>
      <c r="J932" s="12">
        <v>113467</v>
      </c>
      <c r="K932" s="12" t="str">
        <f t="shared" si="130"/>
        <v>Extreme</v>
      </c>
      <c r="L932" s="11" t="s">
        <v>20</v>
      </c>
      <c r="M932" s="14">
        <v>45211</v>
      </c>
      <c r="N932" s="14" t="str">
        <f t="shared" si="131"/>
        <v>12/10/2023</v>
      </c>
      <c r="O932" s="14" t="str">
        <f t="shared" si="132"/>
        <v>2023</v>
      </c>
      <c r="P932" s="11" t="s">
        <v>2287</v>
      </c>
      <c r="Q932" s="11" t="s">
        <v>117</v>
      </c>
      <c r="R932" s="11">
        <v>11</v>
      </c>
      <c r="S932" s="11" t="str">
        <f t="shared" si="133"/>
        <v>9 - 12 yrs</v>
      </c>
      <c r="T932" s="12">
        <v>152.6</v>
      </c>
      <c r="U932" s="11" t="str">
        <f t="shared" si="134"/>
        <v>(151 - 200)</v>
      </c>
      <c r="V932" s="12">
        <f t="shared" si="135"/>
        <v>9.807017543859649</v>
      </c>
      <c r="W932" s="12">
        <f t="shared" si="136"/>
        <v>202.98211091234347</v>
      </c>
      <c r="X932" s="12">
        <f t="shared" si="137"/>
        <v>0.2729874776386404</v>
      </c>
    </row>
    <row r="933" spans="1:24">
      <c r="A933" s="11">
        <v>932</v>
      </c>
      <c r="B933" s="11" t="s">
        <v>2288</v>
      </c>
      <c r="C933" s="11" t="s">
        <v>50</v>
      </c>
      <c r="D933" s="11" t="s">
        <v>17</v>
      </c>
      <c r="E933" s="12">
        <v>92.8</v>
      </c>
      <c r="F933" s="11" t="s">
        <v>41</v>
      </c>
      <c r="G933" s="11" t="str">
        <f t="shared" si="138"/>
        <v>Litres</v>
      </c>
      <c r="H933" s="13">
        <v>283</v>
      </c>
      <c r="I933" s="11" t="s">
        <v>19</v>
      </c>
      <c r="J933" s="12">
        <v>45607</v>
      </c>
      <c r="K933" s="12" t="str">
        <f t="shared" si="130"/>
        <v>Medium</v>
      </c>
      <c r="L933" s="11" t="s">
        <v>20</v>
      </c>
      <c r="M933" s="14">
        <v>45050</v>
      </c>
      <c r="N933" s="14" t="str">
        <f t="shared" si="131"/>
        <v>04/05/2023</v>
      </c>
      <c r="O933" s="14" t="str">
        <f t="shared" si="132"/>
        <v>2023</v>
      </c>
      <c r="P933" s="11" t="s">
        <v>1280</v>
      </c>
      <c r="Q933" s="11" t="s">
        <v>121</v>
      </c>
      <c r="R933" s="11">
        <v>4</v>
      </c>
      <c r="S933" s="11" t="str">
        <f t="shared" si="133"/>
        <v>0 - 4 yrs</v>
      </c>
      <c r="T933" s="12">
        <v>210.8</v>
      </c>
      <c r="U933" s="11" t="str">
        <f t="shared" si="134"/>
        <v>(201 - 250)</v>
      </c>
      <c r="V933" s="12">
        <f t="shared" si="135"/>
        <v>3.0495689655172415</v>
      </c>
      <c r="W933" s="12">
        <f t="shared" si="136"/>
        <v>161.15547703180212</v>
      </c>
      <c r="X933" s="12">
        <f t="shared" si="137"/>
        <v>0.74487632508833923</v>
      </c>
    </row>
    <row r="934" spans="1:24">
      <c r="A934" s="11">
        <v>933</v>
      </c>
      <c r="B934" s="11" t="s">
        <v>2290</v>
      </c>
      <c r="C934" s="11" t="s">
        <v>50</v>
      </c>
      <c r="D934" s="11" t="s">
        <v>33</v>
      </c>
      <c r="E934" s="12">
        <v>48.9</v>
      </c>
      <c r="F934" s="11" t="s">
        <v>56</v>
      </c>
      <c r="G934" s="11" t="str">
        <f t="shared" si="138"/>
        <v>Litres</v>
      </c>
      <c r="H934" s="13">
        <v>506</v>
      </c>
      <c r="I934" s="11" t="s">
        <v>19</v>
      </c>
      <c r="J934" s="12">
        <v>2495</v>
      </c>
      <c r="K934" s="12" t="str">
        <f t="shared" ref="K934:K997" si="139">IF(J934&lt;18000,"Very Low",IF(J934&lt;36000,"Low",IF(J934&lt;54000,"Medium",IF(J934&lt;72000,"Moderate",IF(J934&lt;90000,"High",IF(J934&lt;108000,"Very High","Extreme"))))))</f>
        <v>Very Low</v>
      </c>
      <c r="L934" s="11" t="s">
        <v>20</v>
      </c>
      <c r="M934" s="14">
        <v>45815</v>
      </c>
      <c r="N934" s="14" t="str">
        <f t="shared" ref="N934:N997" si="140">TEXT(M934,"dd/mm/yyyy")</f>
        <v>07/06/2025</v>
      </c>
      <c r="O934" s="14" t="str">
        <f t="shared" ref="O934:O997" si="141">TEXT(M934,"yyyy")</f>
        <v>2025</v>
      </c>
      <c r="P934" s="11" t="s">
        <v>1218</v>
      </c>
      <c r="Q934" s="11" t="s">
        <v>86</v>
      </c>
      <c r="R934" s="11">
        <v>11</v>
      </c>
      <c r="S934" s="11" t="str">
        <f t="shared" ref="S934:S997" si="142">IF(R934&lt;=4,"0 - 4 yrs",IF(R934&lt;=8,"5 - 8 yrs",IF(R934&lt;=12,"9 - 12 yrs",IF(R934&lt;=16,"13 - 16 yrs","17 + yrs"))))</f>
        <v>9 - 12 yrs</v>
      </c>
      <c r="T934" s="12">
        <v>123.9</v>
      </c>
      <c r="U934" s="11" t="str">
        <f t="shared" si="134"/>
        <v>(101 - 150)</v>
      </c>
      <c r="V934" s="12">
        <f t="shared" si="135"/>
        <v>10.347648261758691</v>
      </c>
      <c r="W934" s="12">
        <f t="shared" si="136"/>
        <v>4.9308300395256914</v>
      </c>
      <c r="X934" s="12">
        <f t="shared" si="137"/>
        <v>0.24486166007905139</v>
      </c>
    </row>
    <row r="935" spans="1:24">
      <c r="A935" s="11">
        <v>934</v>
      </c>
      <c r="B935" s="11" t="s">
        <v>2292</v>
      </c>
      <c r="C935" s="11" t="s">
        <v>16</v>
      </c>
      <c r="D935" s="11" t="s">
        <v>114</v>
      </c>
      <c r="E935" s="12">
        <v>14.5</v>
      </c>
      <c r="F935" s="11" t="s">
        <v>56</v>
      </c>
      <c r="G935" s="11" t="str">
        <f t="shared" si="138"/>
        <v>Litres</v>
      </c>
      <c r="H935" s="13">
        <v>258</v>
      </c>
      <c r="I935" s="11" t="s">
        <v>19</v>
      </c>
      <c r="J935" s="12">
        <v>115908</v>
      </c>
      <c r="K935" s="12" t="str">
        <f t="shared" si="139"/>
        <v>Extreme</v>
      </c>
      <c r="L935" s="11" t="s">
        <v>20</v>
      </c>
      <c r="M935" s="14">
        <v>45489</v>
      </c>
      <c r="N935" s="14" t="str">
        <f t="shared" si="140"/>
        <v>16/07/2024</v>
      </c>
      <c r="O935" s="14" t="str">
        <f t="shared" si="141"/>
        <v>2024</v>
      </c>
      <c r="P935" s="11" t="s">
        <v>943</v>
      </c>
      <c r="Q935" s="11" t="s">
        <v>86</v>
      </c>
      <c r="R935" s="11">
        <v>11</v>
      </c>
      <c r="S935" s="11" t="str">
        <f t="shared" si="142"/>
        <v>9 - 12 yrs</v>
      </c>
      <c r="T935" s="12">
        <v>42.3</v>
      </c>
      <c r="U935" s="11" t="str">
        <f t="shared" si="134"/>
        <v>(0 - 50)</v>
      </c>
      <c r="V935" s="12">
        <f t="shared" si="135"/>
        <v>17.793103448275861</v>
      </c>
      <c r="W935" s="12">
        <f t="shared" si="136"/>
        <v>449.25581395348837</v>
      </c>
      <c r="X935" s="12">
        <f t="shared" si="137"/>
        <v>0.163953488372093</v>
      </c>
    </row>
    <row r="936" spans="1:24">
      <c r="A936" s="11">
        <v>935</v>
      </c>
      <c r="B936" s="11" t="s">
        <v>2294</v>
      </c>
      <c r="C936" s="11" t="s">
        <v>39</v>
      </c>
      <c r="D936" s="11" t="s">
        <v>61</v>
      </c>
      <c r="E936" s="12">
        <v>10</v>
      </c>
      <c r="F936" s="11" t="s">
        <v>62</v>
      </c>
      <c r="G936" s="11" t="str">
        <f t="shared" si="138"/>
        <v>kWh</v>
      </c>
      <c r="H936" s="13">
        <v>445</v>
      </c>
      <c r="I936" s="11" t="s">
        <v>19</v>
      </c>
      <c r="J936" s="12">
        <v>9238</v>
      </c>
      <c r="K936" s="12" t="str">
        <f t="shared" si="139"/>
        <v>Very Low</v>
      </c>
      <c r="L936" s="11" t="s">
        <v>20</v>
      </c>
      <c r="M936" s="14">
        <v>45466</v>
      </c>
      <c r="N936" s="14" t="str">
        <f t="shared" si="140"/>
        <v>23/06/2024</v>
      </c>
      <c r="O936" s="14" t="str">
        <f t="shared" si="141"/>
        <v>2024</v>
      </c>
      <c r="P936" s="11" t="s">
        <v>1055</v>
      </c>
      <c r="Q936" s="11" t="s">
        <v>69</v>
      </c>
      <c r="R936" s="11">
        <v>7</v>
      </c>
      <c r="S936" s="11" t="str">
        <f t="shared" si="142"/>
        <v>5 - 8 yrs</v>
      </c>
      <c r="T936" s="12">
        <v>0</v>
      </c>
      <c r="U936" s="11" t="str">
        <f t="shared" si="134"/>
        <v>(0 - 50)</v>
      </c>
      <c r="V936" s="12">
        <f t="shared" si="135"/>
        <v>44.5</v>
      </c>
      <c r="W936" s="12">
        <f t="shared" si="136"/>
        <v>20.759550561797752</v>
      </c>
      <c r="X936" s="12">
        <f t="shared" si="137"/>
        <v>0</v>
      </c>
    </row>
    <row r="937" spans="1:24">
      <c r="A937" s="11">
        <v>936</v>
      </c>
      <c r="B937" s="11" t="s">
        <v>2295</v>
      </c>
      <c r="C937" s="11" t="s">
        <v>50</v>
      </c>
      <c r="D937" s="11" t="s">
        <v>61</v>
      </c>
      <c r="E937" s="12">
        <v>10</v>
      </c>
      <c r="F937" s="11" t="s">
        <v>56</v>
      </c>
      <c r="G937" s="11" t="str">
        <f t="shared" si="138"/>
        <v>Litres</v>
      </c>
      <c r="H937" s="13">
        <v>349</v>
      </c>
      <c r="I937" s="11" t="s">
        <v>19</v>
      </c>
      <c r="J937" s="12">
        <v>118667</v>
      </c>
      <c r="K937" s="12" t="str">
        <f t="shared" si="139"/>
        <v>Extreme</v>
      </c>
      <c r="L937" s="11" t="s">
        <v>20</v>
      </c>
      <c r="M937" s="14">
        <v>45310</v>
      </c>
      <c r="N937" s="14" t="str">
        <f t="shared" si="140"/>
        <v>19/01/2024</v>
      </c>
      <c r="O937" s="14" t="str">
        <f t="shared" si="141"/>
        <v>2024</v>
      </c>
      <c r="P937" s="11" t="s">
        <v>1242</v>
      </c>
      <c r="Q937" s="11" t="s">
        <v>54</v>
      </c>
      <c r="R937" s="11">
        <v>10</v>
      </c>
      <c r="S937" s="11" t="str">
        <f t="shared" si="142"/>
        <v>9 - 12 yrs</v>
      </c>
      <c r="T937" s="12">
        <v>0</v>
      </c>
      <c r="U937" s="11" t="str">
        <f t="shared" si="134"/>
        <v>(0 - 50)</v>
      </c>
      <c r="V937" s="12">
        <f t="shared" si="135"/>
        <v>34.9</v>
      </c>
      <c r="W937" s="12">
        <f t="shared" si="136"/>
        <v>340.02005730659027</v>
      </c>
      <c r="X937" s="12">
        <f t="shared" si="137"/>
        <v>0</v>
      </c>
    </row>
    <row r="938" spans="1:24">
      <c r="A938" s="11">
        <v>937</v>
      </c>
      <c r="B938" s="11" t="s">
        <v>2297</v>
      </c>
      <c r="C938" s="11" t="s">
        <v>32</v>
      </c>
      <c r="D938" s="11" t="s">
        <v>114</v>
      </c>
      <c r="E938" s="12">
        <v>20.9</v>
      </c>
      <c r="F938" s="11" t="s">
        <v>62</v>
      </c>
      <c r="G938" s="11" t="str">
        <f t="shared" si="138"/>
        <v>kWh</v>
      </c>
      <c r="H938" s="13">
        <v>693</v>
      </c>
      <c r="I938" s="11" t="s">
        <v>19</v>
      </c>
      <c r="J938" s="12">
        <v>80265</v>
      </c>
      <c r="K938" s="12" t="str">
        <f t="shared" si="139"/>
        <v>High</v>
      </c>
      <c r="L938" s="11" t="s">
        <v>20</v>
      </c>
      <c r="M938" s="14">
        <v>45607</v>
      </c>
      <c r="N938" s="14" t="str">
        <f t="shared" si="140"/>
        <v>11/11/2024</v>
      </c>
      <c r="O938" s="14" t="str">
        <f t="shared" si="141"/>
        <v>2024</v>
      </c>
      <c r="P938" s="11" t="s">
        <v>2299</v>
      </c>
      <c r="Q938" s="11" t="s">
        <v>69</v>
      </c>
      <c r="R938" s="11">
        <v>14</v>
      </c>
      <c r="S938" s="11" t="str">
        <f t="shared" si="142"/>
        <v>13 - 16 yrs</v>
      </c>
      <c r="T938" s="12">
        <v>51</v>
      </c>
      <c r="U938" s="11" t="str">
        <f t="shared" si="134"/>
        <v>(51 - 100)</v>
      </c>
      <c r="V938" s="12">
        <f t="shared" si="135"/>
        <v>33.15789473684211</v>
      </c>
      <c r="W938" s="12">
        <f t="shared" si="136"/>
        <v>115.82251082251082</v>
      </c>
      <c r="X938" s="12">
        <f t="shared" si="137"/>
        <v>7.3593073593073599E-2</v>
      </c>
    </row>
    <row r="939" spans="1:24">
      <c r="A939" s="11">
        <v>938</v>
      </c>
      <c r="B939" s="11" t="s">
        <v>2632</v>
      </c>
      <c r="C939" s="11" t="s">
        <v>50</v>
      </c>
      <c r="D939" s="11" t="s">
        <v>61</v>
      </c>
      <c r="E939" s="12">
        <v>10</v>
      </c>
      <c r="F939" s="11" t="s">
        <v>62</v>
      </c>
      <c r="G939" s="11" t="str">
        <f t="shared" si="138"/>
        <v>kWh</v>
      </c>
      <c r="H939" s="13">
        <v>232</v>
      </c>
      <c r="I939" s="11" t="s">
        <v>19</v>
      </c>
      <c r="J939" s="12">
        <v>68545</v>
      </c>
      <c r="K939" s="12" t="str">
        <f t="shared" si="139"/>
        <v>Moderate</v>
      </c>
      <c r="L939" s="11" t="s">
        <v>20</v>
      </c>
      <c r="M939" s="14">
        <v>45135</v>
      </c>
      <c r="N939" s="14" t="str">
        <f t="shared" si="140"/>
        <v>28/07/2023</v>
      </c>
      <c r="O939" s="14" t="str">
        <f t="shared" si="141"/>
        <v>2023</v>
      </c>
      <c r="P939" s="11" t="s">
        <v>2302</v>
      </c>
      <c r="Q939" s="11" t="s">
        <v>121</v>
      </c>
      <c r="R939" s="11">
        <v>10</v>
      </c>
      <c r="S939" s="11" t="str">
        <f t="shared" si="142"/>
        <v>9 - 12 yrs</v>
      </c>
      <c r="T939" s="12">
        <v>0</v>
      </c>
      <c r="U939" s="11" t="str">
        <f t="shared" si="134"/>
        <v>(0 - 50)</v>
      </c>
      <c r="V939" s="12">
        <f t="shared" si="135"/>
        <v>23.2</v>
      </c>
      <c r="W939" s="12">
        <f t="shared" si="136"/>
        <v>295.45258620689657</v>
      </c>
      <c r="X939" s="12">
        <f t="shared" si="137"/>
        <v>0</v>
      </c>
    </row>
    <row r="940" spans="1:24">
      <c r="A940" s="11">
        <v>939</v>
      </c>
      <c r="B940" s="11" t="s">
        <v>2303</v>
      </c>
      <c r="C940" s="11" t="s">
        <v>32</v>
      </c>
      <c r="D940" s="11" t="s">
        <v>17</v>
      </c>
      <c r="E940" s="12">
        <v>8.5</v>
      </c>
      <c r="F940" s="11" t="s">
        <v>41</v>
      </c>
      <c r="G940" s="11" t="str">
        <f t="shared" si="138"/>
        <v>Litres</v>
      </c>
      <c r="H940" s="13">
        <v>435</v>
      </c>
      <c r="I940" s="11" t="s">
        <v>19</v>
      </c>
      <c r="J940" s="12">
        <v>47488</v>
      </c>
      <c r="K940" s="12" t="str">
        <f t="shared" si="139"/>
        <v>Medium</v>
      </c>
      <c r="L940" s="11" t="s">
        <v>20</v>
      </c>
      <c r="M940" s="14">
        <v>45796</v>
      </c>
      <c r="N940" s="14" t="str">
        <f t="shared" si="140"/>
        <v>19/05/2025</v>
      </c>
      <c r="O940" s="14" t="str">
        <f t="shared" si="141"/>
        <v>2025</v>
      </c>
      <c r="P940" s="11" t="s">
        <v>1090</v>
      </c>
      <c r="Q940" s="11" t="s">
        <v>48</v>
      </c>
      <c r="R940" s="11">
        <v>18</v>
      </c>
      <c r="S940" s="11" t="str">
        <f t="shared" si="142"/>
        <v>17 + yrs</v>
      </c>
      <c r="T940" s="12">
        <v>28.8</v>
      </c>
      <c r="U940" s="11" t="str">
        <f t="shared" si="134"/>
        <v>(0 - 50)</v>
      </c>
      <c r="V940" s="12">
        <f t="shared" si="135"/>
        <v>51.176470588235297</v>
      </c>
      <c r="W940" s="12">
        <f t="shared" si="136"/>
        <v>109.16781609195402</v>
      </c>
      <c r="X940" s="12">
        <f t="shared" si="137"/>
        <v>6.620689655172414E-2</v>
      </c>
    </row>
    <row r="941" spans="1:24">
      <c r="A941" s="11">
        <v>940</v>
      </c>
      <c r="B941" s="11" t="s">
        <v>2633</v>
      </c>
      <c r="C941" s="11" t="s">
        <v>39</v>
      </c>
      <c r="D941" s="11" t="s">
        <v>114</v>
      </c>
      <c r="E941" s="12">
        <v>50.8</v>
      </c>
      <c r="F941" s="11" t="s">
        <v>62</v>
      </c>
      <c r="G941" s="11" t="str">
        <f t="shared" si="138"/>
        <v>kWh</v>
      </c>
      <c r="H941" s="13">
        <v>341</v>
      </c>
      <c r="I941" s="11" t="s">
        <v>19</v>
      </c>
      <c r="J941" s="12">
        <v>46040</v>
      </c>
      <c r="K941" s="12" t="str">
        <f t="shared" si="139"/>
        <v>Medium</v>
      </c>
      <c r="L941" s="11" t="s">
        <v>20</v>
      </c>
      <c r="M941" s="14">
        <v>45648</v>
      </c>
      <c r="N941" s="14" t="str">
        <f t="shared" si="140"/>
        <v>22/12/2024</v>
      </c>
      <c r="O941" s="14" t="str">
        <f t="shared" si="141"/>
        <v>2024</v>
      </c>
      <c r="P941" s="11" t="s">
        <v>1181</v>
      </c>
      <c r="Q941" s="11" t="s">
        <v>441</v>
      </c>
      <c r="R941" s="11">
        <v>11</v>
      </c>
      <c r="S941" s="11" t="str">
        <f t="shared" si="142"/>
        <v>9 - 12 yrs</v>
      </c>
      <c r="T941" s="12">
        <v>158</v>
      </c>
      <c r="U941" s="11" t="str">
        <f t="shared" si="134"/>
        <v>(151 - 200)</v>
      </c>
      <c r="V941" s="12">
        <f t="shared" si="135"/>
        <v>6.7125984251968509</v>
      </c>
      <c r="W941" s="12">
        <f t="shared" si="136"/>
        <v>135.01466275659823</v>
      </c>
      <c r="X941" s="12">
        <f t="shared" si="137"/>
        <v>0.4633431085043988</v>
      </c>
    </row>
    <row r="942" spans="1:24">
      <c r="A942" s="11">
        <v>941</v>
      </c>
      <c r="B942" s="11" t="s">
        <v>2307</v>
      </c>
      <c r="C942" s="11" t="s">
        <v>32</v>
      </c>
      <c r="D942" s="11" t="s">
        <v>17</v>
      </c>
      <c r="E942" s="12">
        <v>77.3</v>
      </c>
      <c r="F942" s="11" t="s">
        <v>62</v>
      </c>
      <c r="G942" s="11" t="str">
        <f t="shared" si="138"/>
        <v>kWh</v>
      </c>
      <c r="H942" s="13">
        <v>259</v>
      </c>
      <c r="I942" s="11" t="s">
        <v>19</v>
      </c>
      <c r="J942" s="12">
        <v>50941</v>
      </c>
      <c r="K942" s="12" t="str">
        <f t="shared" si="139"/>
        <v>Medium</v>
      </c>
      <c r="L942" s="11" t="s">
        <v>20</v>
      </c>
      <c r="M942" s="14">
        <v>45185</v>
      </c>
      <c r="N942" s="14" t="str">
        <f t="shared" si="140"/>
        <v>16/09/2023</v>
      </c>
      <c r="O942" s="14" t="str">
        <f t="shared" si="141"/>
        <v>2023</v>
      </c>
      <c r="P942" s="11" t="s">
        <v>2309</v>
      </c>
      <c r="Q942" s="11" t="s">
        <v>48</v>
      </c>
      <c r="R942" s="11">
        <v>15</v>
      </c>
      <c r="S942" s="11" t="str">
        <f t="shared" si="142"/>
        <v>13 - 16 yrs</v>
      </c>
      <c r="T942" s="12">
        <v>211.4</v>
      </c>
      <c r="U942" s="11" t="str">
        <f t="shared" si="134"/>
        <v>(201 - 250)</v>
      </c>
      <c r="V942" s="12">
        <f t="shared" si="135"/>
        <v>3.3505821474773612</v>
      </c>
      <c r="W942" s="12">
        <f t="shared" si="136"/>
        <v>196.68339768339769</v>
      </c>
      <c r="X942" s="12">
        <f t="shared" si="137"/>
        <v>0.81621621621621621</v>
      </c>
    </row>
    <row r="943" spans="1:24">
      <c r="A943" s="11">
        <v>942</v>
      </c>
      <c r="B943" s="11" t="s">
        <v>2310</v>
      </c>
      <c r="C943" s="11" t="s">
        <v>16</v>
      </c>
      <c r="D943" s="11" t="s">
        <v>33</v>
      </c>
      <c r="E943" s="12">
        <v>63.5</v>
      </c>
      <c r="F943" s="11" t="s">
        <v>41</v>
      </c>
      <c r="G943" s="11" t="str">
        <f t="shared" si="138"/>
        <v>Litres</v>
      </c>
      <c r="H943" s="13">
        <v>682</v>
      </c>
      <c r="I943" s="11" t="s">
        <v>19</v>
      </c>
      <c r="J943" s="12">
        <v>66441</v>
      </c>
      <c r="K943" s="12" t="str">
        <f t="shared" si="139"/>
        <v>Moderate</v>
      </c>
      <c r="L943" s="11" t="s">
        <v>20</v>
      </c>
      <c r="M943" s="14">
        <v>45574</v>
      </c>
      <c r="N943" s="14" t="str">
        <f t="shared" si="140"/>
        <v>09/10/2024</v>
      </c>
      <c r="O943" s="14" t="str">
        <f t="shared" si="141"/>
        <v>2024</v>
      </c>
      <c r="P943" s="11" t="s">
        <v>2312</v>
      </c>
      <c r="Q943" s="11" t="s">
        <v>441</v>
      </c>
      <c r="R943" s="11">
        <v>2</v>
      </c>
      <c r="S943" s="11" t="str">
        <f t="shared" si="142"/>
        <v>0 - 4 yrs</v>
      </c>
      <c r="T943" s="12">
        <v>135.6</v>
      </c>
      <c r="U943" s="11" t="str">
        <f t="shared" si="134"/>
        <v>(101 - 150)</v>
      </c>
      <c r="V943" s="12">
        <f t="shared" si="135"/>
        <v>10.740157480314961</v>
      </c>
      <c r="W943" s="12">
        <f t="shared" si="136"/>
        <v>97.420821114369502</v>
      </c>
      <c r="X943" s="12">
        <f t="shared" si="137"/>
        <v>0.19882697947214076</v>
      </c>
    </row>
    <row r="944" spans="1:24">
      <c r="A944" s="11">
        <v>943</v>
      </c>
      <c r="B944" s="11" t="s">
        <v>2313</v>
      </c>
      <c r="C944" s="11" t="s">
        <v>39</v>
      </c>
      <c r="D944" s="11" t="s">
        <v>33</v>
      </c>
      <c r="E944" s="12">
        <v>71.5</v>
      </c>
      <c r="F944" s="11" t="s">
        <v>26</v>
      </c>
      <c r="G944" s="11" t="str">
        <f t="shared" si="138"/>
        <v>Litres</v>
      </c>
      <c r="H944" s="13">
        <v>527</v>
      </c>
      <c r="I944" s="11" t="s">
        <v>19</v>
      </c>
      <c r="J944" s="12">
        <v>19612</v>
      </c>
      <c r="K944" s="12" t="str">
        <f t="shared" si="139"/>
        <v>Low</v>
      </c>
      <c r="L944" s="11" t="s">
        <v>20</v>
      </c>
      <c r="M944" s="14">
        <v>45754</v>
      </c>
      <c r="N944" s="14" t="str">
        <f t="shared" si="140"/>
        <v>07/04/2025</v>
      </c>
      <c r="O944" s="14" t="str">
        <f t="shared" si="141"/>
        <v>2025</v>
      </c>
      <c r="P944" s="11" t="s">
        <v>627</v>
      </c>
      <c r="Q944" s="11" t="s">
        <v>117</v>
      </c>
      <c r="R944" s="11">
        <v>17</v>
      </c>
      <c r="S944" s="11" t="str">
        <f t="shared" si="142"/>
        <v>17 + yrs</v>
      </c>
      <c r="T944" s="12">
        <v>243.6</v>
      </c>
      <c r="U944" s="11" t="str">
        <f t="shared" si="134"/>
        <v>(201 - 250)</v>
      </c>
      <c r="V944" s="12">
        <f t="shared" si="135"/>
        <v>7.3706293706293708</v>
      </c>
      <c r="W944" s="12">
        <f t="shared" si="136"/>
        <v>37.214421252371913</v>
      </c>
      <c r="X944" s="12">
        <f t="shared" si="137"/>
        <v>0.4622390891840607</v>
      </c>
    </row>
    <row r="945" spans="1:24">
      <c r="A945" s="11">
        <v>944</v>
      </c>
      <c r="B945" s="11" t="s">
        <v>1072</v>
      </c>
      <c r="C945" s="11" t="s">
        <v>16</v>
      </c>
      <c r="D945" s="11" t="s">
        <v>33</v>
      </c>
      <c r="E945" s="12">
        <v>19.399999999999999</v>
      </c>
      <c r="F945" s="11" t="s">
        <v>26</v>
      </c>
      <c r="G945" s="11" t="str">
        <f t="shared" si="138"/>
        <v>Litres</v>
      </c>
      <c r="H945" s="13">
        <v>104</v>
      </c>
      <c r="I945" s="11" t="s">
        <v>19</v>
      </c>
      <c r="J945" s="12">
        <v>87598</v>
      </c>
      <c r="K945" s="12" t="str">
        <f t="shared" si="139"/>
        <v>High</v>
      </c>
      <c r="L945" s="11" t="s">
        <v>20</v>
      </c>
      <c r="M945" s="14">
        <v>45576</v>
      </c>
      <c r="N945" s="14" t="str">
        <f t="shared" si="140"/>
        <v>11/10/2024</v>
      </c>
      <c r="O945" s="14" t="str">
        <f t="shared" si="141"/>
        <v>2024</v>
      </c>
      <c r="P945" s="11" t="s">
        <v>844</v>
      </c>
      <c r="Q945" s="11" t="s">
        <v>69</v>
      </c>
      <c r="R945" s="11">
        <v>16</v>
      </c>
      <c r="S945" s="11" t="str">
        <f t="shared" si="142"/>
        <v>13 - 16 yrs</v>
      </c>
      <c r="T945" s="12">
        <v>55.5</v>
      </c>
      <c r="U945" s="11" t="str">
        <f t="shared" si="134"/>
        <v>(51 - 100)</v>
      </c>
      <c r="V945" s="12">
        <f t="shared" si="135"/>
        <v>5.3608247422680417</v>
      </c>
      <c r="W945" s="12">
        <f t="shared" si="136"/>
        <v>842.28846153846155</v>
      </c>
      <c r="X945" s="12">
        <f t="shared" si="137"/>
        <v>0.53365384615384615</v>
      </c>
    </row>
    <row r="946" spans="1:24">
      <c r="A946" s="11">
        <v>945</v>
      </c>
      <c r="B946" s="11" t="s">
        <v>2315</v>
      </c>
      <c r="C946" s="11" t="s">
        <v>16</v>
      </c>
      <c r="D946" s="11" t="s">
        <v>33</v>
      </c>
      <c r="E946" s="12">
        <v>13.1</v>
      </c>
      <c r="F946" s="11" t="s">
        <v>56</v>
      </c>
      <c r="G946" s="11" t="str">
        <f t="shared" si="138"/>
        <v>Litres</v>
      </c>
      <c r="H946" s="13">
        <v>268</v>
      </c>
      <c r="I946" s="11" t="s">
        <v>19</v>
      </c>
      <c r="J946" s="12">
        <v>12706</v>
      </c>
      <c r="K946" s="12" t="str">
        <f t="shared" si="139"/>
        <v>Very Low</v>
      </c>
      <c r="L946" s="11" t="s">
        <v>20</v>
      </c>
      <c r="M946" s="14">
        <v>45420</v>
      </c>
      <c r="N946" s="14" t="str">
        <f t="shared" si="140"/>
        <v>08/05/2024</v>
      </c>
      <c r="O946" s="14" t="str">
        <f t="shared" si="141"/>
        <v>2024</v>
      </c>
      <c r="P946" s="11" t="s">
        <v>2317</v>
      </c>
      <c r="Q946" s="11" t="s">
        <v>48</v>
      </c>
      <c r="R946" s="11">
        <v>9</v>
      </c>
      <c r="S946" s="11" t="str">
        <f t="shared" si="142"/>
        <v>9 - 12 yrs</v>
      </c>
      <c r="T946" s="12">
        <v>26.5</v>
      </c>
      <c r="U946" s="11" t="str">
        <f t="shared" si="134"/>
        <v>(0 - 50)</v>
      </c>
      <c r="V946" s="12">
        <f t="shared" si="135"/>
        <v>20.458015267175572</v>
      </c>
      <c r="W946" s="12">
        <f t="shared" si="136"/>
        <v>47.410447761194028</v>
      </c>
      <c r="X946" s="12">
        <f t="shared" si="137"/>
        <v>9.8880597014925367E-2</v>
      </c>
    </row>
    <row r="947" spans="1:24">
      <c r="A947" s="11">
        <v>946</v>
      </c>
      <c r="B947" s="11" t="s">
        <v>2059</v>
      </c>
      <c r="C947" s="11" t="s">
        <v>39</v>
      </c>
      <c r="D947" s="11" t="s">
        <v>33</v>
      </c>
      <c r="E947" s="12">
        <v>15.9</v>
      </c>
      <c r="F947" s="11" t="s">
        <v>41</v>
      </c>
      <c r="G947" s="11" t="str">
        <f t="shared" si="138"/>
        <v>Litres</v>
      </c>
      <c r="H947" s="13">
        <v>504</v>
      </c>
      <c r="I947" s="11" t="s">
        <v>19</v>
      </c>
      <c r="J947" s="12">
        <v>78809</v>
      </c>
      <c r="K947" s="12" t="str">
        <f t="shared" si="139"/>
        <v>High</v>
      </c>
      <c r="L947" s="11" t="s">
        <v>20</v>
      </c>
      <c r="M947" s="14">
        <v>45177</v>
      </c>
      <c r="N947" s="14" t="str">
        <f t="shared" si="140"/>
        <v>08/09/2023</v>
      </c>
      <c r="O947" s="14" t="str">
        <f t="shared" si="141"/>
        <v>2023</v>
      </c>
      <c r="P947" s="11" t="s">
        <v>2318</v>
      </c>
      <c r="Q947" s="11" t="s">
        <v>54</v>
      </c>
      <c r="R947" s="11">
        <v>11</v>
      </c>
      <c r="S947" s="11" t="str">
        <f t="shared" si="142"/>
        <v>9 - 12 yrs</v>
      </c>
      <c r="T947" s="12">
        <v>43.3</v>
      </c>
      <c r="U947" s="11" t="str">
        <f t="shared" si="134"/>
        <v>(0 - 50)</v>
      </c>
      <c r="V947" s="12">
        <f t="shared" si="135"/>
        <v>31.69811320754717</v>
      </c>
      <c r="W947" s="12">
        <f t="shared" si="136"/>
        <v>156.36706349206349</v>
      </c>
      <c r="X947" s="12">
        <f t="shared" si="137"/>
        <v>8.5912698412698413E-2</v>
      </c>
    </row>
    <row r="948" spans="1:24">
      <c r="A948" s="11">
        <v>947</v>
      </c>
      <c r="B948" s="11" t="s">
        <v>2501</v>
      </c>
      <c r="C948" s="11" t="s">
        <v>32</v>
      </c>
      <c r="D948" s="11" t="s">
        <v>33</v>
      </c>
      <c r="E948" s="12">
        <v>73</v>
      </c>
      <c r="F948" s="11" t="s">
        <v>62</v>
      </c>
      <c r="G948" s="11" t="str">
        <f t="shared" si="138"/>
        <v>kWh</v>
      </c>
      <c r="H948" s="13">
        <v>421</v>
      </c>
      <c r="I948" s="11" t="s">
        <v>19</v>
      </c>
      <c r="J948" s="12">
        <v>114022</v>
      </c>
      <c r="K948" s="12" t="str">
        <f t="shared" si="139"/>
        <v>Extreme</v>
      </c>
      <c r="L948" s="11" t="s">
        <v>20</v>
      </c>
      <c r="M948" s="14">
        <v>45473</v>
      </c>
      <c r="N948" s="14" t="str">
        <f t="shared" si="140"/>
        <v>30/06/2024</v>
      </c>
      <c r="O948" s="14" t="str">
        <f t="shared" si="141"/>
        <v>2024</v>
      </c>
      <c r="P948" s="11" t="s">
        <v>980</v>
      </c>
      <c r="Q948" s="11" t="s">
        <v>69</v>
      </c>
      <c r="R948" s="11">
        <v>11</v>
      </c>
      <c r="S948" s="11" t="str">
        <f t="shared" si="142"/>
        <v>9 - 12 yrs</v>
      </c>
      <c r="T948" s="12">
        <v>198.5</v>
      </c>
      <c r="U948" s="11" t="str">
        <f t="shared" si="134"/>
        <v>(151 - 200)</v>
      </c>
      <c r="V948" s="12">
        <f t="shared" si="135"/>
        <v>5.7671232876712333</v>
      </c>
      <c r="W948" s="12">
        <f t="shared" si="136"/>
        <v>270.83610451306413</v>
      </c>
      <c r="X948" s="12">
        <f t="shared" si="137"/>
        <v>0.47149643705463185</v>
      </c>
    </row>
    <row r="949" spans="1:24">
      <c r="A949" s="11">
        <v>948</v>
      </c>
      <c r="B949" s="11" t="s">
        <v>2319</v>
      </c>
      <c r="C949" s="11" t="s">
        <v>32</v>
      </c>
      <c r="D949" s="11" t="s">
        <v>33</v>
      </c>
      <c r="E949" s="12">
        <v>10.199999999999999</v>
      </c>
      <c r="F949" s="11" t="s">
        <v>56</v>
      </c>
      <c r="G949" s="11" t="str">
        <f t="shared" si="138"/>
        <v>Litres</v>
      </c>
      <c r="H949" s="13">
        <v>429</v>
      </c>
      <c r="I949" s="11" t="s">
        <v>19</v>
      </c>
      <c r="J949" s="12">
        <v>35688</v>
      </c>
      <c r="K949" s="12" t="str">
        <f t="shared" si="139"/>
        <v>Low</v>
      </c>
      <c r="L949" s="11" t="s">
        <v>20</v>
      </c>
      <c r="M949" s="14">
        <v>45353</v>
      </c>
      <c r="N949" s="14" t="str">
        <f t="shared" si="140"/>
        <v>02/03/2024</v>
      </c>
      <c r="O949" s="14" t="str">
        <f t="shared" si="141"/>
        <v>2024</v>
      </c>
      <c r="P949" s="11" t="s">
        <v>1805</v>
      </c>
      <c r="Q949" s="11" t="s">
        <v>59</v>
      </c>
      <c r="R949" s="11">
        <v>7</v>
      </c>
      <c r="S949" s="11" t="str">
        <f t="shared" si="142"/>
        <v>5 - 8 yrs</v>
      </c>
      <c r="T949" s="12">
        <v>32.299999999999997</v>
      </c>
      <c r="U949" s="11" t="str">
        <f t="shared" si="134"/>
        <v>(0 - 50)</v>
      </c>
      <c r="V949" s="12">
        <f t="shared" si="135"/>
        <v>42.058823529411768</v>
      </c>
      <c r="W949" s="12">
        <f t="shared" si="136"/>
        <v>83.188811188811187</v>
      </c>
      <c r="X949" s="12">
        <f t="shared" si="137"/>
        <v>7.5291375291375279E-2</v>
      </c>
    </row>
    <row r="950" spans="1:24">
      <c r="A950" s="11">
        <v>949</v>
      </c>
      <c r="B950" s="11" t="s">
        <v>1508</v>
      </c>
      <c r="C950" s="11" t="s">
        <v>50</v>
      </c>
      <c r="D950" s="11" t="s">
        <v>33</v>
      </c>
      <c r="E950" s="12">
        <v>77.900000000000006</v>
      </c>
      <c r="F950" s="11" t="s">
        <v>2643</v>
      </c>
      <c r="G950" s="11" t="str">
        <f t="shared" si="138"/>
        <v>Litres</v>
      </c>
      <c r="H950" s="13">
        <v>192</v>
      </c>
      <c r="I950" s="11" t="s">
        <v>19</v>
      </c>
      <c r="J950" s="12">
        <v>95344</v>
      </c>
      <c r="K950" s="12" t="str">
        <f t="shared" si="139"/>
        <v>Very High</v>
      </c>
      <c r="L950" s="11" t="s">
        <v>20</v>
      </c>
      <c r="M950" s="14">
        <v>45047</v>
      </c>
      <c r="N950" s="14" t="str">
        <f t="shared" si="140"/>
        <v>01/05/2023</v>
      </c>
      <c r="O950" s="14" t="str">
        <f t="shared" si="141"/>
        <v>2023</v>
      </c>
      <c r="P950" s="11" t="s">
        <v>395</v>
      </c>
      <c r="Q950" s="11" t="s">
        <v>441</v>
      </c>
      <c r="R950" s="11">
        <v>11</v>
      </c>
      <c r="S950" s="11" t="str">
        <f t="shared" si="142"/>
        <v>9 - 12 yrs</v>
      </c>
      <c r="T950" s="12">
        <v>238.6</v>
      </c>
      <c r="U950" s="11" t="str">
        <f t="shared" si="134"/>
        <v>(201 - 250)</v>
      </c>
      <c r="V950" s="12">
        <f t="shared" si="135"/>
        <v>2.464698331193838</v>
      </c>
      <c r="W950" s="12">
        <f t="shared" si="136"/>
        <v>496.58333333333331</v>
      </c>
      <c r="X950" s="12">
        <f t="shared" si="137"/>
        <v>1.2427083333333333</v>
      </c>
    </row>
    <row r="951" spans="1:24">
      <c r="A951" s="11">
        <v>950</v>
      </c>
      <c r="B951" s="11" t="s">
        <v>2322</v>
      </c>
      <c r="C951" s="11" t="s">
        <v>32</v>
      </c>
      <c r="D951" s="11" t="s">
        <v>33</v>
      </c>
      <c r="E951" s="12">
        <v>92.8</v>
      </c>
      <c r="F951" s="11" t="s">
        <v>26</v>
      </c>
      <c r="G951" s="11" t="str">
        <f t="shared" si="138"/>
        <v>Litres</v>
      </c>
      <c r="H951" s="13">
        <v>343</v>
      </c>
      <c r="I951" s="11" t="s">
        <v>19</v>
      </c>
      <c r="J951" s="12">
        <v>20460</v>
      </c>
      <c r="K951" s="12" t="str">
        <f t="shared" si="139"/>
        <v>Low</v>
      </c>
      <c r="L951" s="11" t="s">
        <v>20</v>
      </c>
      <c r="M951" s="14">
        <v>45400</v>
      </c>
      <c r="N951" s="14" t="str">
        <f t="shared" si="140"/>
        <v>18/04/2024</v>
      </c>
      <c r="O951" s="14" t="str">
        <f t="shared" si="141"/>
        <v>2024</v>
      </c>
      <c r="P951" s="11" t="s">
        <v>467</v>
      </c>
      <c r="Q951" s="11" t="s">
        <v>121</v>
      </c>
      <c r="R951" s="11">
        <v>9</v>
      </c>
      <c r="S951" s="11" t="str">
        <f t="shared" si="142"/>
        <v>9 - 12 yrs</v>
      </c>
      <c r="T951" s="12">
        <v>276.5</v>
      </c>
      <c r="U951" s="11" t="str">
        <f t="shared" si="134"/>
        <v>(251 - 300)</v>
      </c>
      <c r="V951" s="12">
        <f t="shared" si="135"/>
        <v>3.6961206896551726</v>
      </c>
      <c r="W951" s="12">
        <f t="shared" si="136"/>
        <v>59.650145772594755</v>
      </c>
      <c r="X951" s="12">
        <f t="shared" si="137"/>
        <v>0.80612244897959184</v>
      </c>
    </row>
    <row r="952" spans="1:24">
      <c r="A952" s="11">
        <v>951</v>
      </c>
      <c r="B952" s="11" t="s">
        <v>2324</v>
      </c>
      <c r="C952" s="11" t="s">
        <v>50</v>
      </c>
      <c r="D952" s="11" t="s">
        <v>33</v>
      </c>
      <c r="E952" s="12">
        <v>87</v>
      </c>
      <c r="F952" s="11" t="s">
        <v>26</v>
      </c>
      <c r="G952" s="11" t="str">
        <f t="shared" si="138"/>
        <v>Litres</v>
      </c>
      <c r="H952" s="13">
        <v>694</v>
      </c>
      <c r="I952" s="11" t="s">
        <v>19</v>
      </c>
      <c r="J952" s="12">
        <v>79021</v>
      </c>
      <c r="K952" s="12" t="str">
        <f t="shared" si="139"/>
        <v>High</v>
      </c>
      <c r="L952" s="11" t="s">
        <v>20</v>
      </c>
      <c r="M952" s="14">
        <v>45180</v>
      </c>
      <c r="N952" s="14" t="str">
        <f t="shared" si="140"/>
        <v>11/09/2023</v>
      </c>
      <c r="O952" s="14" t="str">
        <f t="shared" si="141"/>
        <v>2023</v>
      </c>
      <c r="P952" s="11" t="s">
        <v>1513</v>
      </c>
      <c r="Q952" s="11" t="s">
        <v>117</v>
      </c>
      <c r="R952" s="11">
        <v>19</v>
      </c>
      <c r="S952" s="11" t="str">
        <f t="shared" si="142"/>
        <v>17 + yrs</v>
      </c>
      <c r="T952" s="12">
        <v>250.8</v>
      </c>
      <c r="U952" s="11" t="str">
        <f t="shared" si="134"/>
        <v>(251 - 300)</v>
      </c>
      <c r="V952" s="12">
        <f t="shared" si="135"/>
        <v>7.9770114942528734</v>
      </c>
      <c r="W952" s="12">
        <f t="shared" si="136"/>
        <v>113.86311239193084</v>
      </c>
      <c r="X952" s="12">
        <f t="shared" si="137"/>
        <v>0.36138328530259367</v>
      </c>
    </row>
    <row r="953" spans="1:24">
      <c r="A953" s="11">
        <v>952</v>
      </c>
      <c r="B953" s="11" t="s">
        <v>2634</v>
      </c>
      <c r="C953" s="11" t="s">
        <v>32</v>
      </c>
      <c r="D953" s="11" t="s">
        <v>114</v>
      </c>
      <c r="E953" s="12">
        <v>37.9</v>
      </c>
      <c r="F953" s="11" t="s">
        <v>26</v>
      </c>
      <c r="G953" s="11" t="str">
        <f t="shared" si="138"/>
        <v>Litres</v>
      </c>
      <c r="H953" s="13">
        <v>135</v>
      </c>
      <c r="I953" s="11" t="s">
        <v>19</v>
      </c>
      <c r="J953" s="12">
        <v>23891</v>
      </c>
      <c r="K953" s="12" t="str">
        <f t="shared" si="139"/>
        <v>Low</v>
      </c>
      <c r="L953" s="11" t="s">
        <v>20</v>
      </c>
      <c r="M953" s="14">
        <v>45072</v>
      </c>
      <c r="N953" s="14" t="str">
        <f t="shared" si="140"/>
        <v>26/05/2023</v>
      </c>
      <c r="O953" s="14" t="str">
        <f t="shared" si="141"/>
        <v>2023</v>
      </c>
      <c r="P953" s="11" t="s">
        <v>2327</v>
      </c>
      <c r="Q953" s="11" t="s">
        <v>59</v>
      </c>
      <c r="R953" s="11">
        <v>3</v>
      </c>
      <c r="S953" s="11" t="str">
        <f t="shared" si="142"/>
        <v>0 - 4 yrs</v>
      </c>
      <c r="T953" s="12">
        <v>123.6</v>
      </c>
      <c r="U953" s="11" t="str">
        <f t="shared" si="134"/>
        <v>(101 - 150)</v>
      </c>
      <c r="V953" s="12">
        <f t="shared" si="135"/>
        <v>3.5620052770448551</v>
      </c>
      <c r="W953" s="12">
        <f t="shared" si="136"/>
        <v>176.97037037037038</v>
      </c>
      <c r="X953" s="12">
        <f t="shared" si="137"/>
        <v>0.91555555555555557</v>
      </c>
    </row>
    <row r="954" spans="1:24">
      <c r="A954" s="11">
        <v>953</v>
      </c>
      <c r="B954" s="11" t="s">
        <v>2328</v>
      </c>
      <c r="C954" s="11" t="s">
        <v>39</v>
      </c>
      <c r="D954" s="11" t="s">
        <v>17</v>
      </c>
      <c r="E954" s="12">
        <v>27.3</v>
      </c>
      <c r="F954" s="11" t="s">
        <v>62</v>
      </c>
      <c r="G954" s="11" t="str">
        <f t="shared" si="138"/>
        <v>kWh</v>
      </c>
      <c r="H954" s="13">
        <v>589</v>
      </c>
      <c r="I954" s="11" t="s">
        <v>19</v>
      </c>
      <c r="J954" s="12">
        <v>52770</v>
      </c>
      <c r="K954" s="12" t="str">
        <f t="shared" si="139"/>
        <v>Medium</v>
      </c>
      <c r="L954" s="11" t="s">
        <v>20</v>
      </c>
      <c r="M954" s="14">
        <v>45352</v>
      </c>
      <c r="N954" s="14" t="str">
        <f t="shared" si="140"/>
        <v>01/03/2024</v>
      </c>
      <c r="O954" s="14" t="str">
        <f t="shared" si="141"/>
        <v>2024</v>
      </c>
      <c r="P954" s="11" t="s">
        <v>1315</v>
      </c>
      <c r="Q954" s="11" t="s">
        <v>441</v>
      </c>
      <c r="R954" s="11">
        <v>1</v>
      </c>
      <c r="S954" s="11" t="str">
        <f t="shared" si="142"/>
        <v>0 - 4 yrs</v>
      </c>
      <c r="T954" s="12">
        <v>63.5</v>
      </c>
      <c r="U954" s="11" t="str">
        <f t="shared" si="134"/>
        <v>(51 - 100)</v>
      </c>
      <c r="V954" s="12">
        <f t="shared" si="135"/>
        <v>21.575091575091573</v>
      </c>
      <c r="W954" s="12">
        <f t="shared" si="136"/>
        <v>89.592529711375207</v>
      </c>
      <c r="X954" s="12">
        <f t="shared" si="137"/>
        <v>0.10780984719864177</v>
      </c>
    </row>
    <row r="955" spans="1:24">
      <c r="A955" s="11">
        <v>954</v>
      </c>
      <c r="B955" s="11" t="s">
        <v>2329</v>
      </c>
      <c r="C955" s="11" t="s">
        <v>32</v>
      </c>
      <c r="D955" s="11" t="s">
        <v>17</v>
      </c>
      <c r="E955" s="12">
        <v>53.6</v>
      </c>
      <c r="F955" s="11" t="s">
        <v>41</v>
      </c>
      <c r="G955" s="11" t="str">
        <f t="shared" si="138"/>
        <v>Litres</v>
      </c>
      <c r="H955" s="13">
        <v>310</v>
      </c>
      <c r="I955" s="11" t="s">
        <v>19</v>
      </c>
      <c r="J955" s="12">
        <v>73653</v>
      </c>
      <c r="K955" s="12" t="str">
        <f t="shared" si="139"/>
        <v>High</v>
      </c>
      <c r="L955" s="11" t="s">
        <v>20</v>
      </c>
      <c r="M955" s="14">
        <v>44929</v>
      </c>
      <c r="N955" s="14" t="str">
        <f t="shared" si="140"/>
        <v>03/01/2023</v>
      </c>
      <c r="O955" s="14" t="str">
        <f t="shared" si="141"/>
        <v>2023</v>
      </c>
      <c r="P955" s="11" t="s">
        <v>2331</v>
      </c>
      <c r="Q955" s="11" t="s">
        <v>2648</v>
      </c>
      <c r="R955" s="11">
        <v>20</v>
      </c>
      <c r="S955" s="11" t="str">
        <f t="shared" si="142"/>
        <v>17 + yrs</v>
      </c>
      <c r="T955" s="12">
        <v>115.3</v>
      </c>
      <c r="U955" s="11" t="str">
        <f t="shared" si="134"/>
        <v>(101 - 150)</v>
      </c>
      <c r="V955" s="12">
        <f t="shared" si="135"/>
        <v>5.7835820895522385</v>
      </c>
      <c r="W955" s="12">
        <f t="shared" si="136"/>
        <v>237.59032258064516</v>
      </c>
      <c r="X955" s="12">
        <f t="shared" si="137"/>
        <v>0.37193548387096775</v>
      </c>
    </row>
    <row r="956" spans="1:24">
      <c r="A956" s="11">
        <v>955</v>
      </c>
      <c r="B956" s="11" t="s">
        <v>2332</v>
      </c>
      <c r="C956" s="11" t="s">
        <v>50</v>
      </c>
      <c r="D956" s="11" t="s">
        <v>33</v>
      </c>
      <c r="E956" s="12">
        <v>92.3</v>
      </c>
      <c r="F956" s="11" t="s">
        <v>41</v>
      </c>
      <c r="G956" s="11" t="str">
        <f t="shared" si="138"/>
        <v>Litres</v>
      </c>
      <c r="H956" s="13">
        <v>521</v>
      </c>
      <c r="I956" s="11" t="s">
        <v>19</v>
      </c>
      <c r="J956" s="12">
        <v>109722</v>
      </c>
      <c r="K956" s="12" t="str">
        <f t="shared" si="139"/>
        <v>Extreme</v>
      </c>
      <c r="L956" s="11" t="s">
        <v>20</v>
      </c>
      <c r="M956" s="14">
        <v>45160</v>
      </c>
      <c r="N956" s="14" t="str">
        <f t="shared" si="140"/>
        <v>22/08/2023</v>
      </c>
      <c r="O956" s="14" t="str">
        <f t="shared" si="141"/>
        <v>2023</v>
      </c>
      <c r="P956" s="11" t="s">
        <v>956</v>
      </c>
      <c r="Q956" s="11" t="s">
        <v>48</v>
      </c>
      <c r="R956" s="11">
        <v>10</v>
      </c>
      <c r="S956" s="11" t="str">
        <f t="shared" si="142"/>
        <v>9 - 12 yrs</v>
      </c>
      <c r="T956" s="12">
        <v>312.7</v>
      </c>
      <c r="U956" s="11" t="str">
        <f t="shared" si="134"/>
        <v>(301 - 350)</v>
      </c>
      <c r="V956" s="12">
        <f t="shared" si="135"/>
        <v>5.6446370530877576</v>
      </c>
      <c r="W956" s="12">
        <f t="shared" si="136"/>
        <v>210.59884836852208</v>
      </c>
      <c r="X956" s="12">
        <f t="shared" si="137"/>
        <v>0.60019193857965447</v>
      </c>
    </row>
    <row r="957" spans="1:24">
      <c r="A957" s="11">
        <v>956</v>
      </c>
      <c r="B957" s="11" t="s">
        <v>1666</v>
      </c>
      <c r="C957" s="11" t="s">
        <v>39</v>
      </c>
      <c r="D957" s="11" t="s">
        <v>17</v>
      </c>
      <c r="E957" s="12">
        <v>89</v>
      </c>
      <c r="F957" s="11" t="s">
        <v>2643</v>
      </c>
      <c r="G957" s="11" t="str">
        <f t="shared" si="138"/>
        <v>Litres</v>
      </c>
      <c r="H957" s="13">
        <v>398</v>
      </c>
      <c r="I957" s="11" t="s">
        <v>19</v>
      </c>
      <c r="J957" s="12">
        <v>43186</v>
      </c>
      <c r="K957" s="12" t="str">
        <f t="shared" si="139"/>
        <v>Medium</v>
      </c>
      <c r="L957" s="11" t="s">
        <v>20</v>
      </c>
      <c r="M957" s="14">
        <v>45528</v>
      </c>
      <c r="N957" s="14" t="str">
        <f t="shared" si="140"/>
        <v>24/08/2024</v>
      </c>
      <c r="O957" s="14" t="str">
        <f t="shared" si="141"/>
        <v>2024</v>
      </c>
      <c r="P957" s="11" t="s">
        <v>1415</v>
      </c>
      <c r="Q957" s="11" t="s">
        <v>86</v>
      </c>
      <c r="R957" s="11">
        <v>6</v>
      </c>
      <c r="S957" s="11" t="str">
        <f t="shared" si="142"/>
        <v>5 - 8 yrs</v>
      </c>
      <c r="T957" s="12">
        <v>221</v>
      </c>
      <c r="U957" s="11" t="str">
        <f t="shared" ref="U957:U1001" si="143">IF(T957&lt;=50,"(0 - 50)",IF(T957&lt;=100,"(51 - 100)",IF(T957&lt;=150,"(101 - 150)",IF(T957&lt;=200,"(151 - 200)",IF(T957&lt;=250,"(201 - 250)",IF(T957&lt;=300,"(251 - 300)","(301 - 350)"))))))</f>
        <v>(201 - 250)</v>
      </c>
      <c r="V957" s="12">
        <f t="shared" ref="V957:V1001" si="144">H957/E957</f>
        <v>4.4719101123595504</v>
      </c>
      <c r="W957" s="12">
        <f t="shared" ref="W957:W1001" si="145">J957/H957</f>
        <v>108.50753768844221</v>
      </c>
      <c r="X957" s="12">
        <f t="shared" ref="X957:X1001" si="146">T957/H957</f>
        <v>0.55527638190954776</v>
      </c>
    </row>
    <row r="958" spans="1:24">
      <c r="A958" s="11">
        <v>957</v>
      </c>
      <c r="B958" s="11" t="s">
        <v>2635</v>
      </c>
      <c r="C958" s="11" t="s">
        <v>32</v>
      </c>
      <c r="D958" s="11" t="s">
        <v>61</v>
      </c>
      <c r="E958" s="12">
        <v>10</v>
      </c>
      <c r="F958" s="11" t="s">
        <v>41</v>
      </c>
      <c r="G958" s="11" t="str">
        <f t="shared" si="138"/>
        <v>Litres</v>
      </c>
      <c r="H958" s="13">
        <v>397</v>
      </c>
      <c r="I958" s="11" t="s">
        <v>19</v>
      </c>
      <c r="J958" s="12">
        <v>15561</v>
      </c>
      <c r="K958" s="12" t="str">
        <f t="shared" si="139"/>
        <v>Very Low</v>
      </c>
      <c r="L958" s="11" t="s">
        <v>20</v>
      </c>
      <c r="M958" s="14">
        <v>45579</v>
      </c>
      <c r="N958" s="14" t="str">
        <f t="shared" si="140"/>
        <v>14/10/2024</v>
      </c>
      <c r="O958" s="14" t="str">
        <f t="shared" si="141"/>
        <v>2024</v>
      </c>
      <c r="P958" s="11" t="s">
        <v>1184</v>
      </c>
      <c r="Q958" s="11" t="s">
        <v>69</v>
      </c>
      <c r="R958" s="11">
        <v>1</v>
      </c>
      <c r="S958" s="11" t="str">
        <f t="shared" si="142"/>
        <v>0 - 4 yrs</v>
      </c>
      <c r="T958" s="12">
        <v>0</v>
      </c>
      <c r="U958" s="11" t="str">
        <f t="shared" si="143"/>
        <v>(0 - 50)</v>
      </c>
      <c r="V958" s="12">
        <f t="shared" si="144"/>
        <v>39.700000000000003</v>
      </c>
      <c r="W958" s="12">
        <f t="shared" si="145"/>
        <v>39.196473551637283</v>
      </c>
      <c r="X958" s="12">
        <f t="shared" si="146"/>
        <v>0</v>
      </c>
    </row>
    <row r="959" spans="1:24">
      <c r="A959" s="11">
        <v>958</v>
      </c>
      <c r="B959" s="11" t="s">
        <v>707</v>
      </c>
      <c r="C959" s="11" t="s">
        <v>16</v>
      </c>
      <c r="D959" s="11" t="s">
        <v>33</v>
      </c>
      <c r="E959" s="12">
        <v>56.2</v>
      </c>
      <c r="F959" s="11" t="s">
        <v>62</v>
      </c>
      <c r="G959" s="11" t="str">
        <f t="shared" si="138"/>
        <v>kWh</v>
      </c>
      <c r="H959" s="13">
        <v>560</v>
      </c>
      <c r="I959" s="11" t="s">
        <v>19</v>
      </c>
      <c r="J959" s="12">
        <v>63653</v>
      </c>
      <c r="K959" s="12" t="str">
        <f t="shared" si="139"/>
        <v>Moderate</v>
      </c>
      <c r="L959" s="11" t="s">
        <v>20</v>
      </c>
      <c r="M959" s="14">
        <v>45253</v>
      </c>
      <c r="N959" s="14" t="str">
        <f t="shared" si="140"/>
        <v>23/11/2023</v>
      </c>
      <c r="O959" s="14" t="str">
        <f t="shared" si="141"/>
        <v>2023</v>
      </c>
      <c r="P959" s="11" t="s">
        <v>1961</v>
      </c>
      <c r="Q959" s="11" t="s">
        <v>117</v>
      </c>
      <c r="R959" s="11">
        <v>11</v>
      </c>
      <c r="S959" s="11" t="str">
        <f t="shared" si="142"/>
        <v>9 - 12 yrs</v>
      </c>
      <c r="T959" s="12">
        <v>175.3</v>
      </c>
      <c r="U959" s="11" t="str">
        <f t="shared" si="143"/>
        <v>(151 - 200)</v>
      </c>
      <c r="V959" s="12">
        <f t="shared" si="144"/>
        <v>9.9644128113879002</v>
      </c>
      <c r="W959" s="12">
        <f t="shared" si="145"/>
        <v>113.66607142857143</v>
      </c>
      <c r="X959" s="12">
        <f t="shared" si="146"/>
        <v>0.31303571428571431</v>
      </c>
    </row>
    <row r="960" spans="1:24">
      <c r="A960" s="11">
        <v>959</v>
      </c>
      <c r="B960" s="11" t="s">
        <v>2636</v>
      </c>
      <c r="C960" s="11" t="s">
        <v>32</v>
      </c>
      <c r="D960" s="11" t="s">
        <v>114</v>
      </c>
      <c r="E960" s="12">
        <v>40.700000000000003</v>
      </c>
      <c r="F960" s="11" t="s">
        <v>56</v>
      </c>
      <c r="G960" s="11" t="str">
        <f t="shared" si="138"/>
        <v>Litres</v>
      </c>
      <c r="H960" s="13">
        <v>510</v>
      </c>
      <c r="I960" s="11" t="s">
        <v>19</v>
      </c>
      <c r="J960" s="12">
        <v>28101</v>
      </c>
      <c r="K960" s="12" t="str">
        <f t="shared" si="139"/>
        <v>Low</v>
      </c>
      <c r="L960" s="11" t="s">
        <v>20</v>
      </c>
      <c r="M960" s="14">
        <v>45498</v>
      </c>
      <c r="N960" s="14" t="str">
        <f t="shared" si="140"/>
        <v>25/07/2024</v>
      </c>
      <c r="O960" s="14" t="str">
        <f t="shared" si="141"/>
        <v>2024</v>
      </c>
      <c r="P960" s="11" t="s">
        <v>487</v>
      </c>
      <c r="Q960" s="11" t="s">
        <v>69</v>
      </c>
      <c r="R960" s="11">
        <v>16</v>
      </c>
      <c r="S960" s="11" t="str">
        <f t="shared" si="142"/>
        <v>13 - 16 yrs</v>
      </c>
      <c r="T960" s="12">
        <v>115</v>
      </c>
      <c r="U960" s="11" t="str">
        <f t="shared" si="143"/>
        <v>(101 - 150)</v>
      </c>
      <c r="V960" s="12">
        <f t="shared" si="144"/>
        <v>12.530712530712529</v>
      </c>
      <c r="W960" s="12">
        <f t="shared" si="145"/>
        <v>55.1</v>
      </c>
      <c r="X960" s="12">
        <f t="shared" si="146"/>
        <v>0.22549019607843138</v>
      </c>
    </row>
    <row r="961" spans="1:24">
      <c r="A961" s="11">
        <v>960</v>
      </c>
      <c r="B961" s="11" t="s">
        <v>2127</v>
      </c>
      <c r="C961" s="11" t="s">
        <v>16</v>
      </c>
      <c r="D961" s="11" t="s">
        <v>114</v>
      </c>
      <c r="E961" s="12">
        <v>81.400000000000006</v>
      </c>
      <c r="F961" s="11" t="s">
        <v>62</v>
      </c>
      <c r="G961" s="11" t="str">
        <f t="shared" si="138"/>
        <v>kWh</v>
      </c>
      <c r="H961" s="13">
        <v>308</v>
      </c>
      <c r="I961" s="11" t="s">
        <v>19</v>
      </c>
      <c r="J961" s="12">
        <v>78711</v>
      </c>
      <c r="K961" s="12" t="str">
        <f t="shared" si="139"/>
        <v>High</v>
      </c>
      <c r="L961" s="11" t="s">
        <v>20</v>
      </c>
      <c r="M961" s="14">
        <v>45447</v>
      </c>
      <c r="N961" s="14" t="str">
        <f t="shared" si="140"/>
        <v>04/06/2024</v>
      </c>
      <c r="O961" s="14" t="str">
        <f t="shared" si="141"/>
        <v>2024</v>
      </c>
      <c r="P961" s="11" t="s">
        <v>467</v>
      </c>
      <c r="Q961" s="11" t="s">
        <v>121</v>
      </c>
      <c r="R961" s="11">
        <v>11</v>
      </c>
      <c r="S961" s="11" t="str">
        <f t="shared" si="142"/>
        <v>9 - 12 yrs</v>
      </c>
      <c r="T961" s="12">
        <v>241.3</v>
      </c>
      <c r="U961" s="11" t="str">
        <f t="shared" si="143"/>
        <v>(201 - 250)</v>
      </c>
      <c r="V961" s="12">
        <f t="shared" si="144"/>
        <v>3.7837837837837833</v>
      </c>
      <c r="W961" s="12">
        <f t="shared" si="145"/>
        <v>255.55519480519482</v>
      </c>
      <c r="X961" s="12">
        <f t="shared" si="146"/>
        <v>0.78344155844155849</v>
      </c>
    </row>
    <row r="962" spans="1:24">
      <c r="A962" s="11">
        <v>961</v>
      </c>
      <c r="B962" s="11" t="s">
        <v>2339</v>
      </c>
      <c r="C962" s="11" t="s">
        <v>32</v>
      </c>
      <c r="D962" s="11" t="s">
        <v>61</v>
      </c>
      <c r="E962" s="12">
        <v>10</v>
      </c>
      <c r="F962" s="11" t="s">
        <v>26</v>
      </c>
      <c r="G962" s="11" t="str">
        <f t="shared" ref="G962:G1001" si="147">IF(OR(F962="L",F962="ltrs",F962="liters"),"Litres",F962)</f>
        <v>Litres</v>
      </c>
      <c r="H962" s="13">
        <v>306</v>
      </c>
      <c r="I962" s="11" t="s">
        <v>19</v>
      </c>
      <c r="J962" s="12">
        <v>110538</v>
      </c>
      <c r="K962" s="12" t="str">
        <f t="shared" si="139"/>
        <v>Extreme</v>
      </c>
      <c r="L962" s="11" t="s">
        <v>20</v>
      </c>
      <c r="M962" s="14">
        <v>45692</v>
      </c>
      <c r="N962" s="14" t="str">
        <f t="shared" si="140"/>
        <v>04/02/2025</v>
      </c>
      <c r="O962" s="14" t="str">
        <f t="shared" si="141"/>
        <v>2025</v>
      </c>
      <c r="P962" s="11" t="s">
        <v>539</v>
      </c>
      <c r="Q962" s="11" t="s">
        <v>2648</v>
      </c>
      <c r="R962" s="11">
        <v>19</v>
      </c>
      <c r="S962" s="11" t="str">
        <f t="shared" si="142"/>
        <v>17 + yrs</v>
      </c>
      <c r="T962" s="12">
        <v>0</v>
      </c>
      <c r="U962" s="11" t="str">
        <f t="shared" si="143"/>
        <v>(0 - 50)</v>
      </c>
      <c r="V962" s="12">
        <f t="shared" si="144"/>
        <v>30.6</v>
      </c>
      <c r="W962" s="12">
        <f t="shared" si="145"/>
        <v>361.23529411764707</v>
      </c>
      <c r="X962" s="12">
        <f t="shared" si="146"/>
        <v>0</v>
      </c>
    </row>
    <row r="963" spans="1:24">
      <c r="A963" s="11">
        <v>962</v>
      </c>
      <c r="B963" s="11" t="s">
        <v>2341</v>
      </c>
      <c r="C963" s="11" t="s">
        <v>39</v>
      </c>
      <c r="D963" s="11" t="s">
        <v>33</v>
      </c>
      <c r="E963" s="12">
        <v>50.4</v>
      </c>
      <c r="F963" s="11" t="s">
        <v>62</v>
      </c>
      <c r="G963" s="11" t="str">
        <f t="shared" si="147"/>
        <v>kWh</v>
      </c>
      <c r="H963" s="13">
        <v>517</v>
      </c>
      <c r="I963" s="11" t="s">
        <v>19</v>
      </c>
      <c r="J963" s="12">
        <v>98254</v>
      </c>
      <c r="K963" s="12" t="str">
        <f t="shared" si="139"/>
        <v>Very High</v>
      </c>
      <c r="L963" s="11" t="s">
        <v>20</v>
      </c>
      <c r="M963" s="14">
        <v>45242</v>
      </c>
      <c r="N963" s="14" t="str">
        <f t="shared" si="140"/>
        <v>12/11/2023</v>
      </c>
      <c r="O963" s="14" t="str">
        <f t="shared" si="141"/>
        <v>2023</v>
      </c>
      <c r="P963" s="11" t="s">
        <v>2318</v>
      </c>
      <c r="Q963" s="11" t="s">
        <v>54</v>
      </c>
      <c r="R963" s="11">
        <v>6</v>
      </c>
      <c r="S963" s="11" t="str">
        <f t="shared" si="142"/>
        <v>5 - 8 yrs</v>
      </c>
      <c r="T963" s="12">
        <v>152.5</v>
      </c>
      <c r="U963" s="11" t="str">
        <f t="shared" si="143"/>
        <v>(151 - 200)</v>
      </c>
      <c r="V963" s="12">
        <f t="shared" si="144"/>
        <v>10.257936507936508</v>
      </c>
      <c r="W963" s="12">
        <f t="shared" si="145"/>
        <v>190.04642166344294</v>
      </c>
      <c r="X963" s="12">
        <f t="shared" si="146"/>
        <v>0.29497098646034814</v>
      </c>
    </row>
    <row r="964" spans="1:24">
      <c r="A964" s="11">
        <v>963</v>
      </c>
      <c r="B964" s="11" t="s">
        <v>2637</v>
      </c>
      <c r="C964" s="11" t="s">
        <v>39</v>
      </c>
      <c r="D964" s="11" t="s">
        <v>17</v>
      </c>
      <c r="E964" s="12">
        <v>59.7</v>
      </c>
      <c r="F964" s="11" t="s">
        <v>56</v>
      </c>
      <c r="G964" s="11" t="str">
        <f t="shared" si="147"/>
        <v>Litres</v>
      </c>
      <c r="H964" s="13">
        <v>474</v>
      </c>
      <c r="I964" s="11" t="s">
        <v>19</v>
      </c>
      <c r="J964" s="12">
        <v>87193</v>
      </c>
      <c r="K964" s="12" t="str">
        <f t="shared" si="139"/>
        <v>High</v>
      </c>
      <c r="L964" s="11" t="s">
        <v>20</v>
      </c>
      <c r="M964" s="14">
        <v>45294</v>
      </c>
      <c r="N964" s="14" t="str">
        <f t="shared" si="140"/>
        <v>03/01/2024</v>
      </c>
      <c r="O964" s="14" t="str">
        <f t="shared" si="141"/>
        <v>2024</v>
      </c>
      <c r="P964" s="11" t="s">
        <v>2343</v>
      </c>
      <c r="Q964" s="11" t="s">
        <v>59</v>
      </c>
      <c r="R964" s="11">
        <v>5</v>
      </c>
      <c r="S964" s="11" t="str">
        <f t="shared" si="142"/>
        <v>5 - 8 yrs</v>
      </c>
      <c r="T964" s="12">
        <v>122.4</v>
      </c>
      <c r="U964" s="11" t="str">
        <f t="shared" si="143"/>
        <v>(101 - 150)</v>
      </c>
      <c r="V964" s="12">
        <f t="shared" si="144"/>
        <v>7.9396984924623109</v>
      </c>
      <c r="W964" s="12">
        <f t="shared" si="145"/>
        <v>183.95147679324896</v>
      </c>
      <c r="X964" s="12">
        <f t="shared" si="146"/>
        <v>0.25822784810126581</v>
      </c>
    </row>
    <row r="965" spans="1:24">
      <c r="A965" s="11">
        <v>964</v>
      </c>
      <c r="B965" s="11" t="s">
        <v>2344</v>
      </c>
      <c r="C965" s="11" t="s">
        <v>50</v>
      </c>
      <c r="D965" s="11" t="s">
        <v>114</v>
      </c>
      <c r="E965" s="12">
        <v>64.7</v>
      </c>
      <c r="F965" s="11" t="s">
        <v>41</v>
      </c>
      <c r="G965" s="11" t="str">
        <f t="shared" si="147"/>
        <v>Litres</v>
      </c>
      <c r="H965" s="13">
        <v>544</v>
      </c>
      <c r="I965" s="11" t="s">
        <v>19</v>
      </c>
      <c r="J965" s="12">
        <v>34011</v>
      </c>
      <c r="K965" s="12" t="str">
        <f t="shared" si="139"/>
        <v>Low</v>
      </c>
      <c r="L965" s="11" t="s">
        <v>20</v>
      </c>
      <c r="M965" s="14">
        <v>45726</v>
      </c>
      <c r="N965" s="14" t="str">
        <f t="shared" si="140"/>
        <v>10/03/2025</v>
      </c>
      <c r="O965" s="14" t="str">
        <f t="shared" si="141"/>
        <v>2025</v>
      </c>
      <c r="P965" s="11" t="s">
        <v>770</v>
      </c>
      <c r="Q965" s="11" t="s">
        <v>112</v>
      </c>
      <c r="R965" s="11">
        <v>4</v>
      </c>
      <c r="S965" s="11" t="str">
        <f t="shared" si="142"/>
        <v>0 - 4 yrs</v>
      </c>
      <c r="T965" s="12">
        <v>133</v>
      </c>
      <c r="U965" s="11" t="str">
        <f t="shared" si="143"/>
        <v>(101 - 150)</v>
      </c>
      <c r="V965" s="12">
        <f t="shared" si="144"/>
        <v>8.4080370942812976</v>
      </c>
      <c r="W965" s="12">
        <f t="shared" si="145"/>
        <v>62.520220588235297</v>
      </c>
      <c r="X965" s="12">
        <f t="shared" si="146"/>
        <v>0.24448529411764705</v>
      </c>
    </row>
    <row r="966" spans="1:24">
      <c r="A966" s="11">
        <v>965</v>
      </c>
      <c r="B966" s="11" t="s">
        <v>2638</v>
      </c>
      <c r="C966" s="11" t="s">
        <v>39</v>
      </c>
      <c r="D966" s="11" t="s">
        <v>33</v>
      </c>
      <c r="E966" s="12">
        <v>83.3</v>
      </c>
      <c r="F966" s="11" t="s">
        <v>2643</v>
      </c>
      <c r="G966" s="11" t="str">
        <f t="shared" si="147"/>
        <v>Litres</v>
      </c>
      <c r="H966" s="13">
        <v>295</v>
      </c>
      <c r="I966" s="11" t="s">
        <v>19</v>
      </c>
      <c r="J966" s="12">
        <v>8277</v>
      </c>
      <c r="K966" s="12" t="str">
        <f t="shared" si="139"/>
        <v>Very Low</v>
      </c>
      <c r="L966" s="11" t="s">
        <v>20</v>
      </c>
      <c r="M966" s="14">
        <v>45575</v>
      </c>
      <c r="N966" s="14" t="str">
        <f t="shared" si="140"/>
        <v>10/10/2024</v>
      </c>
      <c r="O966" s="14" t="str">
        <f t="shared" si="141"/>
        <v>2024</v>
      </c>
      <c r="P966" s="11" t="s">
        <v>983</v>
      </c>
      <c r="Q966" s="11" t="s">
        <v>441</v>
      </c>
      <c r="R966" s="11">
        <v>18</v>
      </c>
      <c r="S966" s="11" t="str">
        <f t="shared" si="142"/>
        <v>17 + yrs</v>
      </c>
      <c r="T966" s="12">
        <v>277.89999999999998</v>
      </c>
      <c r="U966" s="11" t="str">
        <f t="shared" si="143"/>
        <v>(251 - 300)</v>
      </c>
      <c r="V966" s="12">
        <f t="shared" si="144"/>
        <v>3.5414165666266508</v>
      </c>
      <c r="W966" s="12">
        <f t="shared" si="145"/>
        <v>28.057627118644067</v>
      </c>
      <c r="X966" s="12">
        <f t="shared" si="146"/>
        <v>0.94203389830508466</v>
      </c>
    </row>
    <row r="967" spans="1:24">
      <c r="A967" s="11">
        <v>966</v>
      </c>
      <c r="B967" s="11" t="s">
        <v>2348</v>
      </c>
      <c r="C967" s="11" t="s">
        <v>50</v>
      </c>
      <c r="D967" s="11" t="s">
        <v>33</v>
      </c>
      <c r="E967" s="12">
        <v>31.4</v>
      </c>
      <c r="F967" s="11" t="s">
        <v>41</v>
      </c>
      <c r="G967" s="11" t="str">
        <f t="shared" si="147"/>
        <v>Litres</v>
      </c>
      <c r="H967" s="13">
        <v>535</v>
      </c>
      <c r="I967" s="11" t="s">
        <v>19</v>
      </c>
      <c r="J967" s="12">
        <v>36222</v>
      </c>
      <c r="K967" s="12" t="str">
        <f t="shared" si="139"/>
        <v>Medium</v>
      </c>
      <c r="L967" s="11" t="s">
        <v>20</v>
      </c>
      <c r="M967" s="14">
        <v>45795</v>
      </c>
      <c r="N967" s="14" t="str">
        <f t="shared" si="140"/>
        <v>18/05/2025</v>
      </c>
      <c r="O967" s="14" t="str">
        <f t="shared" si="141"/>
        <v>2025</v>
      </c>
      <c r="P967" s="11" t="s">
        <v>928</v>
      </c>
      <c r="Q967" s="11" t="s">
        <v>121</v>
      </c>
      <c r="R967" s="11">
        <v>15</v>
      </c>
      <c r="S967" s="11" t="str">
        <f t="shared" si="142"/>
        <v>13 - 16 yrs</v>
      </c>
      <c r="T967" s="12">
        <v>65</v>
      </c>
      <c r="U967" s="11" t="str">
        <f t="shared" si="143"/>
        <v>(51 - 100)</v>
      </c>
      <c r="V967" s="12">
        <f t="shared" si="144"/>
        <v>17.038216560509554</v>
      </c>
      <c r="W967" s="12">
        <f t="shared" si="145"/>
        <v>67.704672897196261</v>
      </c>
      <c r="X967" s="12">
        <f t="shared" si="146"/>
        <v>0.12149532710280374</v>
      </c>
    </row>
    <row r="968" spans="1:24">
      <c r="A968" s="11">
        <v>967</v>
      </c>
      <c r="B968" s="11" t="s">
        <v>2350</v>
      </c>
      <c r="C968" s="11" t="s">
        <v>32</v>
      </c>
      <c r="D968" s="11" t="s">
        <v>17</v>
      </c>
      <c r="E968" s="12">
        <v>52</v>
      </c>
      <c r="F968" s="11" t="s">
        <v>62</v>
      </c>
      <c r="G968" s="11" t="str">
        <f t="shared" si="147"/>
        <v>kWh</v>
      </c>
      <c r="H968" s="13">
        <v>606</v>
      </c>
      <c r="I968" s="11" t="s">
        <v>19</v>
      </c>
      <c r="J968" s="12">
        <v>50643</v>
      </c>
      <c r="K968" s="12" t="str">
        <f t="shared" si="139"/>
        <v>Medium</v>
      </c>
      <c r="L968" s="11" t="s">
        <v>20</v>
      </c>
      <c r="M968" s="14">
        <v>45167</v>
      </c>
      <c r="N968" s="14" t="str">
        <f t="shared" si="140"/>
        <v>29/08/2023</v>
      </c>
      <c r="O968" s="14" t="str">
        <f t="shared" si="141"/>
        <v>2023</v>
      </c>
      <c r="P968" s="11" t="s">
        <v>2352</v>
      </c>
      <c r="Q968" s="11" t="s">
        <v>48</v>
      </c>
      <c r="R968" s="11">
        <v>12</v>
      </c>
      <c r="S968" s="11" t="str">
        <f t="shared" si="142"/>
        <v>9 - 12 yrs</v>
      </c>
      <c r="T968" s="12">
        <v>150</v>
      </c>
      <c r="U968" s="11" t="str">
        <f t="shared" si="143"/>
        <v>(101 - 150)</v>
      </c>
      <c r="V968" s="12">
        <f t="shared" si="144"/>
        <v>11.653846153846153</v>
      </c>
      <c r="W968" s="12">
        <f t="shared" si="145"/>
        <v>83.569306930693074</v>
      </c>
      <c r="X968" s="12">
        <f t="shared" si="146"/>
        <v>0.24752475247524752</v>
      </c>
    </row>
    <row r="969" spans="1:24">
      <c r="A969" s="11">
        <v>968</v>
      </c>
      <c r="B969" s="11" t="s">
        <v>2618</v>
      </c>
      <c r="C969" s="11" t="s">
        <v>50</v>
      </c>
      <c r="D969" s="11" t="s">
        <v>61</v>
      </c>
      <c r="E969" s="12">
        <v>10</v>
      </c>
      <c r="F969" s="11" t="s">
        <v>41</v>
      </c>
      <c r="G969" s="11" t="str">
        <f t="shared" si="147"/>
        <v>Litres</v>
      </c>
      <c r="H969" s="13">
        <v>392</v>
      </c>
      <c r="I969" s="11" t="s">
        <v>19</v>
      </c>
      <c r="J969" s="12">
        <v>36266</v>
      </c>
      <c r="K969" s="12" t="str">
        <f t="shared" si="139"/>
        <v>Medium</v>
      </c>
      <c r="L969" s="11" t="s">
        <v>20</v>
      </c>
      <c r="M969" s="14">
        <v>45174</v>
      </c>
      <c r="N969" s="14" t="str">
        <f t="shared" si="140"/>
        <v>05/09/2023</v>
      </c>
      <c r="O969" s="14" t="str">
        <f t="shared" si="141"/>
        <v>2023</v>
      </c>
      <c r="P969" s="11" t="s">
        <v>452</v>
      </c>
      <c r="Q969" s="11" t="s">
        <v>117</v>
      </c>
      <c r="R969" s="11">
        <v>6</v>
      </c>
      <c r="S969" s="11" t="str">
        <f t="shared" si="142"/>
        <v>5 - 8 yrs</v>
      </c>
      <c r="T969" s="12">
        <v>0</v>
      </c>
      <c r="U969" s="11" t="str">
        <f t="shared" si="143"/>
        <v>(0 - 50)</v>
      </c>
      <c r="V969" s="12">
        <f t="shared" si="144"/>
        <v>39.200000000000003</v>
      </c>
      <c r="W969" s="12">
        <f t="shared" si="145"/>
        <v>92.515306122448976</v>
      </c>
      <c r="X969" s="12">
        <f t="shared" si="146"/>
        <v>0</v>
      </c>
    </row>
    <row r="970" spans="1:24">
      <c r="A970" s="11">
        <v>969</v>
      </c>
      <c r="B970" s="11" t="s">
        <v>2354</v>
      </c>
      <c r="C970" s="11" t="s">
        <v>50</v>
      </c>
      <c r="D970" s="11" t="s">
        <v>61</v>
      </c>
      <c r="E970" s="12">
        <v>10</v>
      </c>
      <c r="F970" s="11" t="s">
        <v>62</v>
      </c>
      <c r="G970" s="11" t="str">
        <f t="shared" si="147"/>
        <v>kWh</v>
      </c>
      <c r="H970" s="13">
        <v>295</v>
      </c>
      <c r="I970" s="11" t="s">
        <v>19</v>
      </c>
      <c r="J970" s="12">
        <v>19907</v>
      </c>
      <c r="K970" s="12" t="str">
        <f t="shared" si="139"/>
        <v>Low</v>
      </c>
      <c r="L970" s="11" t="s">
        <v>20</v>
      </c>
      <c r="M970" s="14">
        <v>45120</v>
      </c>
      <c r="N970" s="14" t="str">
        <f t="shared" si="140"/>
        <v>13/07/2023</v>
      </c>
      <c r="O970" s="14" t="str">
        <f t="shared" si="141"/>
        <v>2023</v>
      </c>
      <c r="P970" s="11" t="s">
        <v>2173</v>
      </c>
      <c r="Q970" s="11" t="s">
        <v>69</v>
      </c>
      <c r="R970" s="11">
        <v>17</v>
      </c>
      <c r="S970" s="11" t="str">
        <f t="shared" si="142"/>
        <v>17 + yrs</v>
      </c>
      <c r="T970" s="12">
        <v>0</v>
      </c>
      <c r="U970" s="11" t="str">
        <f t="shared" si="143"/>
        <v>(0 - 50)</v>
      </c>
      <c r="V970" s="12">
        <f t="shared" si="144"/>
        <v>29.5</v>
      </c>
      <c r="W970" s="12">
        <f t="shared" si="145"/>
        <v>67.481355932203385</v>
      </c>
      <c r="X970" s="12">
        <f t="shared" si="146"/>
        <v>0</v>
      </c>
    </row>
    <row r="971" spans="1:24">
      <c r="A971" s="11">
        <v>970</v>
      </c>
      <c r="B971" s="11" t="s">
        <v>2356</v>
      </c>
      <c r="C971" s="11" t="s">
        <v>50</v>
      </c>
      <c r="D971" s="11" t="s">
        <v>17</v>
      </c>
      <c r="E971" s="12">
        <v>35.4</v>
      </c>
      <c r="F971" s="11" t="s">
        <v>2643</v>
      </c>
      <c r="G971" s="11" t="str">
        <f t="shared" si="147"/>
        <v>Litres</v>
      </c>
      <c r="H971" s="13">
        <v>111</v>
      </c>
      <c r="I971" s="11" t="s">
        <v>19</v>
      </c>
      <c r="J971" s="12">
        <v>31296</v>
      </c>
      <c r="K971" s="12" t="str">
        <f t="shared" si="139"/>
        <v>Low</v>
      </c>
      <c r="L971" s="11" t="s">
        <v>20</v>
      </c>
      <c r="M971" s="14">
        <v>45019</v>
      </c>
      <c r="N971" s="14" t="str">
        <f t="shared" si="140"/>
        <v>03/04/2023</v>
      </c>
      <c r="O971" s="14" t="str">
        <f t="shared" si="141"/>
        <v>2023</v>
      </c>
      <c r="P971" s="11" t="s">
        <v>2263</v>
      </c>
      <c r="Q971" s="11" t="s">
        <v>112</v>
      </c>
      <c r="R971" s="11">
        <v>17</v>
      </c>
      <c r="S971" s="11" t="str">
        <f t="shared" si="142"/>
        <v>17 + yrs</v>
      </c>
      <c r="T971" s="12">
        <v>114.6</v>
      </c>
      <c r="U971" s="11" t="str">
        <f t="shared" si="143"/>
        <v>(101 - 150)</v>
      </c>
      <c r="V971" s="12">
        <f t="shared" si="144"/>
        <v>3.1355932203389831</v>
      </c>
      <c r="W971" s="12">
        <f t="shared" si="145"/>
        <v>281.94594594594594</v>
      </c>
      <c r="X971" s="12">
        <f t="shared" si="146"/>
        <v>1.0324324324324323</v>
      </c>
    </row>
    <row r="972" spans="1:24">
      <c r="A972" s="11">
        <v>971</v>
      </c>
      <c r="B972" s="11" t="s">
        <v>2358</v>
      </c>
      <c r="C972" s="11" t="s">
        <v>39</v>
      </c>
      <c r="D972" s="11" t="s">
        <v>17</v>
      </c>
      <c r="E972" s="12">
        <v>86.5</v>
      </c>
      <c r="F972" s="11" t="s">
        <v>2643</v>
      </c>
      <c r="G972" s="11" t="str">
        <f t="shared" si="147"/>
        <v>Litres</v>
      </c>
      <c r="H972" s="13">
        <v>548</v>
      </c>
      <c r="I972" s="11" t="s">
        <v>19</v>
      </c>
      <c r="J972" s="12">
        <v>8480</v>
      </c>
      <c r="K972" s="12" t="str">
        <f t="shared" si="139"/>
        <v>Very Low</v>
      </c>
      <c r="L972" s="11" t="s">
        <v>20</v>
      </c>
      <c r="M972" s="14">
        <v>45345</v>
      </c>
      <c r="N972" s="14" t="str">
        <f t="shared" si="140"/>
        <v>23/02/2024</v>
      </c>
      <c r="O972" s="14" t="str">
        <f t="shared" si="141"/>
        <v>2024</v>
      </c>
      <c r="P972" s="11" t="s">
        <v>773</v>
      </c>
      <c r="Q972" s="11" t="s">
        <v>86</v>
      </c>
      <c r="R972" s="11">
        <v>15</v>
      </c>
      <c r="S972" s="11" t="str">
        <f t="shared" si="142"/>
        <v>13 - 16 yrs</v>
      </c>
      <c r="T972" s="12">
        <v>225.8</v>
      </c>
      <c r="U972" s="11" t="str">
        <f t="shared" si="143"/>
        <v>(201 - 250)</v>
      </c>
      <c r="V972" s="12">
        <f t="shared" si="144"/>
        <v>6.3352601156069364</v>
      </c>
      <c r="W972" s="12">
        <f t="shared" si="145"/>
        <v>15.474452554744525</v>
      </c>
      <c r="X972" s="12">
        <f t="shared" si="146"/>
        <v>0.41204379562043797</v>
      </c>
    </row>
    <row r="973" spans="1:24">
      <c r="A973" s="11">
        <v>972</v>
      </c>
      <c r="B973" s="11" t="s">
        <v>2360</v>
      </c>
      <c r="C973" s="11" t="s">
        <v>32</v>
      </c>
      <c r="D973" s="11" t="s">
        <v>17</v>
      </c>
      <c r="E973" s="12">
        <v>86.8</v>
      </c>
      <c r="F973" s="11" t="s">
        <v>56</v>
      </c>
      <c r="G973" s="11" t="str">
        <f t="shared" si="147"/>
        <v>Litres</v>
      </c>
      <c r="H973" s="13">
        <v>273</v>
      </c>
      <c r="I973" s="11" t="s">
        <v>19</v>
      </c>
      <c r="J973" s="12">
        <v>16383</v>
      </c>
      <c r="K973" s="12" t="str">
        <f t="shared" si="139"/>
        <v>Very Low</v>
      </c>
      <c r="L973" s="11" t="s">
        <v>20</v>
      </c>
      <c r="M973" s="14">
        <v>44929</v>
      </c>
      <c r="N973" s="14" t="str">
        <f t="shared" si="140"/>
        <v>03/01/2023</v>
      </c>
      <c r="O973" s="14" t="str">
        <f t="shared" si="141"/>
        <v>2023</v>
      </c>
      <c r="P973" s="11" t="s">
        <v>2362</v>
      </c>
      <c r="Q973" s="11" t="s">
        <v>2648</v>
      </c>
      <c r="R973" s="11">
        <v>16</v>
      </c>
      <c r="S973" s="11" t="str">
        <f t="shared" si="142"/>
        <v>13 - 16 yrs</v>
      </c>
      <c r="T973" s="12">
        <v>200.6</v>
      </c>
      <c r="U973" s="11" t="str">
        <f t="shared" si="143"/>
        <v>(201 - 250)</v>
      </c>
      <c r="V973" s="12">
        <f t="shared" si="144"/>
        <v>3.145161290322581</v>
      </c>
      <c r="W973" s="12">
        <f t="shared" si="145"/>
        <v>60.010989010989015</v>
      </c>
      <c r="X973" s="12">
        <f t="shared" si="146"/>
        <v>0.73479853479853474</v>
      </c>
    </row>
    <row r="974" spans="1:24">
      <c r="A974" s="11">
        <v>973</v>
      </c>
      <c r="B974" s="11" t="s">
        <v>2363</v>
      </c>
      <c r="C974" s="11" t="s">
        <v>50</v>
      </c>
      <c r="D974" s="11" t="s">
        <v>114</v>
      </c>
      <c r="E974" s="12">
        <v>42</v>
      </c>
      <c r="F974" s="11" t="s">
        <v>2643</v>
      </c>
      <c r="G974" s="11" t="str">
        <f t="shared" si="147"/>
        <v>Litres</v>
      </c>
      <c r="H974" s="13">
        <v>418</v>
      </c>
      <c r="I974" s="11" t="s">
        <v>19</v>
      </c>
      <c r="J974" s="12">
        <v>21390</v>
      </c>
      <c r="K974" s="12" t="str">
        <f t="shared" si="139"/>
        <v>Low</v>
      </c>
      <c r="L974" s="11" t="s">
        <v>20</v>
      </c>
      <c r="M974" s="14">
        <v>45242</v>
      </c>
      <c r="N974" s="14" t="str">
        <f t="shared" si="140"/>
        <v>12/11/2023</v>
      </c>
      <c r="O974" s="14" t="str">
        <f t="shared" si="141"/>
        <v>2023</v>
      </c>
      <c r="P974" s="11" t="s">
        <v>1779</v>
      </c>
      <c r="Q974" s="11" t="s">
        <v>441</v>
      </c>
      <c r="R974" s="11">
        <v>14</v>
      </c>
      <c r="S974" s="11" t="str">
        <f t="shared" si="142"/>
        <v>13 - 16 yrs</v>
      </c>
      <c r="T974" s="12">
        <v>129.30000000000001</v>
      </c>
      <c r="U974" s="11" t="str">
        <f t="shared" si="143"/>
        <v>(101 - 150)</v>
      </c>
      <c r="V974" s="12">
        <f t="shared" si="144"/>
        <v>9.9523809523809526</v>
      </c>
      <c r="W974" s="12">
        <f t="shared" si="145"/>
        <v>51.172248803827749</v>
      </c>
      <c r="X974" s="12">
        <f t="shared" si="146"/>
        <v>0.3093301435406699</v>
      </c>
    </row>
    <row r="975" spans="1:24">
      <c r="A975" s="11">
        <v>974</v>
      </c>
      <c r="B975" s="11" t="s">
        <v>2365</v>
      </c>
      <c r="C975" s="11" t="s">
        <v>32</v>
      </c>
      <c r="D975" s="11" t="s">
        <v>114</v>
      </c>
      <c r="E975" s="12">
        <v>89.1</v>
      </c>
      <c r="F975" s="11" t="s">
        <v>2643</v>
      </c>
      <c r="G975" s="11" t="str">
        <f t="shared" si="147"/>
        <v>Litres</v>
      </c>
      <c r="H975" s="13">
        <v>536</v>
      </c>
      <c r="I975" s="11" t="s">
        <v>19</v>
      </c>
      <c r="J975" s="12">
        <v>52589</v>
      </c>
      <c r="K975" s="12" t="str">
        <f t="shared" si="139"/>
        <v>Medium</v>
      </c>
      <c r="L975" s="11" t="s">
        <v>20</v>
      </c>
      <c r="M975" s="14">
        <v>45501</v>
      </c>
      <c r="N975" s="14" t="str">
        <f t="shared" si="140"/>
        <v>28/07/2024</v>
      </c>
      <c r="O975" s="14" t="str">
        <f t="shared" si="141"/>
        <v>2024</v>
      </c>
      <c r="P975" s="11" t="s">
        <v>2282</v>
      </c>
      <c r="Q975" s="11" t="s">
        <v>121</v>
      </c>
      <c r="R975" s="11">
        <v>8</v>
      </c>
      <c r="S975" s="11" t="str">
        <f t="shared" si="142"/>
        <v>5 - 8 yrs</v>
      </c>
      <c r="T975" s="12">
        <v>232.2</v>
      </c>
      <c r="U975" s="11" t="str">
        <f t="shared" si="143"/>
        <v>(201 - 250)</v>
      </c>
      <c r="V975" s="12">
        <f t="shared" si="144"/>
        <v>6.0157126823793492</v>
      </c>
      <c r="W975" s="12">
        <f t="shared" si="145"/>
        <v>98.113805970149258</v>
      </c>
      <c r="X975" s="12">
        <f t="shared" si="146"/>
        <v>0.43320895522388059</v>
      </c>
    </row>
    <row r="976" spans="1:24">
      <c r="A976" s="11">
        <v>975</v>
      </c>
      <c r="B976" s="11" t="s">
        <v>471</v>
      </c>
      <c r="C976" s="11" t="s">
        <v>50</v>
      </c>
      <c r="D976" s="11" t="s">
        <v>17</v>
      </c>
      <c r="E976" s="12">
        <v>49.3</v>
      </c>
      <c r="F976" s="11" t="s">
        <v>26</v>
      </c>
      <c r="G976" s="11" t="str">
        <f t="shared" si="147"/>
        <v>Litres</v>
      </c>
      <c r="H976" s="13">
        <v>521</v>
      </c>
      <c r="I976" s="11" t="s">
        <v>19</v>
      </c>
      <c r="J976" s="12">
        <v>86105</v>
      </c>
      <c r="K976" s="12" t="str">
        <f t="shared" si="139"/>
        <v>High</v>
      </c>
      <c r="L976" s="11" t="s">
        <v>20</v>
      </c>
      <c r="M976" s="14">
        <v>45369</v>
      </c>
      <c r="N976" s="14" t="str">
        <f t="shared" si="140"/>
        <v>18/03/2024</v>
      </c>
      <c r="O976" s="14" t="str">
        <f t="shared" si="141"/>
        <v>2024</v>
      </c>
      <c r="P976" s="11" t="s">
        <v>2062</v>
      </c>
      <c r="Q976" s="11" t="s">
        <v>86</v>
      </c>
      <c r="R976" s="11">
        <v>10</v>
      </c>
      <c r="S976" s="11" t="str">
        <f t="shared" si="142"/>
        <v>9 - 12 yrs</v>
      </c>
      <c r="T976" s="12">
        <v>117.8</v>
      </c>
      <c r="U976" s="11" t="str">
        <f t="shared" si="143"/>
        <v>(101 - 150)</v>
      </c>
      <c r="V976" s="12">
        <f t="shared" si="144"/>
        <v>10.567951318458418</v>
      </c>
      <c r="W976" s="12">
        <f t="shared" si="145"/>
        <v>165.26871401151632</v>
      </c>
      <c r="X976" s="12">
        <f t="shared" si="146"/>
        <v>0.22610364683301343</v>
      </c>
    </row>
    <row r="977" spans="1:24">
      <c r="A977" s="11">
        <v>976</v>
      </c>
      <c r="B977" s="11" t="s">
        <v>317</v>
      </c>
      <c r="C977" s="11" t="s">
        <v>50</v>
      </c>
      <c r="D977" s="11" t="s">
        <v>114</v>
      </c>
      <c r="E977" s="12">
        <v>40.799999999999997</v>
      </c>
      <c r="F977" s="11" t="s">
        <v>26</v>
      </c>
      <c r="G977" s="11" t="str">
        <f t="shared" si="147"/>
        <v>Litres</v>
      </c>
      <c r="H977" s="13">
        <v>379</v>
      </c>
      <c r="I977" s="11" t="s">
        <v>19</v>
      </c>
      <c r="J977" s="12">
        <v>35113</v>
      </c>
      <c r="K977" s="12" t="str">
        <f t="shared" si="139"/>
        <v>Low</v>
      </c>
      <c r="L977" s="11" t="s">
        <v>20</v>
      </c>
      <c r="M977" s="14">
        <v>45248</v>
      </c>
      <c r="N977" s="14" t="str">
        <f t="shared" si="140"/>
        <v>18/11/2023</v>
      </c>
      <c r="O977" s="14" t="str">
        <f t="shared" si="141"/>
        <v>2023</v>
      </c>
      <c r="P977" s="11" t="s">
        <v>896</v>
      </c>
      <c r="Q977" s="11" t="s">
        <v>112</v>
      </c>
      <c r="R977" s="11">
        <v>3</v>
      </c>
      <c r="S977" s="11" t="str">
        <f t="shared" si="142"/>
        <v>0 - 4 yrs</v>
      </c>
      <c r="T977" s="12">
        <v>102.4</v>
      </c>
      <c r="U977" s="11" t="str">
        <f t="shared" si="143"/>
        <v>(101 - 150)</v>
      </c>
      <c r="V977" s="12">
        <f t="shared" si="144"/>
        <v>9.2892156862745097</v>
      </c>
      <c r="W977" s="12">
        <f t="shared" si="145"/>
        <v>92.646437994722959</v>
      </c>
      <c r="X977" s="12">
        <f t="shared" si="146"/>
        <v>0.27018469656992083</v>
      </c>
    </row>
    <row r="978" spans="1:24">
      <c r="A978" s="11">
        <v>977</v>
      </c>
      <c r="B978" s="11" t="s">
        <v>2367</v>
      </c>
      <c r="C978" s="11" t="s">
        <v>16</v>
      </c>
      <c r="D978" s="11" t="s">
        <v>114</v>
      </c>
      <c r="E978" s="12">
        <v>90.8</v>
      </c>
      <c r="F978" s="11" t="s">
        <v>62</v>
      </c>
      <c r="G978" s="11" t="str">
        <f t="shared" si="147"/>
        <v>kWh</v>
      </c>
      <c r="H978" s="13">
        <v>566</v>
      </c>
      <c r="I978" s="11" t="s">
        <v>19</v>
      </c>
      <c r="J978" s="12">
        <v>91685</v>
      </c>
      <c r="K978" s="12" t="str">
        <f t="shared" si="139"/>
        <v>Very High</v>
      </c>
      <c r="L978" s="11" t="s">
        <v>20</v>
      </c>
      <c r="M978" s="14">
        <v>45533</v>
      </c>
      <c r="N978" s="14" t="str">
        <f t="shared" si="140"/>
        <v>29/08/2024</v>
      </c>
      <c r="O978" s="14" t="str">
        <f t="shared" si="141"/>
        <v>2024</v>
      </c>
      <c r="P978" s="11" t="s">
        <v>2369</v>
      </c>
      <c r="Q978" s="11" t="s">
        <v>121</v>
      </c>
      <c r="R978" s="11">
        <v>18</v>
      </c>
      <c r="S978" s="11" t="str">
        <f t="shared" si="142"/>
        <v>17 + yrs</v>
      </c>
      <c r="T978" s="12">
        <v>267.39999999999998</v>
      </c>
      <c r="U978" s="11" t="str">
        <f t="shared" si="143"/>
        <v>(251 - 300)</v>
      </c>
      <c r="V978" s="12">
        <f t="shared" si="144"/>
        <v>6.2334801762114536</v>
      </c>
      <c r="W978" s="12">
        <f t="shared" si="145"/>
        <v>161.98763250883391</v>
      </c>
      <c r="X978" s="12">
        <f t="shared" si="146"/>
        <v>0.47243816254416959</v>
      </c>
    </row>
    <row r="979" spans="1:24">
      <c r="A979" s="11">
        <v>978</v>
      </c>
      <c r="B979" s="11" t="s">
        <v>2370</v>
      </c>
      <c r="C979" s="11" t="s">
        <v>32</v>
      </c>
      <c r="D979" s="11" t="s">
        <v>114</v>
      </c>
      <c r="E979" s="12">
        <v>13.9</v>
      </c>
      <c r="F979" s="11" t="s">
        <v>2643</v>
      </c>
      <c r="G979" s="11" t="str">
        <f t="shared" si="147"/>
        <v>Litres</v>
      </c>
      <c r="H979" s="13">
        <v>432</v>
      </c>
      <c r="I979" s="11" t="s">
        <v>19</v>
      </c>
      <c r="J979" s="12">
        <v>110786</v>
      </c>
      <c r="K979" s="12" t="str">
        <f t="shared" si="139"/>
        <v>Extreme</v>
      </c>
      <c r="L979" s="11" t="s">
        <v>20</v>
      </c>
      <c r="M979" s="14">
        <v>45645</v>
      </c>
      <c r="N979" s="14" t="str">
        <f t="shared" si="140"/>
        <v>19/12/2024</v>
      </c>
      <c r="O979" s="14" t="str">
        <f t="shared" si="141"/>
        <v>2024</v>
      </c>
      <c r="P979" s="11" t="s">
        <v>499</v>
      </c>
      <c r="Q979" s="11" t="s">
        <v>121</v>
      </c>
      <c r="R979" s="11">
        <v>17</v>
      </c>
      <c r="S979" s="11" t="str">
        <f t="shared" si="142"/>
        <v>17 + yrs</v>
      </c>
      <c r="T979" s="12">
        <v>38</v>
      </c>
      <c r="U979" s="11" t="str">
        <f t="shared" si="143"/>
        <v>(0 - 50)</v>
      </c>
      <c r="V979" s="12">
        <f t="shared" si="144"/>
        <v>31.079136690647481</v>
      </c>
      <c r="W979" s="12">
        <f t="shared" si="145"/>
        <v>256.44907407407408</v>
      </c>
      <c r="X979" s="12">
        <f t="shared" si="146"/>
        <v>8.7962962962962965E-2</v>
      </c>
    </row>
    <row r="980" spans="1:24">
      <c r="A980" s="11">
        <v>979</v>
      </c>
      <c r="B980" s="11" t="s">
        <v>2372</v>
      </c>
      <c r="C980" s="11" t="s">
        <v>32</v>
      </c>
      <c r="D980" s="11" t="s">
        <v>61</v>
      </c>
      <c r="E980" s="12">
        <v>10</v>
      </c>
      <c r="F980" s="11" t="s">
        <v>2643</v>
      </c>
      <c r="G980" s="11" t="str">
        <f t="shared" si="147"/>
        <v>Litres</v>
      </c>
      <c r="H980" s="13">
        <v>432</v>
      </c>
      <c r="I980" s="11" t="s">
        <v>19</v>
      </c>
      <c r="J980" s="12">
        <v>26109</v>
      </c>
      <c r="K980" s="12" t="str">
        <f t="shared" si="139"/>
        <v>Low</v>
      </c>
      <c r="L980" s="11" t="s">
        <v>20</v>
      </c>
      <c r="M980" s="14">
        <v>45244</v>
      </c>
      <c r="N980" s="14" t="str">
        <f t="shared" si="140"/>
        <v>14/11/2023</v>
      </c>
      <c r="O980" s="14" t="str">
        <f t="shared" si="141"/>
        <v>2023</v>
      </c>
      <c r="P980" s="11" t="s">
        <v>1434</v>
      </c>
      <c r="Q980" s="11" t="s">
        <v>112</v>
      </c>
      <c r="R980" s="11">
        <v>19</v>
      </c>
      <c r="S980" s="11" t="str">
        <f t="shared" si="142"/>
        <v>17 + yrs</v>
      </c>
      <c r="T980" s="12">
        <v>0</v>
      </c>
      <c r="U980" s="11" t="str">
        <f t="shared" si="143"/>
        <v>(0 - 50)</v>
      </c>
      <c r="V980" s="12">
        <f t="shared" si="144"/>
        <v>43.2</v>
      </c>
      <c r="W980" s="12">
        <f t="shared" si="145"/>
        <v>60.4375</v>
      </c>
      <c r="X980" s="12">
        <f t="shared" si="146"/>
        <v>0</v>
      </c>
    </row>
    <row r="981" spans="1:24">
      <c r="A981" s="11">
        <v>980</v>
      </c>
      <c r="B981" s="11" t="s">
        <v>2373</v>
      </c>
      <c r="C981" s="11" t="s">
        <v>39</v>
      </c>
      <c r="D981" s="11" t="s">
        <v>17</v>
      </c>
      <c r="E981" s="12">
        <v>36.5</v>
      </c>
      <c r="F981" s="11" t="s">
        <v>62</v>
      </c>
      <c r="G981" s="11" t="str">
        <f t="shared" si="147"/>
        <v>kWh</v>
      </c>
      <c r="H981" s="13">
        <v>696</v>
      </c>
      <c r="I981" s="11" t="s">
        <v>19</v>
      </c>
      <c r="J981" s="12">
        <v>119197</v>
      </c>
      <c r="K981" s="12" t="str">
        <f t="shared" si="139"/>
        <v>Extreme</v>
      </c>
      <c r="L981" s="11" t="s">
        <v>20</v>
      </c>
      <c r="M981" s="14">
        <v>45132</v>
      </c>
      <c r="N981" s="14" t="str">
        <f t="shared" si="140"/>
        <v>25/07/2023</v>
      </c>
      <c r="O981" s="14" t="str">
        <f t="shared" si="141"/>
        <v>2023</v>
      </c>
      <c r="P981" s="11" t="s">
        <v>2375</v>
      </c>
      <c r="Q981" s="11" t="s">
        <v>86</v>
      </c>
      <c r="R981" s="11">
        <v>5</v>
      </c>
      <c r="S981" s="11" t="str">
        <f t="shared" si="142"/>
        <v>5 - 8 yrs</v>
      </c>
      <c r="T981" s="12">
        <v>109.7</v>
      </c>
      <c r="U981" s="11" t="str">
        <f t="shared" si="143"/>
        <v>(101 - 150)</v>
      </c>
      <c r="V981" s="12">
        <f t="shared" si="144"/>
        <v>19.068493150684933</v>
      </c>
      <c r="W981" s="12">
        <f t="shared" si="145"/>
        <v>171.26005747126436</v>
      </c>
      <c r="X981" s="12">
        <f t="shared" si="146"/>
        <v>0.15761494252873565</v>
      </c>
    </row>
    <row r="982" spans="1:24">
      <c r="A982" s="11">
        <v>981</v>
      </c>
      <c r="B982" s="11" t="s">
        <v>2376</v>
      </c>
      <c r="C982" s="11" t="s">
        <v>32</v>
      </c>
      <c r="D982" s="11" t="s">
        <v>33</v>
      </c>
      <c r="E982" s="12">
        <v>53.2</v>
      </c>
      <c r="F982" s="11" t="s">
        <v>62</v>
      </c>
      <c r="G982" s="11" t="str">
        <f t="shared" si="147"/>
        <v>kWh</v>
      </c>
      <c r="H982" s="13">
        <v>41</v>
      </c>
      <c r="I982" s="11" t="s">
        <v>19</v>
      </c>
      <c r="J982" s="12">
        <v>42909</v>
      </c>
      <c r="K982" s="12" t="str">
        <f t="shared" si="139"/>
        <v>Medium</v>
      </c>
      <c r="L982" s="11" t="s">
        <v>20</v>
      </c>
      <c r="M982" s="14">
        <v>45026</v>
      </c>
      <c r="N982" s="14" t="str">
        <f t="shared" si="140"/>
        <v>10/04/2023</v>
      </c>
      <c r="O982" s="14" t="str">
        <f t="shared" si="141"/>
        <v>2023</v>
      </c>
      <c r="P982" s="11" t="s">
        <v>1918</v>
      </c>
      <c r="Q982" s="11" t="s">
        <v>69</v>
      </c>
      <c r="R982" s="11">
        <v>20</v>
      </c>
      <c r="S982" s="11" t="str">
        <f t="shared" si="142"/>
        <v>17 + yrs</v>
      </c>
      <c r="T982" s="12">
        <v>176.4</v>
      </c>
      <c r="U982" s="11" t="str">
        <f t="shared" si="143"/>
        <v>(151 - 200)</v>
      </c>
      <c r="V982" s="12">
        <f t="shared" si="144"/>
        <v>0.77067669172932329</v>
      </c>
      <c r="W982" s="12">
        <f t="shared" si="145"/>
        <v>1046.560975609756</v>
      </c>
      <c r="X982" s="12">
        <f t="shared" si="146"/>
        <v>4.3024390243902442</v>
      </c>
    </row>
    <row r="983" spans="1:24">
      <c r="A983" s="11">
        <v>982</v>
      </c>
      <c r="B983" s="11" t="s">
        <v>2378</v>
      </c>
      <c r="C983" s="11" t="s">
        <v>32</v>
      </c>
      <c r="D983" s="11" t="s">
        <v>33</v>
      </c>
      <c r="E983" s="12">
        <v>58.5</v>
      </c>
      <c r="F983" s="11" t="s">
        <v>56</v>
      </c>
      <c r="G983" s="11" t="str">
        <f t="shared" si="147"/>
        <v>Litres</v>
      </c>
      <c r="H983" s="13">
        <v>655</v>
      </c>
      <c r="I983" s="11" t="s">
        <v>19</v>
      </c>
      <c r="J983" s="12">
        <v>21751</v>
      </c>
      <c r="K983" s="12" t="str">
        <f t="shared" si="139"/>
        <v>Low</v>
      </c>
      <c r="L983" s="11" t="s">
        <v>20</v>
      </c>
      <c r="M983" s="14">
        <v>45290</v>
      </c>
      <c r="N983" s="14" t="str">
        <f t="shared" si="140"/>
        <v>30/12/2023</v>
      </c>
      <c r="O983" s="14" t="str">
        <f t="shared" si="141"/>
        <v>2023</v>
      </c>
      <c r="P983" s="11" t="s">
        <v>959</v>
      </c>
      <c r="Q983" s="11" t="s">
        <v>117</v>
      </c>
      <c r="R983" s="11">
        <v>1</v>
      </c>
      <c r="S983" s="11" t="str">
        <f t="shared" si="142"/>
        <v>0 - 4 yrs</v>
      </c>
      <c r="T983" s="12">
        <v>201.1</v>
      </c>
      <c r="U983" s="11" t="str">
        <f t="shared" si="143"/>
        <v>(201 - 250)</v>
      </c>
      <c r="V983" s="12">
        <f t="shared" si="144"/>
        <v>11.196581196581196</v>
      </c>
      <c r="W983" s="12">
        <f t="shared" si="145"/>
        <v>33.207633587786262</v>
      </c>
      <c r="X983" s="12">
        <f t="shared" si="146"/>
        <v>0.30702290076335875</v>
      </c>
    </row>
    <row r="984" spans="1:24">
      <c r="A984" s="11">
        <v>983</v>
      </c>
      <c r="B984" s="11" t="s">
        <v>2380</v>
      </c>
      <c r="C984" s="11" t="s">
        <v>50</v>
      </c>
      <c r="D984" s="11" t="s">
        <v>17</v>
      </c>
      <c r="E984" s="12">
        <v>18.3</v>
      </c>
      <c r="F984" s="11" t="s">
        <v>26</v>
      </c>
      <c r="G984" s="11" t="str">
        <f t="shared" si="147"/>
        <v>Litres</v>
      </c>
      <c r="H984" s="13">
        <v>461</v>
      </c>
      <c r="I984" s="11" t="s">
        <v>19</v>
      </c>
      <c r="J984" s="12">
        <v>106834</v>
      </c>
      <c r="K984" s="12" t="str">
        <f t="shared" si="139"/>
        <v>Very High</v>
      </c>
      <c r="L984" s="11" t="s">
        <v>20</v>
      </c>
      <c r="M984" s="14">
        <v>45792</v>
      </c>
      <c r="N984" s="14" t="str">
        <f t="shared" si="140"/>
        <v>15/05/2025</v>
      </c>
      <c r="O984" s="14" t="str">
        <f t="shared" si="141"/>
        <v>2025</v>
      </c>
      <c r="P984" s="11" t="s">
        <v>764</v>
      </c>
      <c r="Q984" s="11" t="s">
        <v>48</v>
      </c>
      <c r="R984" s="11">
        <v>2</v>
      </c>
      <c r="S984" s="11" t="str">
        <f t="shared" si="142"/>
        <v>0 - 4 yrs</v>
      </c>
      <c r="T984" s="12">
        <v>38.5</v>
      </c>
      <c r="U984" s="11" t="str">
        <f t="shared" si="143"/>
        <v>(0 - 50)</v>
      </c>
      <c r="V984" s="12">
        <f t="shared" si="144"/>
        <v>25.191256830601091</v>
      </c>
      <c r="W984" s="12">
        <f t="shared" si="145"/>
        <v>231.74403470715836</v>
      </c>
      <c r="X984" s="12">
        <f t="shared" si="146"/>
        <v>8.3514099783080262E-2</v>
      </c>
    </row>
    <row r="985" spans="1:24">
      <c r="A985" s="11">
        <v>984</v>
      </c>
      <c r="B985" s="11" t="s">
        <v>2639</v>
      </c>
      <c r="C985" s="11" t="s">
        <v>32</v>
      </c>
      <c r="D985" s="11" t="s">
        <v>114</v>
      </c>
      <c r="E985" s="12">
        <v>21.6</v>
      </c>
      <c r="F985" s="11" t="s">
        <v>41</v>
      </c>
      <c r="G985" s="11" t="str">
        <f t="shared" si="147"/>
        <v>Litres</v>
      </c>
      <c r="H985" s="13">
        <v>669</v>
      </c>
      <c r="I985" s="11" t="s">
        <v>19</v>
      </c>
      <c r="J985" s="12">
        <v>63090</v>
      </c>
      <c r="K985" s="12" t="str">
        <f t="shared" si="139"/>
        <v>Moderate</v>
      </c>
      <c r="L985" s="11" t="s">
        <v>20</v>
      </c>
      <c r="M985" s="14">
        <v>45222</v>
      </c>
      <c r="N985" s="14" t="str">
        <f t="shared" si="140"/>
        <v>23/10/2023</v>
      </c>
      <c r="O985" s="14" t="str">
        <f t="shared" si="141"/>
        <v>2023</v>
      </c>
      <c r="P985" s="11" t="s">
        <v>2384</v>
      </c>
      <c r="Q985" s="11" t="s">
        <v>441</v>
      </c>
      <c r="R985" s="11">
        <v>17</v>
      </c>
      <c r="S985" s="11" t="str">
        <f t="shared" si="142"/>
        <v>17 + yrs</v>
      </c>
      <c r="T985" s="12">
        <v>50.8</v>
      </c>
      <c r="U985" s="11" t="str">
        <f t="shared" si="143"/>
        <v>(51 - 100)</v>
      </c>
      <c r="V985" s="12">
        <f t="shared" si="144"/>
        <v>30.972222222222221</v>
      </c>
      <c r="W985" s="12">
        <f t="shared" si="145"/>
        <v>94.304932735426007</v>
      </c>
      <c r="X985" s="12">
        <f t="shared" si="146"/>
        <v>7.5934230194319871E-2</v>
      </c>
    </row>
    <row r="986" spans="1:24">
      <c r="A986" s="11">
        <v>985</v>
      </c>
      <c r="B986" s="11" t="s">
        <v>2385</v>
      </c>
      <c r="C986" s="11" t="s">
        <v>16</v>
      </c>
      <c r="D986" s="11" t="s">
        <v>33</v>
      </c>
      <c r="E986" s="12">
        <v>22</v>
      </c>
      <c r="F986" s="11" t="s">
        <v>41</v>
      </c>
      <c r="G986" s="11" t="str">
        <f t="shared" si="147"/>
        <v>Litres</v>
      </c>
      <c r="H986" s="13">
        <v>368</v>
      </c>
      <c r="I986" s="11" t="s">
        <v>19</v>
      </c>
      <c r="J986" s="12">
        <v>82329</v>
      </c>
      <c r="K986" s="12" t="str">
        <f t="shared" si="139"/>
        <v>High</v>
      </c>
      <c r="L986" s="11" t="s">
        <v>20</v>
      </c>
      <c r="M986" s="14">
        <v>45135</v>
      </c>
      <c r="N986" s="14" t="str">
        <f t="shared" si="140"/>
        <v>28/07/2023</v>
      </c>
      <c r="O986" s="14" t="str">
        <f t="shared" si="141"/>
        <v>2023</v>
      </c>
      <c r="P986" s="11" t="s">
        <v>2387</v>
      </c>
      <c r="Q986" s="11" t="s">
        <v>112</v>
      </c>
      <c r="R986" s="11">
        <v>19</v>
      </c>
      <c r="S986" s="11" t="str">
        <f t="shared" si="142"/>
        <v>17 + yrs</v>
      </c>
      <c r="T986" s="12">
        <v>54.7</v>
      </c>
      <c r="U986" s="11" t="str">
        <f t="shared" si="143"/>
        <v>(51 - 100)</v>
      </c>
      <c r="V986" s="12">
        <f t="shared" si="144"/>
        <v>16.727272727272727</v>
      </c>
      <c r="W986" s="12">
        <f t="shared" si="145"/>
        <v>223.72010869565219</v>
      </c>
      <c r="X986" s="12">
        <f t="shared" si="146"/>
        <v>0.1486413043478261</v>
      </c>
    </row>
    <row r="987" spans="1:24">
      <c r="A987" s="11">
        <v>986</v>
      </c>
      <c r="B987" s="11" t="s">
        <v>2388</v>
      </c>
      <c r="C987" s="11" t="s">
        <v>50</v>
      </c>
      <c r="D987" s="11" t="s">
        <v>33</v>
      </c>
      <c r="E987" s="12">
        <v>27.3</v>
      </c>
      <c r="F987" s="11" t="s">
        <v>26</v>
      </c>
      <c r="G987" s="11" t="str">
        <f t="shared" si="147"/>
        <v>Litres</v>
      </c>
      <c r="H987" s="13">
        <v>394</v>
      </c>
      <c r="I987" s="11" t="s">
        <v>19</v>
      </c>
      <c r="J987" s="12">
        <v>17620</v>
      </c>
      <c r="K987" s="12" t="str">
        <f t="shared" si="139"/>
        <v>Very Low</v>
      </c>
      <c r="L987" s="11" t="s">
        <v>20</v>
      </c>
      <c r="M987" s="14">
        <v>45275</v>
      </c>
      <c r="N987" s="14" t="str">
        <f t="shared" si="140"/>
        <v>15/12/2023</v>
      </c>
      <c r="O987" s="14" t="str">
        <f t="shared" si="141"/>
        <v>2023</v>
      </c>
      <c r="P987" s="11" t="s">
        <v>1291</v>
      </c>
      <c r="Q987" s="11" t="s">
        <v>112</v>
      </c>
      <c r="R987" s="11">
        <v>8</v>
      </c>
      <c r="S987" s="11" t="str">
        <f t="shared" si="142"/>
        <v>5 - 8 yrs</v>
      </c>
      <c r="T987" s="12">
        <v>68.8</v>
      </c>
      <c r="U987" s="11" t="str">
        <f t="shared" si="143"/>
        <v>(51 - 100)</v>
      </c>
      <c r="V987" s="12">
        <f t="shared" si="144"/>
        <v>14.432234432234432</v>
      </c>
      <c r="W987" s="12">
        <f t="shared" si="145"/>
        <v>44.720812182741113</v>
      </c>
      <c r="X987" s="12">
        <f t="shared" si="146"/>
        <v>0.17461928934010151</v>
      </c>
    </row>
    <row r="988" spans="1:24">
      <c r="A988" s="11">
        <v>987</v>
      </c>
      <c r="B988" s="11" t="s">
        <v>2640</v>
      </c>
      <c r="C988" s="11" t="s">
        <v>50</v>
      </c>
      <c r="D988" s="11" t="s">
        <v>17</v>
      </c>
      <c r="E988" s="12">
        <v>14</v>
      </c>
      <c r="F988" s="11" t="s">
        <v>26</v>
      </c>
      <c r="G988" s="11" t="str">
        <f t="shared" si="147"/>
        <v>Litres</v>
      </c>
      <c r="H988" s="13">
        <v>143</v>
      </c>
      <c r="I988" s="11" t="s">
        <v>19</v>
      </c>
      <c r="J988" s="12">
        <v>36781</v>
      </c>
      <c r="K988" s="12" t="str">
        <f t="shared" si="139"/>
        <v>Medium</v>
      </c>
      <c r="L988" s="11" t="s">
        <v>20</v>
      </c>
      <c r="M988" s="14">
        <v>45070</v>
      </c>
      <c r="N988" s="14" t="str">
        <f t="shared" si="140"/>
        <v>24/05/2023</v>
      </c>
      <c r="O988" s="14" t="str">
        <f t="shared" si="141"/>
        <v>2023</v>
      </c>
      <c r="P988" s="11" t="s">
        <v>1767</v>
      </c>
      <c r="Q988" s="11" t="s">
        <v>2648</v>
      </c>
      <c r="R988" s="11">
        <v>7</v>
      </c>
      <c r="S988" s="11" t="str">
        <f t="shared" si="142"/>
        <v>5 - 8 yrs</v>
      </c>
      <c r="T988" s="12">
        <v>36.1</v>
      </c>
      <c r="U988" s="11" t="str">
        <f t="shared" si="143"/>
        <v>(0 - 50)</v>
      </c>
      <c r="V988" s="12">
        <f t="shared" si="144"/>
        <v>10.214285714285714</v>
      </c>
      <c r="W988" s="12">
        <f t="shared" si="145"/>
        <v>257.20979020979019</v>
      </c>
      <c r="X988" s="12">
        <f t="shared" si="146"/>
        <v>0.25244755244755246</v>
      </c>
    </row>
    <row r="989" spans="1:24">
      <c r="A989" s="11">
        <v>988</v>
      </c>
      <c r="B989" s="11" t="s">
        <v>2391</v>
      </c>
      <c r="C989" s="11" t="s">
        <v>39</v>
      </c>
      <c r="D989" s="11" t="s">
        <v>33</v>
      </c>
      <c r="E989" s="12">
        <v>3</v>
      </c>
      <c r="F989" s="11" t="s">
        <v>41</v>
      </c>
      <c r="G989" s="11" t="str">
        <f t="shared" si="147"/>
        <v>Litres</v>
      </c>
      <c r="H989" s="13">
        <v>163</v>
      </c>
      <c r="I989" s="11" t="s">
        <v>19</v>
      </c>
      <c r="J989" s="12">
        <v>34705</v>
      </c>
      <c r="K989" s="12" t="str">
        <f t="shared" si="139"/>
        <v>Low</v>
      </c>
      <c r="L989" s="11" t="s">
        <v>20</v>
      </c>
      <c r="M989" s="14">
        <v>45693</v>
      </c>
      <c r="N989" s="14" t="str">
        <f t="shared" si="140"/>
        <v>05/02/2025</v>
      </c>
      <c r="O989" s="14" t="str">
        <f t="shared" si="141"/>
        <v>2025</v>
      </c>
      <c r="P989" s="11" t="s">
        <v>487</v>
      </c>
      <c r="Q989" s="11" t="s">
        <v>441</v>
      </c>
      <c r="R989" s="11">
        <v>10</v>
      </c>
      <c r="S989" s="11" t="str">
        <f t="shared" si="142"/>
        <v>9 - 12 yrs</v>
      </c>
      <c r="T989" s="12">
        <v>10.4</v>
      </c>
      <c r="U989" s="11" t="str">
        <f t="shared" si="143"/>
        <v>(0 - 50)</v>
      </c>
      <c r="V989" s="12">
        <f t="shared" si="144"/>
        <v>54.333333333333336</v>
      </c>
      <c r="W989" s="12">
        <f t="shared" si="145"/>
        <v>212.91411042944785</v>
      </c>
      <c r="X989" s="12">
        <f t="shared" si="146"/>
        <v>6.3803680981595098E-2</v>
      </c>
    </row>
    <row r="990" spans="1:24">
      <c r="A990" s="11">
        <v>989</v>
      </c>
      <c r="B990" s="11" t="s">
        <v>2393</v>
      </c>
      <c r="C990" s="11" t="s">
        <v>39</v>
      </c>
      <c r="D990" s="11" t="s">
        <v>33</v>
      </c>
      <c r="E990" s="12">
        <v>29.9</v>
      </c>
      <c r="F990" s="11" t="s">
        <v>2643</v>
      </c>
      <c r="G990" s="11" t="str">
        <f t="shared" si="147"/>
        <v>Litres</v>
      </c>
      <c r="H990" s="13">
        <v>568</v>
      </c>
      <c r="I990" s="11" t="s">
        <v>19</v>
      </c>
      <c r="J990" s="12">
        <v>18389</v>
      </c>
      <c r="K990" s="12" t="str">
        <f t="shared" si="139"/>
        <v>Low</v>
      </c>
      <c r="L990" s="11" t="s">
        <v>20</v>
      </c>
      <c r="M990" s="14">
        <v>45303</v>
      </c>
      <c r="N990" s="14" t="str">
        <f t="shared" si="140"/>
        <v>12/01/2024</v>
      </c>
      <c r="O990" s="14" t="str">
        <f t="shared" si="141"/>
        <v>2024</v>
      </c>
      <c r="P990" s="11" t="s">
        <v>2317</v>
      </c>
      <c r="Q990" s="11" t="s">
        <v>112</v>
      </c>
      <c r="R990" s="11">
        <v>12</v>
      </c>
      <c r="S990" s="11" t="str">
        <f t="shared" si="142"/>
        <v>9 - 12 yrs</v>
      </c>
      <c r="T990" s="12">
        <v>66.599999999999994</v>
      </c>
      <c r="U990" s="11" t="str">
        <f t="shared" si="143"/>
        <v>(51 - 100)</v>
      </c>
      <c r="V990" s="12">
        <f t="shared" si="144"/>
        <v>18.99665551839465</v>
      </c>
      <c r="W990" s="12">
        <f t="shared" si="145"/>
        <v>32.375</v>
      </c>
      <c r="X990" s="12">
        <f t="shared" si="146"/>
        <v>0.11725352112676056</v>
      </c>
    </row>
    <row r="991" spans="1:24">
      <c r="A991" s="11">
        <v>990</v>
      </c>
      <c r="B991" s="11" t="s">
        <v>2395</v>
      </c>
      <c r="C991" s="11" t="s">
        <v>39</v>
      </c>
      <c r="D991" s="11" t="s">
        <v>17</v>
      </c>
      <c r="E991" s="12">
        <v>91.1</v>
      </c>
      <c r="F991" s="11" t="s">
        <v>56</v>
      </c>
      <c r="G991" s="11" t="str">
        <f t="shared" si="147"/>
        <v>Litres</v>
      </c>
      <c r="H991" s="13">
        <v>678</v>
      </c>
      <c r="I991" s="11" t="s">
        <v>19</v>
      </c>
      <c r="J991" s="12">
        <v>106019</v>
      </c>
      <c r="K991" s="12" t="str">
        <f t="shared" si="139"/>
        <v>Very High</v>
      </c>
      <c r="L991" s="11" t="s">
        <v>20</v>
      </c>
      <c r="M991" s="14">
        <v>45175</v>
      </c>
      <c r="N991" s="14" t="str">
        <f t="shared" si="140"/>
        <v>06/09/2023</v>
      </c>
      <c r="O991" s="14" t="str">
        <f t="shared" si="141"/>
        <v>2023</v>
      </c>
      <c r="P991" s="11" t="s">
        <v>555</v>
      </c>
      <c r="Q991" s="11" t="s">
        <v>117</v>
      </c>
      <c r="R991" s="11">
        <v>2</v>
      </c>
      <c r="S991" s="11" t="str">
        <f t="shared" si="142"/>
        <v>0 - 4 yrs</v>
      </c>
      <c r="T991" s="12">
        <v>185.6</v>
      </c>
      <c r="U991" s="11" t="str">
        <f t="shared" si="143"/>
        <v>(151 - 200)</v>
      </c>
      <c r="V991" s="12">
        <f t="shared" si="144"/>
        <v>7.4423710208562026</v>
      </c>
      <c r="W991" s="12">
        <f t="shared" si="145"/>
        <v>156.37020648967552</v>
      </c>
      <c r="X991" s="12">
        <f t="shared" si="146"/>
        <v>0.27374631268436578</v>
      </c>
    </row>
    <row r="992" spans="1:24">
      <c r="A992" s="11">
        <v>991</v>
      </c>
      <c r="B992" s="11" t="s">
        <v>2214</v>
      </c>
      <c r="C992" s="11" t="s">
        <v>32</v>
      </c>
      <c r="D992" s="11" t="s">
        <v>17</v>
      </c>
      <c r="E992" s="12">
        <v>67.900000000000006</v>
      </c>
      <c r="F992" s="11" t="s">
        <v>56</v>
      </c>
      <c r="G992" s="11" t="str">
        <f t="shared" si="147"/>
        <v>Litres</v>
      </c>
      <c r="H992" s="13">
        <v>459</v>
      </c>
      <c r="I992" s="11" t="s">
        <v>19</v>
      </c>
      <c r="J992" s="12">
        <v>26771</v>
      </c>
      <c r="K992" s="12" t="str">
        <f t="shared" si="139"/>
        <v>Low</v>
      </c>
      <c r="L992" s="11" t="s">
        <v>20</v>
      </c>
      <c r="M992" s="14">
        <v>45795</v>
      </c>
      <c r="N992" s="14" t="str">
        <f t="shared" si="140"/>
        <v>18/05/2025</v>
      </c>
      <c r="O992" s="14" t="str">
        <f t="shared" si="141"/>
        <v>2025</v>
      </c>
      <c r="P992" s="11" t="s">
        <v>719</v>
      </c>
      <c r="Q992" s="11" t="s">
        <v>2648</v>
      </c>
      <c r="R992" s="11">
        <v>17</v>
      </c>
      <c r="S992" s="11" t="str">
        <f t="shared" si="142"/>
        <v>17 + yrs</v>
      </c>
      <c r="T992" s="12">
        <v>199</v>
      </c>
      <c r="U992" s="11" t="str">
        <f t="shared" si="143"/>
        <v>(151 - 200)</v>
      </c>
      <c r="V992" s="12">
        <f t="shared" si="144"/>
        <v>6.7599410898379961</v>
      </c>
      <c r="W992" s="12">
        <f t="shared" si="145"/>
        <v>58.324618736383442</v>
      </c>
      <c r="X992" s="12">
        <f t="shared" si="146"/>
        <v>0.43355119825708061</v>
      </c>
    </row>
    <row r="993" spans="1:24">
      <c r="A993" s="11">
        <v>992</v>
      </c>
      <c r="B993" s="11" t="s">
        <v>2398</v>
      </c>
      <c r="C993" s="11" t="s">
        <v>39</v>
      </c>
      <c r="D993" s="11" t="s">
        <v>17</v>
      </c>
      <c r="E993" s="12">
        <v>40.5</v>
      </c>
      <c r="F993" s="11" t="s">
        <v>41</v>
      </c>
      <c r="G993" s="11" t="str">
        <f t="shared" si="147"/>
        <v>Litres</v>
      </c>
      <c r="H993" s="13">
        <v>83</v>
      </c>
      <c r="I993" s="11" t="s">
        <v>19</v>
      </c>
      <c r="J993" s="12">
        <v>11467</v>
      </c>
      <c r="K993" s="12" t="str">
        <f t="shared" si="139"/>
        <v>Very Low</v>
      </c>
      <c r="L993" s="11" t="s">
        <v>20</v>
      </c>
      <c r="M993" s="14">
        <v>45338</v>
      </c>
      <c r="N993" s="14" t="str">
        <f t="shared" si="140"/>
        <v>16/02/2024</v>
      </c>
      <c r="O993" s="14" t="str">
        <f t="shared" si="141"/>
        <v>2024</v>
      </c>
      <c r="P993" s="11" t="s">
        <v>1218</v>
      </c>
      <c r="Q993" s="11" t="s">
        <v>69</v>
      </c>
      <c r="R993" s="11">
        <v>10</v>
      </c>
      <c r="S993" s="11" t="str">
        <f t="shared" si="142"/>
        <v>9 - 12 yrs</v>
      </c>
      <c r="T993" s="12">
        <v>103.2</v>
      </c>
      <c r="U993" s="11" t="str">
        <f t="shared" si="143"/>
        <v>(101 - 150)</v>
      </c>
      <c r="V993" s="12">
        <f t="shared" si="144"/>
        <v>2.0493827160493829</v>
      </c>
      <c r="W993" s="12">
        <f t="shared" si="145"/>
        <v>138.15662650602408</v>
      </c>
      <c r="X993" s="12">
        <f t="shared" si="146"/>
        <v>1.2433734939759036</v>
      </c>
    </row>
    <row r="994" spans="1:24">
      <c r="A994" s="11">
        <v>993</v>
      </c>
      <c r="B994" s="11" t="s">
        <v>2641</v>
      </c>
      <c r="C994" s="11" t="s">
        <v>50</v>
      </c>
      <c r="D994" s="11" t="s">
        <v>33</v>
      </c>
      <c r="E994" s="12">
        <v>84.6</v>
      </c>
      <c r="F994" s="11" t="s">
        <v>41</v>
      </c>
      <c r="G994" s="11" t="str">
        <f t="shared" si="147"/>
        <v>Litres</v>
      </c>
      <c r="H994" s="13">
        <v>358</v>
      </c>
      <c r="I994" s="11" t="s">
        <v>19</v>
      </c>
      <c r="J994" s="12">
        <v>55373</v>
      </c>
      <c r="K994" s="12" t="str">
        <f t="shared" si="139"/>
        <v>Moderate</v>
      </c>
      <c r="L994" s="11" t="s">
        <v>20</v>
      </c>
      <c r="M994" s="14">
        <v>45176</v>
      </c>
      <c r="N994" s="14" t="str">
        <f t="shared" si="140"/>
        <v>07/09/2023</v>
      </c>
      <c r="O994" s="14" t="str">
        <f t="shared" si="141"/>
        <v>2023</v>
      </c>
      <c r="P994" s="11" t="s">
        <v>419</v>
      </c>
      <c r="Q994" s="11" t="s">
        <v>59</v>
      </c>
      <c r="R994" s="11">
        <v>15</v>
      </c>
      <c r="S994" s="11" t="str">
        <f t="shared" si="142"/>
        <v>13 - 16 yrs</v>
      </c>
      <c r="T994" s="12">
        <v>178</v>
      </c>
      <c r="U994" s="11" t="str">
        <f t="shared" si="143"/>
        <v>(151 - 200)</v>
      </c>
      <c r="V994" s="12">
        <f t="shared" si="144"/>
        <v>4.2316784869976365</v>
      </c>
      <c r="W994" s="12">
        <f t="shared" si="145"/>
        <v>154.67318435754191</v>
      </c>
      <c r="X994" s="12">
        <f t="shared" si="146"/>
        <v>0.4972067039106145</v>
      </c>
    </row>
    <row r="995" spans="1:24">
      <c r="A995" s="11">
        <v>994</v>
      </c>
      <c r="B995" s="11" t="s">
        <v>2401</v>
      </c>
      <c r="C995" s="11" t="s">
        <v>50</v>
      </c>
      <c r="D995" s="11" t="s">
        <v>17</v>
      </c>
      <c r="E995" s="12">
        <v>71.5</v>
      </c>
      <c r="F995" s="11" t="s">
        <v>41</v>
      </c>
      <c r="G995" s="11" t="str">
        <f t="shared" si="147"/>
        <v>Litres</v>
      </c>
      <c r="H995" s="13">
        <v>105</v>
      </c>
      <c r="I995" s="11" t="s">
        <v>19</v>
      </c>
      <c r="J995" s="12">
        <v>89013</v>
      </c>
      <c r="K995" s="12" t="str">
        <f t="shared" si="139"/>
        <v>High</v>
      </c>
      <c r="L995" s="11" t="s">
        <v>20</v>
      </c>
      <c r="M995" s="14">
        <v>44985</v>
      </c>
      <c r="N995" s="14" t="str">
        <f t="shared" si="140"/>
        <v>28/02/2023</v>
      </c>
      <c r="O995" s="14" t="str">
        <f t="shared" si="141"/>
        <v>2023</v>
      </c>
      <c r="P995" s="11" t="s">
        <v>906</v>
      </c>
      <c r="Q995" s="11" t="s">
        <v>121</v>
      </c>
      <c r="R995" s="11">
        <v>12</v>
      </c>
      <c r="S995" s="11" t="str">
        <f t="shared" si="142"/>
        <v>9 - 12 yrs</v>
      </c>
      <c r="T995" s="12">
        <v>160.5</v>
      </c>
      <c r="U995" s="11" t="str">
        <f t="shared" si="143"/>
        <v>(151 - 200)</v>
      </c>
      <c r="V995" s="12">
        <f t="shared" si="144"/>
        <v>1.4685314685314685</v>
      </c>
      <c r="W995" s="12">
        <f t="shared" si="145"/>
        <v>847.74285714285713</v>
      </c>
      <c r="X995" s="12">
        <f t="shared" si="146"/>
        <v>1.5285714285714285</v>
      </c>
    </row>
    <row r="996" spans="1:24">
      <c r="A996" s="11">
        <v>995</v>
      </c>
      <c r="B996" s="11" t="s">
        <v>2403</v>
      </c>
      <c r="C996" s="11" t="s">
        <v>39</v>
      </c>
      <c r="D996" s="11" t="s">
        <v>114</v>
      </c>
      <c r="E996" s="12">
        <v>40.799999999999997</v>
      </c>
      <c r="F996" s="11" t="s">
        <v>26</v>
      </c>
      <c r="G996" s="11" t="str">
        <f t="shared" si="147"/>
        <v>Litres</v>
      </c>
      <c r="H996" s="13">
        <v>473</v>
      </c>
      <c r="I996" s="11" t="s">
        <v>19</v>
      </c>
      <c r="J996" s="12">
        <v>90547</v>
      </c>
      <c r="K996" s="12" t="str">
        <f t="shared" si="139"/>
        <v>Very High</v>
      </c>
      <c r="L996" s="11" t="s">
        <v>20</v>
      </c>
      <c r="M996" s="14">
        <v>45145</v>
      </c>
      <c r="N996" s="14" t="str">
        <f t="shared" si="140"/>
        <v>07/08/2023</v>
      </c>
      <c r="O996" s="14" t="str">
        <f t="shared" si="141"/>
        <v>2023</v>
      </c>
      <c r="P996" s="11" t="s">
        <v>2405</v>
      </c>
      <c r="Q996" s="11" t="s">
        <v>48</v>
      </c>
      <c r="R996" s="11">
        <v>8</v>
      </c>
      <c r="S996" s="11" t="str">
        <f t="shared" si="142"/>
        <v>5 - 8 yrs</v>
      </c>
      <c r="T996" s="12">
        <v>110</v>
      </c>
      <c r="U996" s="11" t="str">
        <f t="shared" si="143"/>
        <v>(101 - 150)</v>
      </c>
      <c r="V996" s="12">
        <f t="shared" si="144"/>
        <v>11.593137254901961</v>
      </c>
      <c r="W996" s="12">
        <f t="shared" si="145"/>
        <v>191.43128964059196</v>
      </c>
      <c r="X996" s="12">
        <f t="shared" si="146"/>
        <v>0.23255813953488372</v>
      </c>
    </row>
    <row r="997" spans="1:24">
      <c r="A997" s="11">
        <v>996</v>
      </c>
      <c r="B997" s="11" t="s">
        <v>2406</v>
      </c>
      <c r="C997" s="11" t="s">
        <v>16</v>
      </c>
      <c r="D997" s="11" t="s">
        <v>33</v>
      </c>
      <c r="E997" s="12">
        <v>88.7</v>
      </c>
      <c r="F997" s="11" t="s">
        <v>56</v>
      </c>
      <c r="G997" s="11" t="str">
        <f t="shared" si="147"/>
        <v>Litres</v>
      </c>
      <c r="H997" s="13">
        <v>515</v>
      </c>
      <c r="I997" s="11" t="s">
        <v>19</v>
      </c>
      <c r="J997" s="12">
        <v>93402</v>
      </c>
      <c r="K997" s="12" t="str">
        <f t="shared" si="139"/>
        <v>Very High</v>
      </c>
      <c r="L997" s="11" t="s">
        <v>20</v>
      </c>
      <c r="M997" s="14">
        <v>45291</v>
      </c>
      <c r="N997" s="14" t="str">
        <f t="shared" si="140"/>
        <v>31/12/2023</v>
      </c>
      <c r="O997" s="14" t="str">
        <f t="shared" si="141"/>
        <v>2023</v>
      </c>
      <c r="P997" s="11" t="s">
        <v>754</v>
      </c>
      <c r="Q997" s="11" t="s">
        <v>441</v>
      </c>
      <c r="R997" s="11">
        <v>1</v>
      </c>
      <c r="S997" s="11" t="str">
        <f t="shared" si="142"/>
        <v>0 - 4 yrs</v>
      </c>
      <c r="T997" s="12">
        <v>289.3</v>
      </c>
      <c r="U997" s="11" t="str">
        <f t="shared" si="143"/>
        <v>(251 - 300)</v>
      </c>
      <c r="V997" s="12">
        <f t="shared" si="144"/>
        <v>5.8060879368658398</v>
      </c>
      <c r="W997" s="12">
        <f t="shared" si="145"/>
        <v>181.36310679611651</v>
      </c>
      <c r="X997" s="12">
        <f t="shared" si="146"/>
        <v>0.561747572815534</v>
      </c>
    </row>
    <row r="998" spans="1:24">
      <c r="A998" s="11">
        <v>997</v>
      </c>
      <c r="B998" s="11" t="s">
        <v>2642</v>
      </c>
      <c r="C998" s="11" t="s">
        <v>32</v>
      </c>
      <c r="D998" s="11" t="s">
        <v>17</v>
      </c>
      <c r="E998" s="12">
        <v>74.900000000000006</v>
      </c>
      <c r="F998" s="11" t="s">
        <v>56</v>
      </c>
      <c r="G998" s="11" t="str">
        <f t="shared" si="147"/>
        <v>Litres</v>
      </c>
      <c r="H998" s="13">
        <v>650</v>
      </c>
      <c r="I998" s="11" t="s">
        <v>19</v>
      </c>
      <c r="J998" s="12">
        <v>42323</v>
      </c>
      <c r="K998" s="12" t="str">
        <f t="shared" ref="K998:K1001" si="148">IF(J998&lt;18000,"Very Low",IF(J998&lt;36000,"Low",IF(J998&lt;54000,"Medium",IF(J998&lt;72000,"Moderate",IF(J998&lt;90000,"High",IF(J998&lt;108000,"Very High","Extreme"))))))</f>
        <v>Medium</v>
      </c>
      <c r="L998" s="11" t="s">
        <v>20</v>
      </c>
      <c r="M998" s="14">
        <v>45221</v>
      </c>
      <c r="N998" s="14" t="str">
        <f t="shared" ref="N998:N1001" si="149">TEXT(M998,"dd/mm/yyyy")</f>
        <v>22/10/2023</v>
      </c>
      <c r="O998" s="14" t="str">
        <f t="shared" ref="O998:O1001" si="150">TEXT(M998,"yyyy")</f>
        <v>2023</v>
      </c>
      <c r="P998" s="11" t="s">
        <v>2410</v>
      </c>
      <c r="Q998" s="11" t="s">
        <v>2648</v>
      </c>
      <c r="R998" s="11">
        <v>9</v>
      </c>
      <c r="S998" s="11" t="str">
        <f t="shared" ref="S998:S1001" si="151">IF(R998&lt;=4,"0 - 4 yrs",IF(R998&lt;=8,"5 - 8 yrs",IF(R998&lt;=12,"9 - 12 yrs",IF(R998&lt;=16,"13 - 16 yrs","17 + yrs"))))</f>
        <v>9 - 12 yrs</v>
      </c>
      <c r="T998" s="12">
        <v>177.1</v>
      </c>
      <c r="U998" s="11" t="str">
        <f t="shared" si="143"/>
        <v>(151 - 200)</v>
      </c>
      <c r="V998" s="12">
        <f t="shared" si="144"/>
        <v>8.6782376502002663</v>
      </c>
      <c r="W998" s="12">
        <f t="shared" si="145"/>
        <v>65.112307692307695</v>
      </c>
      <c r="X998" s="12">
        <f t="shared" si="146"/>
        <v>0.27246153846153848</v>
      </c>
    </row>
    <row r="999" spans="1:24">
      <c r="A999" s="11">
        <v>998</v>
      </c>
      <c r="B999" s="11" t="s">
        <v>2411</v>
      </c>
      <c r="C999" s="11" t="s">
        <v>39</v>
      </c>
      <c r="D999" s="11" t="s">
        <v>17</v>
      </c>
      <c r="E999" s="12">
        <v>36.6</v>
      </c>
      <c r="F999" s="11" t="s">
        <v>41</v>
      </c>
      <c r="G999" s="11" t="str">
        <f t="shared" si="147"/>
        <v>Litres</v>
      </c>
      <c r="H999" s="13">
        <v>287</v>
      </c>
      <c r="I999" s="11" t="s">
        <v>19</v>
      </c>
      <c r="J999" s="12">
        <v>33629</v>
      </c>
      <c r="K999" s="12" t="str">
        <f t="shared" si="148"/>
        <v>Low</v>
      </c>
      <c r="L999" s="11" t="s">
        <v>20</v>
      </c>
      <c r="M999" s="14">
        <v>45023</v>
      </c>
      <c r="N999" s="14" t="str">
        <f t="shared" si="149"/>
        <v>07/04/2023</v>
      </c>
      <c r="O999" s="14" t="str">
        <f t="shared" si="150"/>
        <v>2023</v>
      </c>
      <c r="P999" s="11" t="s">
        <v>1499</v>
      </c>
      <c r="Q999" s="11" t="s">
        <v>59</v>
      </c>
      <c r="R999" s="11">
        <v>9</v>
      </c>
      <c r="S999" s="11" t="str">
        <f t="shared" si="151"/>
        <v>9 - 12 yrs</v>
      </c>
      <c r="T999" s="12">
        <v>125.2</v>
      </c>
      <c r="U999" s="11" t="str">
        <f t="shared" si="143"/>
        <v>(101 - 150)</v>
      </c>
      <c r="V999" s="12">
        <f t="shared" si="144"/>
        <v>7.8415300546448083</v>
      </c>
      <c r="W999" s="12">
        <f t="shared" si="145"/>
        <v>117.17421602787456</v>
      </c>
      <c r="X999" s="12">
        <f t="shared" si="146"/>
        <v>0.4362369337979094</v>
      </c>
    </row>
    <row r="1000" spans="1:24">
      <c r="A1000" s="11">
        <v>999</v>
      </c>
      <c r="B1000" s="11" t="s">
        <v>2413</v>
      </c>
      <c r="C1000" s="11" t="s">
        <v>39</v>
      </c>
      <c r="D1000" s="11" t="s">
        <v>33</v>
      </c>
      <c r="E1000" s="12">
        <v>29.2</v>
      </c>
      <c r="F1000" s="11" t="s">
        <v>62</v>
      </c>
      <c r="G1000" s="11" t="str">
        <f t="shared" si="147"/>
        <v>kWh</v>
      </c>
      <c r="H1000" s="13">
        <v>22</v>
      </c>
      <c r="I1000" s="11" t="s">
        <v>19</v>
      </c>
      <c r="J1000" s="12">
        <v>13074</v>
      </c>
      <c r="K1000" s="12" t="str">
        <f t="shared" si="148"/>
        <v>Very Low</v>
      </c>
      <c r="L1000" s="11" t="s">
        <v>20</v>
      </c>
      <c r="M1000" s="14">
        <v>45627</v>
      </c>
      <c r="N1000" s="14" t="str">
        <f t="shared" si="149"/>
        <v>01/12/2024</v>
      </c>
      <c r="O1000" s="14" t="str">
        <f t="shared" si="150"/>
        <v>2024</v>
      </c>
      <c r="P1000" s="11" t="s">
        <v>2415</v>
      </c>
      <c r="Q1000" s="11" t="s">
        <v>2648</v>
      </c>
      <c r="R1000" s="11">
        <v>20</v>
      </c>
      <c r="S1000" s="11" t="str">
        <f t="shared" si="151"/>
        <v>17 + yrs</v>
      </c>
      <c r="T1000" s="12">
        <v>78.2</v>
      </c>
      <c r="U1000" s="11" t="str">
        <f t="shared" si="143"/>
        <v>(51 - 100)</v>
      </c>
      <c r="V1000" s="12">
        <f t="shared" si="144"/>
        <v>0.75342465753424659</v>
      </c>
      <c r="W1000" s="12">
        <f t="shared" si="145"/>
        <v>594.27272727272725</v>
      </c>
      <c r="X1000" s="12">
        <f t="shared" si="146"/>
        <v>3.5545454545454547</v>
      </c>
    </row>
    <row r="1001" spans="1:24">
      <c r="A1001" s="11">
        <v>1000</v>
      </c>
      <c r="B1001" s="11" t="s">
        <v>2416</v>
      </c>
      <c r="C1001" s="11" t="s">
        <v>32</v>
      </c>
      <c r="D1001" s="11" t="s">
        <v>17</v>
      </c>
      <c r="E1001" s="12">
        <v>99.3</v>
      </c>
      <c r="F1001" s="11" t="s">
        <v>2643</v>
      </c>
      <c r="G1001" s="11" t="str">
        <f t="shared" si="147"/>
        <v>Litres</v>
      </c>
      <c r="H1001" s="13">
        <v>618</v>
      </c>
      <c r="I1001" s="11" t="s">
        <v>19</v>
      </c>
      <c r="J1001" s="12">
        <v>86185</v>
      </c>
      <c r="K1001" s="12" t="str">
        <f t="shared" si="148"/>
        <v>High</v>
      </c>
      <c r="L1001" s="11" t="s">
        <v>20</v>
      </c>
      <c r="M1001" s="14">
        <v>45044</v>
      </c>
      <c r="N1001" s="14" t="str">
        <f t="shared" si="149"/>
        <v>28/04/2023</v>
      </c>
      <c r="O1001" s="14" t="str">
        <f t="shared" si="150"/>
        <v>2023</v>
      </c>
      <c r="P1001" s="11" t="s">
        <v>111</v>
      </c>
      <c r="Q1001" s="11" t="s">
        <v>2648</v>
      </c>
      <c r="R1001" s="11">
        <v>19</v>
      </c>
      <c r="S1001" s="11" t="str">
        <f t="shared" si="151"/>
        <v>17 + yrs</v>
      </c>
      <c r="T1001" s="12">
        <v>296</v>
      </c>
      <c r="U1001" s="11" t="str">
        <f t="shared" si="143"/>
        <v>(251 - 300)</v>
      </c>
      <c r="V1001" s="12">
        <f t="shared" si="144"/>
        <v>6.2235649546827796</v>
      </c>
      <c r="W1001" s="12">
        <f t="shared" si="145"/>
        <v>139.45792880258901</v>
      </c>
      <c r="X1001" s="12">
        <f t="shared" si="146"/>
        <v>0.47896440129449835</v>
      </c>
    </row>
    <row r="1002" spans="1:24">
      <c r="U1002" s="11"/>
      <c r="W1002" s="12"/>
    </row>
    <row r="1003" spans="1:24">
      <c r="U1003" s="11"/>
    </row>
    <row r="1004" spans="1:24">
      <c r="U1004" s="11"/>
    </row>
    <row r="1005" spans="1:24">
      <c r="U1005" s="11"/>
    </row>
    <row r="1006" spans="1:24">
      <c r="U1006" s="11"/>
    </row>
    <row r="1007" spans="1:24">
      <c r="U1007" s="11"/>
    </row>
    <row r="1008" spans="1:24">
      <c r="U1008" s="11"/>
    </row>
    <row r="1009" spans="21:21">
      <c r="U1009" s="11"/>
    </row>
    <row r="1010" spans="21:21">
      <c r="U1010" s="11"/>
    </row>
    <row r="1011" spans="21:21">
      <c r="U1011" s="11"/>
    </row>
    <row r="1012" spans="21:21">
      <c r="U1012" s="11"/>
    </row>
    <row r="1013" spans="21:21">
      <c r="U1013" s="11"/>
    </row>
    <row r="1014" spans="21:21">
      <c r="U1014" s="11"/>
    </row>
    <row r="1015" spans="21:21">
      <c r="U1015" s="11"/>
    </row>
    <row r="1016" spans="21:21">
      <c r="U1016" s="11"/>
    </row>
    <row r="1017" spans="21:21">
      <c r="U1017" s="11"/>
    </row>
    <row r="1018" spans="21:21">
      <c r="U1018" s="11"/>
    </row>
    <row r="1019" spans="21:21">
      <c r="U1019" s="11"/>
    </row>
    <row r="1020" spans="21:21">
      <c r="U1020" s="11"/>
    </row>
    <row r="1021" spans="21:21">
      <c r="U1021" s="11"/>
    </row>
    <row r="1022" spans="21:21">
      <c r="U1022" s="11"/>
    </row>
    <row r="1023" spans="21:21">
      <c r="U1023" s="11"/>
    </row>
    <row r="1024" spans="21:21">
      <c r="U1024" s="11"/>
    </row>
    <row r="1025" spans="21:21">
      <c r="U1025" s="11"/>
    </row>
    <row r="1026" spans="21:21">
      <c r="U1026" s="11"/>
    </row>
    <row r="1027" spans="21:21">
      <c r="U1027" s="11"/>
    </row>
    <row r="1028" spans="21:21">
      <c r="U1028" s="11"/>
    </row>
    <row r="1029" spans="21:21">
      <c r="U1029" s="11"/>
    </row>
    <row r="1030" spans="21:21">
      <c r="U1030" s="11"/>
    </row>
    <row r="1031" spans="21:21">
      <c r="U1031" s="11"/>
    </row>
    <row r="1032" spans="21:21">
      <c r="U1032" s="11"/>
    </row>
    <row r="1033" spans="21:21">
      <c r="U1033" s="11"/>
    </row>
    <row r="1034" spans="21:21">
      <c r="U1034" s="11"/>
    </row>
    <row r="1035" spans="21:21">
      <c r="U1035" s="11"/>
    </row>
    <row r="1036" spans="21:21">
      <c r="U1036" s="11"/>
    </row>
    <row r="1037" spans="21:21">
      <c r="U1037" s="11"/>
    </row>
    <row r="1038" spans="21:21">
      <c r="U1038" s="11"/>
    </row>
    <row r="1039" spans="21:21">
      <c r="U1039" s="11"/>
    </row>
    <row r="1040" spans="21:21">
      <c r="U1040" s="11"/>
    </row>
    <row r="1041" spans="21:21">
      <c r="U1041" s="11"/>
    </row>
    <row r="1042" spans="21:21">
      <c r="U1042" s="11"/>
    </row>
    <row r="1043" spans="21:21">
      <c r="U1043" s="11"/>
    </row>
    <row r="1044" spans="21:21">
      <c r="U1044" s="11"/>
    </row>
    <row r="1045" spans="21:21">
      <c r="U1045" s="11"/>
    </row>
    <row r="1046" spans="21:21">
      <c r="U1046" s="11"/>
    </row>
    <row r="1047" spans="21:21">
      <c r="U1047" s="11"/>
    </row>
    <row r="1048" spans="21:21">
      <c r="U1048" s="11"/>
    </row>
    <row r="1049" spans="21:21">
      <c r="U1049" s="11"/>
    </row>
    <row r="1050" spans="21:21">
      <c r="U1050" s="11"/>
    </row>
    <row r="1051" spans="21:21">
      <c r="U1051" s="11"/>
    </row>
    <row r="1052" spans="21:21">
      <c r="U1052" s="11"/>
    </row>
    <row r="1053" spans="21:21">
      <c r="U1053" s="11"/>
    </row>
    <row r="1054" spans="21:21">
      <c r="U1054" s="11"/>
    </row>
    <row r="1055" spans="21:21">
      <c r="U1055" s="11"/>
    </row>
    <row r="1056" spans="21:21">
      <c r="U1056" s="11"/>
    </row>
    <row r="1057" spans="21:21">
      <c r="U1057" s="11"/>
    </row>
    <row r="1058" spans="21:21">
      <c r="U1058" s="11"/>
    </row>
    <row r="1059" spans="21:21">
      <c r="U1059" s="11"/>
    </row>
    <row r="1060" spans="21:21">
      <c r="U1060" s="11"/>
    </row>
    <row r="1061" spans="21:21">
      <c r="U1061" s="11"/>
    </row>
    <row r="1062" spans="21:21">
      <c r="U1062" s="11"/>
    </row>
    <row r="1063" spans="21:21">
      <c r="U1063" s="11"/>
    </row>
    <row r="1064" spans="21:21">
      <c r="U1064" s="11"/>
    </row>
    <row r="1065" spans="21:21">
      <c r="U1065" s="11"/>
    </row>
    <row r="1066" spans="21:21">
      <c r="U1066" s="11"/>
    </row>
    <row r="1067" spans="21:21">
      <c r="U1067" s="11"/>
    </row>
    <row r="1068" spans="21:21">
      <c r="U1068" s="11"/>
    </row>
    <row r="1069" spans="21:21">
      <c r="U1069" s="11"/>
    </row>
    <row r="1070" spans="21:21">
      <c r="U1070" s="11"/>
    </row>
    <row r="1071" spans="21:21">
      <c r="U1071" s="11"/>
    </row>
    <row r="1072" spans="21:21">
      <c r="U1072" s="11"/>
    </row>
    <row r="1073" spans="21:21">
      <c r="U1073" s="11"/>
    </row>
    <row r="1074" spans="21:21">
      <c r="U1074" s="11"/>
    </row>
    <row r="1075" spans="21:21">
      <c r="U1075" s="11"/>
    </row>
    <row r="1076" spans="21:21">
      <c r="U1076" s="11"/>
    </row>
    <row r="1077" spans="21:21">
      <c r="U1077" s="11"/>
    </row>
    <row r="1078" spans="21:21">
      <c r="U1078" s="11"/>
    </row>
    <row r="1079" spans="21:21">
      <c r="U1079" s="11"/>
    </row>
    <row r="1080" spans="21:21">
      <c r="U1080" s="11"/>
    </row>
    <row r="1081" spans="21:21">
      <c r="U1081" s="11"/>
    </row>
    <row r="1082" spans="21:21">
      <c r="U1082" s="11"/>
    </row>
    <row r="1083" spans="21:21">
      <c r="U1083" s="11"/>
    </row>
    <row r="1084" spans="21:21">
      <c r="U1084" s="11"/>
    </row>
    <row r="1085" spans="21:21">
      <c r="U1085" s="11"/>
    </row>
    <row r="1086" spans="21:21">
      <c r="U1086" s="11"/>
    </row>
    <row r="1087" spans="21:21">
      <c r="U1087" s="11"/>
    </row>
    <row r="1088" spans="21:21">
      <c r="U1088" s="11"/>
    </row>
    <row r="1089" spans="21:21">
      <c r="U1089" s="11"/>
    </row>
    <row r="1090" spans="21:21">
      <c r="U1090" s="11"/>
    </row>
    <row r="1091" spans="21:21">
      <c r="U1091" s="11"/>
    </row>
    <row r="1092" spans="21:21">
      <c r="U1092" s="11"/>
    </row>
    <row r="1093" spans="21:21">
      <c r="U1093" s="11"/>
    </row>
    <row r="1094" spans="21:21">
      <c r="U1094" s="11"/>
    </row>
    <row r="1095" spans="21:21">
      <c r="U1095" s="11"/>
    </row>
    <row r="1096" spans="21:21">
      <c r="U1096" s="11"/>
    </row>
    <row r="1097" spans="21:21">
      <c r="U1097" s="11"/>
    </row>
    <row r="1098" spans="21:21">
      <c r="U1098" s="11"/>
    </row>
    <row r="1099" spans="21:21">
      <c r="U1099" s="11"/>
    </row>
    <row r="1100" spans="21:21">
      <c r="U1100" s="11"/>
    </row>
    <row r="1101" spans="21:21">
      <c r="U1101" s="11"/>
    </row>
    <row r="1102" spans="21:21">
      <c r="U1102" s="11"/>
    </row>
    <row r="1103" spans="21:21">
      <c r="U1103" s="11"/>
    </row>
    <row r="1104" spans="21:21">
      <c r="U1104" s="11"/>
    </row>
    <row r="1105" spans="21:21">
      <c r="U1105" s="11"/>
    </row>
    <row r="1106" spans="21:21">
      <c r="U1106" s="11"/>
    </row>
    <row r="1107" spans="21:21">
      <c r="U1107" s="11"/>
    </row>
    <row r="1108" spans="21:21">
      <c r="U1108" s="11"/>
    </row>
    <row r="1109" spans="21:21">
      <c r="U1109" s="11"/>
    </row>
    <row r="1110" spans="21:21">
      <c r="U1110" s="11"/>
    </row>
    <row r="1111" spans="21:21">
      <c r="U1111" s="11"/>
    </row>
    <row r="1112" spans="21:21">
      <c r="U1112" s="11"/>
    </row>
    <row r="1113" spans="21:21">
      <c r="U1113" s="11"/>
    </row>
    <row r="1114" spans="21:21">
      <c r="U1114" s="11"/>
    </row>
    <row r="1115" spans="21:21">
      <c r="U1115" s="11"/>
    </row>
    <row r="1116" spans="21:21">
      <c r="U1116" s="11"/>
    </row>
    <row r="1117" spans="21:21">
      <c r="U1117" s="11"/>
    </row>
    <row r="1118" spans="21:21">
      <c r="U1118" s="11"/>
    </row>
    <row r="1119" spans="21:21">
      <c r="U1119" s="11"/>
    </row>
    <row r="1120" spans="21:21">
      <c r="U1120" s="11"/>
    </row>
    <row r="1121" spans="21:21">
      <c r="U1121" s="11"/>
    </row>
    <row r="1122" spans="21:21">
      <c r="U1122" s="11"/>
    </row>
  </sheetData>
  <autoFilter ref="A1:T1001">
    <filterColumn colId="4">
      <filters>
        <filter val="10.00"/>
        <filter val="10.20"/>
        <filter val="10.30"/>
        <filter val="10.40"/>
        <filter val="10.50"/>
        <filter val="10.80"/>
        <filter val="11.00"/>
        <filter val="11.10"/>
        <filter val="11.30"/>
        <filter val="11.40"/>
        <filter val="11.60"/>
        <filter val="11.80"/>
        <filter val="12.00"/>
        <filter val="12.10"/>
        <filter val="12.20"/>
        <filter val="12.40"/>
        <filter val="12.50"/>
        <filter val="12.70"/>
        <filter val="12.90"/>
        <filter val="13.10"/>
        <filter val="13.20"/>
        <filter val="13.50"/>
        <filter val="13.70"/>
        <filter val="13.90"/>
        <filter val="14.00"/>
        <filter val="14.10"/>
        <filter val="14.20"/>
        <filter val="14.40"/>
        <filter val="14.50"/>
        <filter val="14.60"/>
        <filter val="14.70"/>
        <filter val="15.00"/>
        <filter val="15.10"/>
        <filter val="15.20"/>
        <filter val="15.30"/>
        <filter val="15.40"/>
        <filter val="15.70"/>
        <filter val="15.80"/>
        <filter val="15.90"/>
        <filter val="16.00"/>
        <filter val="16.40"/>
        <filter val="16.50"/>
        <filter val="16.60"/>
        <filter val="16.70"/>
        <filter val="16.80"/>
        <filter val="17.10"/>
        <filter val="17.20"/>
        <filter val="17.50"/>
        <filter val="17.70"/>
        <filter val="17.90"/>
        <filter val="18.00"/>
        <filter val="18.10"/>
        <filter val="18.20"/>
        <filter val="18.30"/>
        <filter val="18.40"/>
        <filter val="18.60"/>
        <filter val="18.80"/>
        <filter val="18.90"/>
        <filter val="19.10"/>
        <filter val="19.30"/>
        <filter val="19.40"/>
        <filter val="19.70"/>
        <filter val="20.50"/>
        <filter val="20.60"/>
        <filter val="20.90"/>
        <filter val="21.40"/>
        <filter val="21.60"/>
        <filter val="21.70"/>
        <filter val="22.00"/>
        <filter val="22.10"/>
        <filter val="22.50"/>
        <filter val="22.80"/>
        <filter val="22.90"/>
        <filter val="23.00"/>
        <filter val="23.30"/>
        <filter val="23.40"/>
        <filter val="23.50"/>
        <filter val="23.80"/>
        <filter val="23.90"/>
        <filter val="24.00"/>
        <filter val="24.10"/>
        <filter val="24.20"/>
        <filter val="24.50"/>
        <filter val="24.60"/>
        <filter val="24.70"/>
        <filter val="24.80"/>
        <filter val="25.00"/>
        <filter val="25.10"/>
        <filter val="25.20"/>
        <filter val="25.50"/>
        <filter val="25.60"/>
        <filter val="26.20"/>
        <filter val="26.30"/>
        <filter val="26.50"/>
        <filter val="26.80"/>
        <filter val="27.20"/>
        <filter val="27.30"/>
        <filter val="27.70"/>
        <filter val="28.40"/>
        <filter val="28.60"/>
        <filter val="28.90"/>
        <filter val="29.00"/>
        <filter val="29.20"/>
        <filter val="29.30"/>
        <filter val="29.40"/>
        <filter val="29.70"/>
        <filter val="29.90"/>
        <filter val="3.00"/>
        <filter val="3.10"/>
        <filter val="3.40"/>
        <filter val="3.50"/>
        <filter val="3.60"/>
        <filter val="3.80"/>
        <filter val="3.90"/>
        <filter val="30.00"/>
        <filter val="30.10"/>
        <filter val="30.50"/>
        <filter val="30.60"/>
        <filter val="30.80"/>
        <filter val="31.00"/>
        <filter val="31.10"/>
        <filter val="31.20"/>
        <filter val="31.40"/>
        <filter val="31.70"/>
        <filter val="31.80"/>
        <filter val="31.90"/>
        <filter val="32.00"/>
        <filter val="32.30"/>
        <filter val="32.40"/>
        <filter val="32.50"/>
        <filter val="32.60"/>
        <filter val="32.70"/>
        <filter val="32.80"/>
        <filter val="33.20"/>
        <filter val="33.30"/>
        <filter val="33.60"/>
        <filter val="33.70"/>
        <filter val="33.90"/>
        <filter val="34.20"/>
        <filter val="34.30"/>
        <filter val="34.50"/>
        <filter val="34.60"/>
        <filter val="34.70"/>
        <filter val="34.90"/>
        <filter val="35.00"/>
        <filter val="35.20"/>
        <filter val="35.30"/>
        <filter val="35.40"/>
        <filter val="35.50"/>
        <filter val="35.80"/>
        <filter val="36.30"/>
        <filter val="36.40"/>
        <filter val="36.50"/>
        <filter val="36.60"/>
        <filter val="36.80"/>
        <filter val="36.90"/>
        <filter val="37.10"/>
        <filter val="37.20"/>
        <filter val="37.50"/>
        <filter val="37.60"/>
        <filter val="37.80"/>
        <filter val="37.90"/>
        <filter val="38.00"/>
        <filter val="38.20"/>
        <filter val="38.40"/>
        <filter val="38.60"/>
        <filter val="38.70"/>
        <filter val="38.90"/>
        <filter val="39.20"/>
        <filter val="39.30"/>
        <filter val="39.70"/>
        <filter val="4.00"/>
        <filter val="4.10"/>
        <filter val="4.30"/>
        <filter val="4.50"/>
        <filter val="4.80"/>
        <filter val="40.00"/>
        <filter val="40.10"/>
        <filter val="40.20"/>
        <filter val="40.30"/>
        <filter val="40.50"/>
        <filter val="40.60"/>
        <filter val="40.70"/>
        <filter val="40.80"/>
        <filter val="40.90"/>
        <filter val="41.00"/>
        <filter val="41.40"/>
        <filter val="41.50"/>
        <filter val="41.90"/>
        <filter val="42.00"/>
        <filter val="42.10"/>
        <filter val="42.20"/>
        <filter val="42.40"/>
        <filter val="42.60"/>
        <filter val="42.80"/>
        <filter val="43.10"/>
        <filter val="43.20"/>
        <filter val="43.30"/>
        <filter val="43.50"/>
        <filter val="43.70"/>
        <filter val="43.80"/>
        <filter val="44.00"/>
        <filter val="44.30"/>
        <filter val="44.40"/>
        <filter val="44.50"/>
        <filter val="44.60"/>
        <filter val="44.70"/>
        <filter val="45.00"/>
        <filter val="45.20"/>
        <filter val="45.30"/>
        <filter val="45.60"/>
        <filter val="45.90"/>
        <filter val="46.10"/>
        <filter val="46.30"/>
        <filter val="46.50"/>
        <filter val="46.70"/>
        <filter val="46.80"/>
        <filter val="47.20"/>
        <filter val="47.40"/>
        <filter val="47.60"/>
        <filter val="47.70"/>
        <filter val="48.00"/>
        <filter val="48.20"/>
        <filter val="48.60"/>
        <filter val="48.80"/>
        <filter val="48.90"/>
        <filter val="49.00"/>
        <filter val="49.10"/>
        <filter val="49.20"/>
        <filter val="49.30"/>
        <filter val="5.00"/>
        <filter val="5.10"/>
        <filter val="5.20"/>
        <filter val="5.30"/>
        <filter val="5.40"/>
        <filter val="5.60"/>
        <filter val="5.80"/>
        <filter val="5.90"/>
        <filter val="50.20"/>
        <filter val="50.30"/>
        <filter val="50.40"/>
        <filter val="50.60"/>
        <filter val="50.80"/>
        <filter val="51.10"/>
        <filter val="51.20"/>
        <filter val="51.30"/>
        <filter val="51.40"/>
        <filter val="51.60"/>
        <filter val="51.80"/>
        <filter val="52.00"/>
        <filter val="52.20"/>
        <filter val="52.40"/>
        <filter val="52.50"/>
        <filter val="52.60"/>
        <filter val="52.70"/>
        <filter val="53.20"/>
        <filter val="53.40"/>
        <filter val="53.50"/>
        <filter val="53.60"/>
        <filter val="53.90"/>
        <filter val="54.20"/>
        <filter val="54.30"/>
        <filter val="54.40"/>
        <filter val="54.70"/>
        <filter val="54.80"/>
        <filter val="55.10"/>
        <filter val="55.70"/>
        <filter val="56.00"/>
        <filter val="56.10"/>
        <filter val="56.20"/>
        <filter val="56.70"/>
        <filter val="56.80"/>
        <filter val="57.00"/>
        <filter val="57.10"/>
        <filter val="57.20"/>
        <filter val="57.30"/>
        <filter val="57.70"/>
        <filter val="57.80"/>
        <filter val="58.00"/>
        <filter val="58.30"/>
        <filter val="58.50"/>
        <filter val="58.60"/>
        <filter val="58.70"/>
        <filter val="58.80"/>
        <filter val="58.90"/>
        <filter val="59.00"/>
        <filter val="59.40"/>
        <filter val="59.50"/>
        <filter val="59.70"/>
        <filter val="59.90"/>
        <filter val="6.00"/>
        <filter val="6.10"/>
        <filter val="6.20"/>
        <filter val="6.40"/>
        <filter val="6.60"/>
        <filter val="6.90"/>
        <filter val="60.00"/>
        <filter val="60.10"/>
        <filter val="60.20"/>
        <filter val="60.70"/>
        <filter val="61.20"/>
        <filter val="61.30"/>
        <filter val="61.60"/>
        <filter val="61.70"/>
        <filter val="61.80"/>
        <filter val="62.10"/>
        <filter val="62.20"/>
        <filter val="62.30"/>
        <filter val="62.40"/>
        <filter val="62.70"/>
        <filter val="62.80"/>
        <filter val="63.00"/>
        <filter val="63.10"/>
        <filter val="63.20"/>
        <filter val="63.30"/>
        <filter val="63.50"/>
        <filter val="63.80"/>
        <filter val="64.20"/>
        <filter val="64.70"/>
        <filter val="65.00"/>
        <filter val="65.40"/>
        <filter val="65.50"/>
        <filter val="65.60"/>
        <filter val="65.80"/>
        <filter val="66.10"/>
        <filter val="66.20"/>
        <filter val="66.30"/>
        <filter val="66.40"/>
        <filter val="66.50"/>
        <filter val="66.60"/>
        <filter val="66.70"/>
        <filter val="66.90"/>
        <filter val="67.00"/>
        <filter val="67.10"/>
        <filter val="67.20"/>
        <filter val="67.30"/>
        <filter val="67.60"/>
        <filter val="67.80"/>
        <filter val="67.90"/>
        <filter val="68.10"/>
        <filter val="68.20"/>
        <filter val="68.50"/>
        <filter val="68.60"/>
        <filter val="68.70"/>
        <filter val="68.90"/>
        <filter val="69.00"/>
        <filter val="69.40"/>
        <filter val="69.50"/>
        <filter val="69.80"/>
        <filter val="69.90"/>
        <filter val="7.00"/>
        <filter val="7.10"/>
        <filter val="7.40"/>
        <filter val="7.60"/>
        <filter val="7.70"/>
        <filter val="7.80"/>
        <filter val="70.00"/>
        <filter val="70.20"/>
        <filter val="70.50"/>
        <filter val="70.60"/>
        <filter val="70.80"/>
        <filter val="70.90"/>
        <filter val="71.00"/>
        <filter val="71.10"/>
        <filter val="71.30"/>
        <filter val="71.40"/>
        <filter val="71.50"/>
        <filter val="71.60"/>
        <filter val="71.70"/>
        <filter val="71.80"/>
        <filter val="72.00"/>
        <filter val="72.10"/>
        <filter val="72.30"/>
        <filter val="72.40"/>
        <filter val="72.50"/>
        <filter val="73.00"/>
        <filter val="73.30"/>
        <filter val="73.60"/>
        <filter val="73.80"/>
        <filter val="73.90"/>
        <filter val="74.40"/>
        <filter val="74.50"/>
        <filter val="74.60"/>
        <filter val="74.70"/>
        <filter val="74.90"/>
        <filter val="75.00"/>
        <filter val="75.60"/>
        <filter val="75.70"/>
        <filter val="75.80"/>
        <filter val="75.90"/>
        <filter val="76.10"/>
        <filter val="76.30"/>
        <filter val="76.40"/>
        <filter val="76.60"/>
        <filter val="76.70"/>
        <filter val="76.90"/>
        <filter val="77.10"/>
        <filter val="77.20"/>
        <filter val="77.30"/>
        <filter val="77.40"/>
        <filter val="77.60"/>
        <filter val="77.90"/>
        <filter val="78.10"/>
        <filter val="78.60"/>
        <filter val="78.70"/>
        <filter val="78.90"/>
        <filter val="79.00"/>
        <filter val="79.30"/>
        <filter val="79.40"/>
        <filter val="79.60"/>
        <filter val="79.80"/>
        <filter val="8.00"/>
        <filter val="8.10"/>
        <filter val="8.50"/>
        <filter val="8.60"/>
        <filter val="80.10"/>
        <filter val="80.50"/>
        <filter val="80.70"/>
        <filter val="80.80"/>
        <filter val="81.10"/>
        <filter val="81.40"/>
        <filter val="81.60"/>
        <filter val="81.70"/>
        <filter val="81.90"/>
        <filter val="82.00"/>
        <filter val="82.10"/>
        <filter val="82.30"/>
        <filter val="82.50"/>
        <filter val="82.70"/>
        <filter val="82.80"/>
        <filter val="83.00"/>
        <filter val="83.30"/>
        <filter val="83.60"/>
        <filter val="83.70"/>
        <filter val="83.80"/>
        <filter val="83.90"/>
        <filter val="84.10"/>
        <filter val="84.20"/>
        <filter val="84.30"/>
        <filter val="84.40"/>
        <filter val="84.50"/>
        <filter val="84.60"/>
        <filter val="84.70"/>
        <filter val="84.80"/>
        <filter val="85.00"/>
        <filter val="85.30"/>
        <filter val="85.40"/>
        <filter val="85.90"/>
        <filter val="86.20"/>
        <filter val="86.30"/>
        <filter val="86.50"/>
        <filter val="86.60"/>
        <filter val="86.80"/>
        <filter val="86.90"/>
        <filter val="87.00"/>
        <filter val="87.20"/>
        <filter val="87.30"/>
        <filter val="87.40"/>
        <filter val="87.70"/>
        <filter val="87.80"/>
        <filter val="88.30"/>
        <filter val="88.40"/>
        <filter val="88.50"/>
        <filter val="88.70"/>
        <filter val="88.80"/>
        <filter val="89.00"/>
        <filter val="89.10"/>
        <filter val="89.30"/>
        <filter val="89.60"/>
        <filter val="89.70"/>
        <filter val="89.90"/>
        <filter val="9.00"/>
        <filter val="9.10"/>
        <filter val="9.20"/>
        <filter val="9.40"/>
        <filter val="9.70"/>
        <filter val="9.90"/>
        <filter val="90.00"/>
        <filter val="90.40"/>
        <filter val="90.80"/>
        <filter val="90.90"/>
        <filter val="91.10"/>
        <filter val="91.20"/>
        <filter val="91.30"/>
        <filter val="91.40"/>
        <filter val="91.50"/>
        <filter val="91.60"/>
        <filter val="92.00"/>
        <filter val="92.10"/>
        <filter val="92.30"/>
        <filter val="92.70"/>
        <filter val="92.80"/>
        <filter val="93.00"/>
        <filter val="93.10"/>
        <filter val="93.20"/>
        <filter val="93.30"/>
        <filter val="93.40"/>
        <filter val="93.50"/>
        <filter val="93.60"/>
        <filter val="94.00"/>
        <filter val="94.30"/>
        <filter val="94.40"/>
        <filter val="94.50"/>
        <filter val="95.10"/>
        <filter val="95.20"/>
        <filter val="95.50"/>
        <filter val="95.70"/>
        <filter val="95.80"/>
        <filter val="96.30"/>
        <filter val="96.60"/>
        <filter val="97.00"/>
        <filter val="97.20"/>
        <filter val="97.30"/>
        <filter val="97.90"/>
        <filter val="98.00"/>
        <filter val="98.20"/>
        <filter val="98.40"/>
        <filter val="98.50"/>
        <filter val="98.60"/>
        <filter val="98.90"/>
        <filter val="99.00"/>
        <filter val="99.20"/>
        <filter val="99.30"/>
        <filter val="99.40"/>
        <filter val="99.50"/>
        <filter val="99.90"/>
      </filters>
    </filterColumn>
    <filterColumn colId="6"/>
    <filterColumn colId="10"/>
    <filterColumn colId="11">
      <filters>
        <filter val="NGN"/>
      </filters>
    </filterColumn>
    <filterColumn colId="12">
      <filters>
        <dateGroupItem year="2025" dateTimeGrouping="year"/>
        <dateGroupItem year="2024" dateTimeGrouping="year"/>
        <dateGroupItem year="2023" dateTimeGrouping="year"/>
      </filters>
    </filterColumn>
    <filterColumn colId="13"/>
    <filterColumn colId="14"/>
    <filterColumn colId="15">
      <filters>
        <filter val="Aba-Abuja"/>
        <filter val="Aba-Akure"/>
        <filter val="Aba-Asaba"/>
        <filter val="Aba-Awka"/>
        <filter val="Aba-Benin"/>
        <filter val="Aba-Calabar"/>
        <filter val="Aba-Enugu"/>
        <filter val="Aba-Gwagwalada"/>
        <filter val="Aba-Ilorin"/>
        <filter val="Aba-Kaduna"/>
        <filter val="Aba-Kano"/>
        <filter val="Aba-Keffi"/>
        <filter val="Aba-Lagos"/>
        <filter val="Aba-Ogbomosho"/>
        <filter val="Aba-Ondo"/>
        <filter val="Aba-Orlu"/>
        <filter val="Aba-Owerri"/>
        <filter val="Aba-Oyo"/>
        <filter val="Aba-Port Harcourt"/>
        <filter val="Aba-Umudike"/>
        <filter val="Aba-Uyo"/>
        <filter val="Aba-Zaria"/>
        <filter val="Abuja-Aba"/>
        <filter val="Abuja-Akure"/>
        <filter val="Abuja-Asaba"/>
        <filter val="Abuja-Awka"/>
        <filter val="Abuja-Benin"/>
        <filter val="Abuja-Calabar"/>
        <filter val="Abuja-Enugu"/>
        <filter val="Abuja-Gwagwalada"/>
        <filter val="Abuja-Ilorin"/>
        <filter val="Abuja-Jos"/>
        <filter val="Abuja-Kaduna"/>
        <filter val="Abuja-Kano"/>
        <filter val="Abuja-Keffi"/>
        <filter val="Abuja-Lagos"/>
        <filter val="Abuja-Ogbomosho"/>
        <filter val="Abuja-Ondo"/>
        <filter val="Abuja-Onitsha"/>
        <filter val="Abuja-Orlu"/>
        <filter val="Abuja-Owerri"/>
        <filter val="Abuja-Port Harcourt"/>
        <filter val="Abuja-Umudike"/>
        <filter val="Abuja-Uyo"/>
        <filter val="Abuja-Zaria"/>
        <filter val="Akure-Aba"/>
        <filter val="Akure-Asaba"/>
        <filter val="Akure-Awka"/>
        <filter val="Akure-Benin"/>
        <filter val="Akure-Calabar"/>
        <filter val="Akure-Enugu"/>
        <filter val="Akure-Ibadan"/>
        <filter val="Akure-Jos"/>
        <filter val="Akure-Keffi"/>
        <filter val="Akure-Lagos"/>
        <filter val="Akure-Ondo"/>
        <filter val="Akure-Onitsha"/>
        <filter val="Akure-Orlu"/>
        <filter val="Akure-Owerri"/>
        <filter val="Akure-Oyo"/>
        <filter val="Akure-Port Harcourt"/>
        <filter val="Akure-Umudike"/>
        <filter val="Akure-Uyo"/>
        <filter val="Akure-Zaria"/>
        <filter val="Asaba-Aba"/>
        <filter val="Asaba-Abuja"/>
        <filter val="Asaba-Awka"/>
        <filter val="Asaba-Benin"/>
        <filter val="Asaba-Calabar"/>
        <filter val="Asaba-Enugu"/>
        <filter val="Asaba-Gwagwalada"/>
        <filter val="Asaba-Ilorin"/>
        <filter val="Asaba-Jos"/>
        <filter val="Asaba-Kaduna"/>
        <filter val="Asaba-Kano"/>
        <filter val="Asaba-Keffi"/>
        <filter val="Asaba-Ogbomosho"/>
        <filter val="Asaba-Ondo"/>
        <filter val="Asaba-Onitsha"/>
        <filter val="Asaba-Orlu"/>
        <filter val="Asaba-Oyo"/>
        <filter val="Asaba-Port Harcourt"/>
        <filter val="Asaba-Zaria"/>
        <filter val="Awka-Aba"/>
        <filter val="Awka-Abuja"/>
        <filter val="Awka-Akure"/>
        <filter val="Awka-Benin"/>
        <filter val="Awka-Calabar"/>
        <filter val="Awka-Enugu"/>
        <filter val="Awka-Gwagwalada"/>
        <filter val="Awka-Ibadan"/>
        <filter val="Awka-Jos"/>
        <filter val="Awka-Kaduna"/>
        <filter val="Awka-Kano"/>
        <filter val="Awka-Lagos"/>
        <filter val="Awka-Ogbomosho"/>
        <filter val="Awka-Ondo"/>
        <filter val="Awka-Onitsha"/>
        <filter val="Awka-Owerri"/>
        <filter val="Awka-Oyo"/>
        <filter val="Awka-Port Harcourt"/>
        <filter val="Awka-Uyo"/>
        <filter val="Awka-Zaria"/>
        <filter val="Benin-Aba"/>
        <filter val="Benin-Abuja"/>
        <filter val="Benin-Akure"/>
        <filter val="Benin-Asaba"/>
        <filter val="Benin-Awka"/>
        <filter val="Benin-Calabar"/>
        <filter val="Benin-Enugu"/>
        <filter val="Benin-Gwagwalada"/>
        <filter val="Benin-Ibadan"/>
        <filter val="Benin-Ilorin"/>
        <filter val="Benin-Jos"/>
        <filter val="Benin-Kaduna"/>
        <filter val="Benin-Keffi"/>
        <filter val="Benin-Lagos"/>
        <filter val="Benin-Ogbomosho"/>
        <filter val="Benin-Ondo"/>
        <filter val="Benin-Onitsha"/>
        <filter val="Benin-Oyo"/>
        <filter val="Benin-Port Harcourt"/>
        <filter val="Benin-Umudike"/>
        <filter val="Benin-Zaria"/>
        <filter val="Calabar-Aba"/>
        <filter val="Calabar-Akure"/>
        <filter val="Calabar-Asaba"/>
        <filter val="Calabar-Awka"/>
        <filter val="Calabar-Benin"/>
        <filter val="Calabar-Enugu"/>
        <filter val="Calabar-Gwagwalada"/>
        <filter val="Calabar-Ilorin"/>
        <filter val="Calabar-Jos"/>
        <filter val="Calabar-Kano"/>
        <filter val="Calabar-Keffi"/>
        <filter val="Calabar-Lagos"/>
        <filter val="Calabar-Ogbomosho"/>
        <filter val="Calabar-Onitsha"/>
        <filter val="Calabar-Orlu"/>
        <filter val="Calabar-Owerri"/>
        <filter val="Calabar-Oyo"/>
        <filter val="Calabar-Port Harcourt"/>
        <filter val="Calabar-Umudike"/>
        <filter val="Calabar-Uyo"/>
        <filter val="Campus Loop"/>
        <filter val="Enugu-Aba"/>
        <filter val="Enugu-Akure"/>
        <filter val="Enugu-Asaba"/>
        <filter val="Enugu-Benin"/>
        <filter val="Enugu-Calabar"/>
        <filter val="Enugu-Ilorin"/>
        <filter val="Enugu-Jos"/>
        <filter val="Enugu-Kaduna"/>
        <filter val="Enugu-Kano"/>
        <filter val="Enugu-Lagos"/>
        <filter val="Enugu-Ogbomosho"/>
        <filter val="Enugu-Ondo"/>
        <filter val="Enugu-Onitsha"/>
        <filter val="Enugu-Orlu"/>
        <filter val="Enugu-Port Harcourt"/>
        <filter val="Enugu-Zaria"/>
        <filter val="Gwagwalada-Aba"/>
        <filter val="Gwagwalada-Abuja"/>
        <filter val="Gwagwalada-Akure"/>
        <filter val="Gwagwalada-Asaba"/>
        <filter val="Gwagwalada-Calabar"/>
        <filter val="Gwagwalada-Enugu"/>
        <filter val="Gwagwalada-Ibadan"/>
        <filter val="Gwagwalada-Ilorin"/>
        <filter val="Gwagwalada-Kaduna"/>
        <filter val="Gwagwalada-Kano"/>
        <filter val="Gwagwalada-Keffi"/>
        <filter val="Gwagwalada-Lagos"/>
        <filter val="Gwagwalada-Ondo"/>
        <filter val="Gwagwalada-Onitsha"/>
        <filter val="Gwagwalada-Orlu"/>
        <filter val="Gwagwalada-Owerri"/>
        <filter val="Gwagwalada-Oyo"/>
        <filter val="Gwagwalada-Port Harcourt"/>
        <filter val="Gwagwalada-Umudike"/>
        <filter val="Gwagwalada-Zaria"/>
        <filter val="Ibadan-Aba"/>
        <filter val="Ibadan-Abuja"/>
        <filter val="Ibadan-Akure"/>
        <filter val="Ibadan-Asaba"/>
        <filter val="Ibadan-Benin"/>
        <filter val="Ibadan-Calabar"/>
        <filter val="Ibadan-Enugu"/>
        <filter val="Ibadan-Gwagwalada"/>
        <filter val="Ibadan-Ilorin"/>
        <filter val="Ibadan-Jos"/>
        <filter val="Ibadan-Kaduna"/>
        <filter val="Ibadan-Kano"/>
        <filter val="Ibadan-Keffi"/>
        <filter val="Ibadan-Lagos"/>
        <filter val="Ibadan-Ogbomosho"/>
        <filter val="Ibadan-Onitsha"/>
        <filter val="Ibadan-Oyo"/>
        <filter val="Ibadan-Port Harcourt"/>
        <filter val="Ibadan-Umudike"/>
        <filter val="Ibadan-Zaria"/>
        <filter val="Ilorin-Aba"/>
        <filter val="Ilorin-Akure"/>
        <filter val="Ilorin-Asaba"/>
        <filter val="Ilorin-Awka"/>
        <filter val="Ilorin-Calabar"/>
        <filter val="Ilorin-Enugu"/>
        <filter val="Ilorin-Jos"/>
        <filter val="Ilorin-Kaduna"/>
        <filter val="Ilorin-Kano"/>
        <filter val="Ilorin-Lagos"/>
        <filter val="Ilorin-Ogbomosho"/>
        <filter val="Ilorin-Onitsha"/>
        <filter val="Ilorin-Orlu"/>
        <filter val="Ilorin-Owerri"/>
        <filter val="Ilorin-Oyo"/>
        <filter val="Ilorin-Port Harcourt"/>
        <filter val="Ilorin-Umudike"/>
        <filter val="Ilorin-Uyo"/>
        <filter val="Ilorin-Zaria"/>
        <filter val="Jos-Aba"/>
        <filter val="Jos-Abuja"/>
        <filter val="Jos-Akure"/>
        <filter val="Jos-Asaba"/>
        <filter val="Jos-Awka"/>
        <filter val="Jos-Benin"/>
        <filter val="Jos-Calabar"/>
        <filter val="Jos-Gwagwalada"/>
        <filter val="Jos-Ilorin"/>
        <filter val="Jos-Kano"/>
        <filter val="Jos-Keffi"/>
        <filter val="Jos-Lagos"/>
        <filter val="Jos-Ogbomosho"/>
        <filter val="Jos-Ondo"/>
        <filter val="Jos-Onitsha"/>
        <filter val="Jos-Orlu"/>
        <filter val="Jos-Oyo"/>
        <filter val="Jos-Port Harcourt"/>
        <filter val="Jos-Uyo"/>
        <filter val="Jos-Zaria"/>
        <filter val="Kaduna-Abuja"/>
        <filter val="Kaduna-Asaba"/>
        <filter val="Kaduna-Awka"/>
        <filter val="Kaduna-Benin"/>
        <filter val="Kaduna-Calabar"/>
        <filter val="Kaduna-Gwagwalada"/>
        <filter val="Kaduna-Ibadan"/>
        <filter val="Kaduna-Ilorin"/>
        <filter val="Kaduna-Jos"/>
        <filter val="Kaduna-Kano"/>
        <filter val="Kaduna-Keffi"/>
        <filter val="Kaduna-Lagos"/>
        <filter val="Kaduna-Ogbomosho"/>
        <filter val="Kaduna-Onitsha"/>
        <filter val="Kaduna-Owerri"/>
        <filter val="Kaduna-Port Harcourt"/>
        <filter val="Kaduna-Umudike"/>
        <filter val="Kaduna-Zaria"/>
        <filter val="Kano-Abuja"/>
        <filter val="Kano-Akure"/>
        <filter val="Kano-Asaba"/>
        <filter val="Kano-Awka"/>
        <filter val="Kano-Benin"/>
        <filter val="Kano-Calabar"/>
        <filter val="Kano-Enugu"/>
        <filter val="Kano-Ibadan"/>
        <filter val="Kano-Ilorin"/>
        <filter val="Kano-Jos"/>
        <filter val="Kano-Kaduna"/>
        <filter val="Kano-Keffi"/>
        <filter val="Kano-Lagos"/>
        <filter val="Kano-Ogbomosho"/>
        <filter val="Kano-Owerri"/>
        <filter val="Kano-Oyo"/>
        <filter val="Kano-Port Harcourt"/>
        <filter val="Kano-Umudike"/>
        <filter val="Kano-Uyo"/>
        <filter val="Kano-Zaria"/>
        <filter val="Keffi-Aba"/>
        <filter val="Keffi-Akure"/>
        <filter val="Keffi-Awka"/>
        <filter val="Keffi-Calabar"/>
        <filter val="Keffi-Gwagwalada"/>
        <filter val="Keffi-Ibadan"/>
        <filter val="Keffi-Jos"/>
        <filter val="Keffi-Kano"/>
        <filter val="Keffi-Lagos"/>
        <filter val="Keffi-Ogbomosho"/>
        <filter val="Keffi-Ondo"/>
        <filter val="Keffi-Onitsha"/>
        <filter val="Keffi-Orlu"/>
        <filter val="Keffi-Owerri"/>
        <filter val="Keffi-Oyo"/>
        <filter val="Keffi-Umudike"/>
        <filter val="Keffi-Zaria"/>
        <filter val="Lagos-Abuja"/>
        <filter val="Lagos-Akure"/>
        <filter val="Lagos-Asaba"/>
        <filter val="Lagos-Awka"/>
        <filter val="Lagos-Benin"/>
        <filter val="Lagos-Calabar"/>
        <filter val="Lagos-Enugu"/>
        <filter val="Lagos-Gwagwalada"/>
        <filter val="Lagos-Ibadan"/>
        <filter val="Lagos–Ibadan"/>
        <filter val="Lagos-Ilorin"/>
        <filter val="Lagos-Jos"/>
        <filter val="Lagos-Kaduna"/>
        <filter val="Lagos-Kano"/>
        <filter val="Lagos-Ogbomosho"/>
        <filter val="Lagos-Ondo"/>
        <filter val="Lagos-Onitsha"/>
        <filter val="Lagos-Orlu"/>
        <filter val="Lagos-Port Harcourt"/>
        <filter val="Lagos-Umudike"/>
        <filter val="Lagos-Uyo"/>
        <filter val="Ogbomosho-Aba"/>
        <filter val="Ogbomosho-Abuja"/>
        <filter val="Ogbomosho-Akure"/>
        <filter val="Ogbomosho-Asaba"/>
        <filter val="Ogbomosho-Awka"/>
        <filter val="Ogbomosho-Benin"/>
        <filter val="Ogbomosho-Enugu"/>
        <filter val="Ogbomosho-Gwagwalada"/>
        <filter val="Ogbomosho-Ibadan"/>
        <filter val="Ogbomosho-Ilorin"/>
        <filter val="Ogbomosho-Kaduna"/>
        <filter val="Ogbomosho-Kano"/>
        <filter val="Ogbomosho-Keffi"/>
        <filter val="Ogbomosho-Lagos"/>
        <filter val="Ogbomosho-Ondo"/>
        <filter val="Ogbomosho-Orlu"/>
        <filter val="Ogbomosho-Port Harcourt"/>
        <filter val="Ogbomosho-Umudike"/>
        <filter val="Ogbomosho-Uyo"/>
        <filter val="Ogbomosho-Zaria"/>
        <filter val="Ondo-Abuja"/>
        <filter val="Ondo-Akure"/>
        <filter val="Ondo-Awka"/>
        <filter val="Ondo-Benin"/>
        <filter val="Ondo-Enugu"/>
        <filter val="Ondo-Gwagwalada"/>
        <filter val="Ondo-Ibadan"/>
        <filter val="Ondo-Ilorin"/>
        <filter val="Ondo-Jos"/>
        <filter val="Ondo-Kaduna"/>
        <filter val="Ondo-Keffi"/>
        <filter val="Ondo-Lagos"/>
        <filter val="Ondo-Ogbomosho"/>
        <filter val="Ondo-Owerri"/>
        <filter val="Ondo-Oyo"/>
        <filter val="Ondo-Port Harcourt"/>
        <filter val="Ondo-Umudike"/>
        <filter val="Ondo-Uyo"/>
        <filter val="Onitsha-Abuja"/>
        <filter val="Onitsha-Akure"/>
        <filter val="Onitsha-Awka"/>
        <filter val="Onitsha-Calabar"/>
        <filter val="Onitsha-Enugu"/>
        <filter val="Onitsha-Jos"/>
        <filter val="Onitsha-Kaduna"/>
        <filter val="Onitsha-Kano"/>
        <filter val="Onitsha-Owerri"/>
        <filter val="Onitsha-Oyo"/>
        <filter val="Onitsha-Port Harcourt"/>
        <filter val="Onitsha-Umudike"/>
        <filter val="Onitsha-Uyo"/>
        <filter val="Onitsha-Zaria"/>
        <filter val="Orlu-Aba"/>
        <filter val="Orlu-Abuja"/>
        <filter val="Orlu-Akure"/>
        <filter val="Orlu-Calabar"/>
        <filter val="Orlu-Enugu"/>
        <filter val="Orlu-Gwagwalada"/>
        <filter val="Orlu-Ibadan"/>
        <filter val="Orlu-Kaduna"/>
        <filter val="Orlu-Ogbomosho"/>
        <filter val="Orlu-Ondo"/>
        <filter val="Orlu-Onitsha"/>
        <filter val="Orlu-Port Harcourt"/>
        <filter val="Orlu-Umudike"/>
        <filter val="Orlu-Uyo"/>
        <filter val="Orlu-Zaria"/>
        <filter val="Owerri-Aba"/>
        <filter val="Owerri-Abuja"/>
        <filter val="Owerri-Akure"/>
        <filter val="Owerri-Asaba"/>
        <filter val="Owerri-Benin"/>
        <filter val="Owerri-Calabar"/>
        <filter val="Owerri-Enugu"/>
        <filter val="Owerri-Gwagwalada"/>
        <filter val="Owerri-Ibadan"/>
        <filter val="Owerri-Ilorin"/>
        <filter val="Owerri-Jos"/>
        <filter val="Owerri-Kaduna"/>
        <filter val="Owerri-Lagos"/>
        <filter val="Owerri-Ogbomosho"/>
        <filter val="Owerri-Ondo"/>
        <filter val="Owerri-Onitsha"/>
        <filter val="Owerri-Orlu"/>
        <filter val="Owerri-Oyo"/>
        <filter val="Owerri-Port Harcourt"/>
        <filter val="Owerri-Umudike"/>
        <filter val="Owerri-Uyo"/>
        <filter val="Owerri-Zaria"/>
        <filter val="Oyo-Aba"/>
        <filter val="Oyo-Abuja"/>
        <filter val="Oyo-Akure"/>
        <filter val="Oyo-Asaba"/>
        <filter val="Oyo-Calabar"/>
        <filter val="Oyo-Enugu"/>
        <filter val="Oyo-Gwagwalada"/>
        <filter val="Oyo-Ibadan"/>
        <filter val="Oyo-Kaduna"/>
        <filter val="Oyo-Kano"/>
        <filter val="Oyo-Keffi"/>
        <filter val="Oyo-Lagos"/>
        <filter val="Oyo-Ogbomosho"/>
        <filter val="Oyo-Ondo"/>
        <filter val="Oyo-Orlu"/>
        <filter val="Oyo-Owerri"/>
        <filter val="Oyo-Port Harcourt"/>
        <filter val="Oyo-Umudike"/>
        <filter val="Oyo-Uyo"/>
        <filter val="Oyo-Zaria"/>
        <filter val="PH-Aba"/>
        <filter val="PH-Uyo"/>
        <filter val="Port Harcourt-Aba"/>
        <filter val="Port Harcourt-Akure"/>
        <filter val="Port Harcourt-Asaba"/>
        <filter val="Port Harcourt-Awka"/>
        <filter val="Port Harcourt-Benin"/>
        <filter val="Port Harcourt-Calabar"/>
        <filter val="Port Harcourt-Enugu"/>
        <filter val="Port Harcourt-Gwagwalada"/>
        <filter val="Port Harcourt-Ilorin"/>
        <filter val="Port Harcourt-Jos"/>
        <filter val="Port Harcourt-Kaduna"/>
        <filter val="Port Harcourt-Keffi"/>
        <filter val="Port Harcourt-Lagos"/>
        <filter val="Port Harcourt-Ogbomosho"/>
        <filter val="Port Harcourt-Orlu"/>
        <filter val="Port Harcourt-Owerri"/>
        <filter val="Port Harcourt-Umudike"/>
        <filter val="Port Harcourt-Uyo"/>
        <filter val="Port Harcourt-Zaria"/>
        <filter val="Umudike-Aba"/>
        <filter val="Umudike-Asaba"/>
        <filter val="Umudike-Awka"/>
        <filter val="Umudike-Benin"/>
        <filter val="Umudike-Calabar"/>
        <filter val="Umudike-Enugu"/>
        <filter val="Umudike-Gwagwalada"/>
        <filter val="Umudike-Ibadan"/>
        <filter val="Umudike-Ilorin"/>
        <filter val="Umudike-Jos"/>
        <filter val="Umudike-Kaduna"/>
        <filter val="Umudike-Lagos"/>
        <filter val="Umudike-Ogbomosho"/>
        <filter val="Umudike-Ondo"/>
        <filter val="Umudike-Onitsha"/>
        <filter val="Umudike-Orlu"/>
        <filter val="Umudike-Owerri"/>
        <filter val="Umudike-Oyo"/>
        <filter val="Umudike-Zaria"/>
        <filter val="Uyo-Aba"/>
        <filter val="Uyo-Abuja"/>
        <filter val="Uyo-Akure"/>
        <filter val="Uyo-Asaba"/>
        <filter val="Uyo-Awka"/>
        <filter val="Uyo-Calabar"/>
        <filter val="Uyo-Enugu"/>
        <filter val="Uyo-Ibadan"/>
        <filter val="Uyo-Ilorin"/>
        <filter val="Uyo-Jos"/>
        <filter val="Uyo-Kaduna"/>
        <filter val="Uyo-Lagos"/>
        <filter val="Uyo-Onitsha"/>
        <filter val="Uyo-Orlu"/>
        <filter val="Uyo-Owerri"/>
        <filter val="Uyo-Oyo"/>
        <filter val="Uyo-Port Harcourt"/>
        <filter val="Zaria-Abuja"/>
        <filter val="Zaria-Akure"/>
        <filter val="Zaria-Awka"/>
        <filter val="Zaria-Enugu"/>
        <filter val="Zaria-Gwagwalada"/>
        <filter val="Zaria-Ibadan"/>
        <filter val="Zaria-Ilorin"/>
        <filter val="Zaria-Kaduna"/>
        <filter val="Zaria-Kano"/>
        <filter val="Zaria-Keffi"/>
        <filter val="Zaria-Ogbomosho"/>
        <filter val="Zaria-Ondo"/>
        <filter val="Zaria-Onitsha"/>
        <filter val="Zaria-Orlu"/>
        <filter val="Zaria-Owerri"/>
        <filter val="Zaria-Oyo"/>
        <filter val="Zaria-Port Harcourt"/>
        <filter val="Zaria-Umudike"/>
        <filter val="Zaria-Uyo"/>
      </filters>
    </filterColumn>
    <filterColumn colId="18"/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Dataset</vt:lpstr>
      <vt:lpstr>Working Dataset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PROMISECPU</cp:lastModifiedBy>
  <dcterms:created xsi:type="dcterms:W3CDTF">2026-03-11T21:27:49Z</dcterms:created>
  <dcterms:modified xsi:type="dcterms:W3CDTF">2026-03-16T03:25:32Z</dcterms:modified>
</cp:coreProperties>
</file>